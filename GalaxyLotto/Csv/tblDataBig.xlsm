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326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yProg\C#\GalaxyLottoWeb\GalaxyLottoWeb\Csv\"/>
    </mc:Choice>
  </mc:AlternateContent>
  <bookViews>
    <workbookView xWindow="240" yWindow="105" windowWidth="11715" windowHeight="8670" tabRatio="551"/>
  </bookViews>
  <sheets>
    <sheet name="OUTPUT" sheetId="5" r:id="rId1"/>
    <sheet name="all" sheetId="8" r:id="rId2"/>
    <sheet name="2017" sheetId="24" r:id="rId3"/>
    <sheet name="2016" sheetId="23" r:id="rId4"/>
    <sheet name="2015" sheetId="22" r:id="rId5"/>
    <sheet name="2014" sheetId="20" r:id="rId6"/>
    <sheet name="工作表1" sheetId="21" r:id="rId7"/>
  </sheets>
  <calcPr calcId="162913"/>
</workbook>
</file>

<file path=xl/calcChain.xml><?xml version="1.0" encoding="utf-8"?>
<calcChain xmlns="http://schemas.openxmlformats.org/spreadsheetml/2006/main">
  <c r="M1465" i="8" l="1"/>
  <c r="D1465" i="8"/>
  <c r="A1465" i="8"/>
  <c r="M1464" i="8"/>
  <c r="D1464" i="8"/>
  <c r="A1464" i="8"/>
  <c r="M1463" i="8"/>
  <c r="D1463" i="8"/>
  <c r="A1463" i="8"/>
  <c r="M1462" i="8"/>
  <c r="D1462" i="8"/>
  <c r="A1462" i="8"/>
  <c r="M1461" i="8"/>
  <c r="D1461" i="8"/>
  <c r="A1461" i="8"/>
  <c r="M1460" i="8"/>
  <c r="D1460" i="8"/>
  <c r="A1460" i="8"/>
  <c r="M1459" i="8"/>
  <c r="D1459" i="8"/>
  <c r="A1459" i="8"/>
  <c r="M1458" i="8"/>
  <c r="D1458" i="8"/>
  <c r="A1458" i="8"/>
  <c r="M1457" i="8"/>
  <c r="D1457" i="8"/>
  <c r="A1457" i="8"/>
  <c r="M1456" i="8"/>
  <c r="D1456" i="8"/>
  <c r="A1456" i="8"/>
  <c r="M1455" i="8"/>
  <c r="D1455" i="8"/>
  <c r="E1455" i="8" s="1"/>
  <c r="C1455" i="8"/>
  <c r="C1456" i="8" s="1"/>
  <c r="C1457" i="8" s="1"/>
  <c r="C1458" i="8" s="1"/>
  <c r="B1455" i="8"/>
  <c r="B1456" i="8" s="1"/>
  <c r="B1457" i="8" s="1"/>
  <c r="B1458" i="8" s="1"/>
  <c r="B1459" i="8" s="1"/>
  <c r="B1460" i="8" s="1"/>
  <c r="B1461" i="8" s="1"/>
  <c r="B1462" i="8" s="1"/>
  <c r="B1463" i="8" s="1"/>
  <c r="B1464" i="8" s="1"/>
  <c r="B1465" i="8" s="1"/>
  <c r="A1455" i="8"/>
  <c r="M1454" i="8"/>
  <c r="D1454" i="8"/>
  <c r="E1454" i="8" s="1"/>
  <c r="C1454" i="8"/>
  <c r="B1454" i="8"/>
  <c r="A1454" i="8"/>
  <c r="E1459" i="8" l="1"/>
  <c r="E1458" i="8"/>
  <c r="C1459" i="8"/>
  <c r="C1460" i="8" s="1"/>
  <c r="E1456" i="8"/>
  <c r="E1457" i="8"/>
  <c r="N1454" i="8"/>
  <c r="N1455" i="8" s="1"/>
  <c r="N1456" i="8" s="1"/>
  <c r="N1457" i="8" s="1"/>
  <c r="N1458" i="8" s="1"/>
  <c r="N1459" i="8" s="1"/>
  <c r="N1460" i="8" s="1"/>
  <c r="N1461" i="8" s="1"/>
  <c r="N1462" i="8" s="1"/>
  <c r="N1463" i="8" s="1"/>
  <c r="N1464" i="8" s="1"/>
  <c r="N1465" i="8" s="1"/>
  <c r="C1461" i="8" l="1"/>
  <c r="E1460" i="8"/>
  <c r="M1453" i="8"/>
  <c r="D1453" i="8"/>
  <c r="E1453" i="8" s="1"/>
  <c r="C1453" i="8"/>
  <c r="B1453" i="8"/>
  <c r="A1453" i="8"/>
  <c r="N1448" i="8"/>
  <c r="D1448" i="8" s="1"/>
  <c r="N1442" i="8"/>
  <c r="D1442" i="8" s="1"/>
  <c r="N1436" i="8"/>
  <c r="N1437" i="8" s="1"/>
  <c r="N1435" i="8"/>
  <c r="D1435" i="8" s="1"/>
  <c r="N1434" i="8"/>
  <c r="M1452" i="8"/>
  <c r="M1451" i="8"/>
  <c r="M1450" i="8"/>
  <c r="M1449" i="8"/>
  <c r="M1448" i="8"/>
  <c r="M1447" i="8"/>
  <c r="M1446" i="8"/>
  <c r="M1445" i="8"/>
  <c r="M1444" i="8"/>
  <c r="M1443" i="8"/>
  <c r="M1442" i="8"/>
  <c r="M1441" i="8"/>
  <c r="M1440" i="8"/>
  <c r="M1439" i="8"/>
  <c r="M1438" i="8"/>
  <c r="M1437" i="8"/>
  <c r="M1436" i="8"/>
  <c r="M1435" i="8"/>
  <c r="M1434" i="8"/>
  <c r="M1433" i="8"/>
  <c r="M1432" i="8"/>
  <c r="D1436" i="8"/>
  <c r="D1434" i="8"/>
  <c r="A1434" i="8"/>
  <c r="D1433" i="8"/>
  <c r="A1433" i="8"/>
  <c r="D1432" i="8"/>
  <c r="E1432" i="8" s="1"/>
  <c r="C1432" i="8"/>
  <c r="C1433" i="8" s="1"/>
  <c r="B1432" i="8"/>
  <c r="B1433" i="8" s="1"/>
  <c r="B1434" i="8" s="1"/>
  <c r="B1435" i="8" s="1"/>
  <c r="B1436" i="8" s="1"/>
  <c r="B1437" i="8" s="1"/>
  <c r="B1438" i="8" s="1"/>
  <c r="B1439" i="8" s="1"/>
  <c r="B1440" i="8" s="1"/>
  <c r="B1441" i="8" s="1"/>
  <c r="B1442" i="8" s="1"/>
  <c r="B1443" i="8" s="1"/>
  <c r="B1444" i="8" s="1"/>
  <c r="B1445" i="8" s="1"/>
  <c r="B1446" i="8" s="1"/>
  <c r="B1447" i="8" s="1"/>
  <c r="B1448" i="8" s="1"/>
  <c r="B1449" i="8" s="1"/>
  <c r="B1450" i="8" s="1"/>
  <c r="B1451" i="8" s="1"/>
  <c r="B1452" i="8" s="1"/>
  <c r="A1432" i="8"/>
  <c r="N1432" i="8"/>
  <c r="N1433" i="8" s="1"/>
  <c r="C1462" i="8" l="1"/>
  <c r="E1461" i="8"/>
  <c r="A1448" i="8"/>
  <c r="N1449" i="8"/>
  <c r="N1443" i="8"/>
  <c r="A1442" i="8"/>
  <c r="A1437" i="8"/>
  <c r="N1438" i="8"/>
  <c r="D1437" i="8"/>
  <c r="A1436" i="8"/>
  <c r="A1435" i="8"/>
  <c r="E1435" i="8"/>
  <c r="C1434" i="8"/>
  <c r="C1435" i="8" s="1"/>
  <c r="C1436" i="8" s="1"/>
  <c r="C1437" i="8" s="1"/>
  <c r="E1433" i="8"/>
  <c r="E1434" i="8"/>
  <c r="E1436" i="8"/>
  <c r="D1284" i="8"/>
  <c r="D1058" i="8"/>
  <c r="D1057" i="8"/>
  <c r="D1056" i="8"/>
  <c r="D957" i="8"/>
  <c r="D956" i="8"/>
  <c r="D955" i="8"/>
  <c r="D954" i="8"/>
  <c r="D953" i="8"/>
  <c r="D952" i="8"/>
  <c r="D234" i="8"/>
  <c r="D2" i="8"/>
  <c r="M1431" i="8"/>
  <c r="M1430" i="8"/>
  <c r="M1429" i="8"/>
  <c r="M1428" i="8"/>
  <c r="M1427" i="8"/>
  <c r="M1426" i="8"/>
  <c r="M1425" i="8"/>
  <c r="M1424" i="8"/>
  <c r="M1423" i="8"/>
  <c r="M1422" i="8"/>
  <c r="M1421" i="8"/>
  <c r="M1420" i="8"/>
  <c r="M1419" i="8"/>
  <c r="M1418" i="8"/>
  <c r="M1417" i="8"/>
  <c r="M1416" i="8"/>
  <c r="M1415" i="8"/>
  <c r="M1414" i="8"/>
  <c r="M1413" i="8"/>
  <c r="M1412" i="8"/>
  <c r="M1411" i="8"/>
  <c r="M1410" i="8"/>
  <c r="M1409" i="8"/>
  <c r="M1408" i="8"/>
  <c r="M1407" i="8"/>
  <c r="M1406" i="8"/>
  <c r="M1405" i="8"/>
  <c r="M1404" i="8"/>
  <c r="M1403" i="8"/>
  <c r="N1285" i="8"/>
  <c r="D1285" i="8" s="1"/>
  <c r="N1060" i="8"/>
  <c r="D1060" i="8" s="1"/>
  <c r="N1059" i="8"/>
  <c r="D1059" i="8" s="1"/>
  <c r="N958" i="8"/>
  <c r="D958" i="8" s="1"/>
  <c r="E1462" i="8" l="1"/>
  <c r="C1463" i="8"/>
  <c r="A1449" i="8"/>
  <c r="N1450" i="8"/>
  <c r="D1449" i="8"/>
  <c r="N1444" i="8"/>
  <c r="D1443" i="8"/>
  <c r="A1443" i="8"/>
  <c r="N1439" i="8"/>
  <c r="A1438" i="8"/>
  <c r="D1438" i="8"/>
  <c r="C1438" i="8"/>
  <c r="E1437" i="8"/>
  <c r="N959" i="8"/>
  <c r="N1061" i="8"/>
  <c r="D1061" i="8" s="1"/>
  <c r="N1286" i="8"/>
  <c r="C1464" i="8" l="1"/>
  <c r="E1463" i="8"/>
  <c r="N1451" i="8"/>
  <c r="D1450" i="8"/>
  <c r="A1450" i="8"/>
  <c r="N1445" i="8"/>
  <c r="D1444" i="8"/>
  <c r="A1444" i="8"/>
  <c r="A1439" i="8"/>
  <c r="N1440" i="8"/>
  <c r="D1439" i="8"/>
  <c r="C1439" i="8"/>
  <c r="E1438" i="8"/>
  <c r="N1062" i="8"/>
  <c r="N1287" i="8"/>
  <c r="D1286" i="8"/>
  <c r="N960" i="8"/>
  <c r="D959" i="8"/>
  <c r="C1465" i="8" l="1"/>
  <c r="E1465" i="8" s="1"/>
  <c r="E1464" i="8"/>
  <c r="A1451" i="8"/>
  <c r="N1452" i="8"/>
  <c r="D1451" i="8"/>
  <c r="D1445" i="8"/>
  <c r="N1446" i="8"/>
  <c r="A1445" i="8"/>
  <c r="N1441" i="8"/>
  <c r="A1440" i="8"/>
  <c r="D1440" i="8"/>
  <c r="E1439" i="8"/>
  <c r="C1440" i="8"/>
  <c r="N1288" i="8"/>
  <c r="D1288" i="8" s="1"/>
  <c r="D1287" i="8"/>
  <c r="D960" i="8"/>
  <c r="N961" i="8"/>
  <c r="N1063" i="8"/>
  <c r="D1062" i="8"/>
  <c r="N236" i="8"/>
  <c r="D236" i="8" s="1"/>
  <c r="N235" i="8"/>
  <c r="D235" i="8" s="1"/>
  <c r="N3" i="8"/>
  <c r="D3" i="8" s="1"/>
  <c r="D1452" i="8" l="1"/>
  <c r="N1453" i="8"/>
  <c r="A1452" i="8"/>
  <c r="D1446" i="8"/>
  <c r="A1446" i="8"/>
  <c r="N1447" i="8"/>
  <c r="A1441" i="8"/>
  <c r="D1441" i="8"/>
  <c r="C1441" i="8"/>
  <c r="E1440" i="8"/>
  <c r="D961" i="8"/>
  <c r="N962" i="8"/>
  <c r="N237" i="8"/>
  <c r="N4" i="8"/>
  <c r="N1064" i="8"/>
  <c r="D1063" i="8"/>
  <c r="M1402" i="8"/>
  <c r="D1447" i="8" l="1"/>
  <c r="A1447" i="8"/>
  <c r="C1442" i="8"/>
  <c r="E1441" i="8"/>
  <c r="D962" i="8"/>
  <c r="N963" i="8"/>
  <c r="D4" i="8"/>
  <c r="N5" i="8"/>
  <c r="D237" i="8"/>
  <c r="N238" i="8"/>
  <c r="N1065" i="8"/>
  <c r="D1064" i="8"/>
  <c r="M1401" i="8"/>
  <c r="K26" i="24"/>
  <c r="C26" i="24"/>
  <c r="C1443" i="8" l="1"/>
  <c r="E1442" i="8"/>
  <c r="D5" i="8"/>
  <c r="N6" i="8"/>
  <c r="N1066" i="8"/>
  <c r="D1065" i="8"/>
  <c r="N239" i="8"/>
  <c r="D238" i="8"/>
  <c r="N964" i="8"/>
  <c r="D963" i="8"/>
  <c r="M1400" i="8"/>
  <c r="M1399" i="8"/>
  <c r="M1398" i="8"/>
  <c r="M1397" i="8"/>
  <c r="M1396" i="8"/>
  <c r="E1443" i="8" l="1"/>
  <c r="C1444" i="8"/>
  <c r="D239" i="8"/>
  <c r="N240" i="8"/>
  <c r="D964" i="8"/>
  <c r="N965" i="8"/>
  <c r="N1067" i="8"/>
  <c r="D1066" i="8"/>
  <c r="N7" i="8"/>
  <c r="D6" i="8"/>
  <c r="M1395" i="8"/>
  <c r="M1394" i="8"/>
  <c r="M1393" i="8"/>
  <c r="C1445" i="8" l="1"/>
  <c r="E1444" i="8"/>
  <c r="N8" i="8"/>
  <c r="D7" i="8"/>
  <c r="N966" i="8"/>
  <c r="D965" i="8"/>
  <c r="N241" i="8"/>
  <c r="D240" i="8"/>
  <c r="N1068" i="8"/>
  <c r="D1067" i="8"/>
  <c r="M1392" i="8"/>
  <c r="M1391" i="8"/>
  <c r="M1390" i="8"/>
  <c r="C1446" i="8" l="1"/>
  <c r="E1445" i="8"/>
  <c r="N1069" i="8"/>
  <c r="D1068" i="8"/>
  <c r="D966" i="8"/>
  <c r="N967" i="8"/>
  <c r="N242" i="8"/>
  <c r="D241" i="8"/>
  <c r="N9" i="8"/>
  <c r="D8" i="8"/>
  <c r="C1447" i="8" l="1"/>
  <c r="E1446" i="8"/>
  <c r="D967" i="8"/>
  <c r="N968" i="8"/>
  <c r="N10" i="8"/>
  <c r="D9" i="8"/>
  <c r="N243" i="8"/>
  <c r="D242" i="8"/>
  <c r="N1070" i="8"/>
  <c r="D1069" i="8"/>
  <c r="M1389" i="8"/>
  <c r="M1388" i="8"/>
  <c r="M1387" i="8"/>
  <c r="M1386" i="8"/>
  <c r="M1385" i="8"/>
  <c r="M1384" i="8"/>
  <c r="M1383" i="8"/>
  <c r="M1382" i="8"/>
  <c r="E1447" i="8" l="1"/>
  <c r="C1448" i="8"/>
  <c r="N11" i="8"/>
  <c r="D10" i="8"/>
  <c r="N969" i="8"/>
  <c r="D968" i="8"/>
  <c r="N1071" i="8"/>
  <c r="D1070" i="8"/>
  <c r="N244" i="8"/>
  <c r="D243" i="8"/>
  <c r="M1381" i="8"/>
  <c r="M1380" i="8"/>
  <c r="M5" i="24"/>
  <c r="M6" i="24"/>
  <c r="C1449" i="8" l="1"/>
  <c r="E1448" i="8"/>
  <c r="N245" i="8"/>
  <c r="D244" i="8"/>
  <c r="D969" i="8"/>
  <c r="N970" i="8"/>
  <c r="N1072" i="8"/>
  <c r="D1071" i="8"/>
  <c r="N12" i="8"/>
  <c r="D11" i="8"/>
  <c r="M1379" i="8"/>
  <c r="M1378" i="8"/>
  <c r="C1450" i="8" l="1"/>
  <c r="E1449" i="8"/>
  <c r="N971" i="8"/>
  <c r="D970" i="8"/>
  <c r="N13" i="8"/>
  <c r="D12" i="8"/>
  <c r="N1073" i="8"/>
  <c r="D1072" i="8"/>
  <c r="N246" i="8"/>
  <c r="D245" i="8"/>
  <c r="M1377" i="8"/>
  <c r="M1376" i="8"/>
  <c r="M111" i="24"/>
  <c r="L111" i="24"/>
  <c r="M110" i="24"/>
  <c r="L110" i="24"/>
  <c r="M109" i="24"/>
  <c r="L109" i="24"/>
  <c r="M108" i="24"/>
  <c r="L108" i="24"/>
  <c r="M107" i="24"/>
  <c r="L107" i="24"/>
  <c r="M106" i="24"/>
  <c r="L106" i="24"/>
  <c r="M105" i="24"/>
  <c r="L105" i="24"/>
  <c r="M104" i="24"/>
  <c r="L104" i="24"/>
  <c r="M103" i="24"/>
  <c r="L103" i="24"/>
  <c r="M102" i="24"/>
  <c r="L102" i="24"/>
  <c r="M101" i="24"/>
  <c r="L101" i="24"/>
  <c r="M100" i="24"/>
  <c r="L100" i="24"/>
  <c r="M99" i="24"/>
  <c r="L99" i="24"/>
  <c r="M98" i="24"/>
  <c r="L98" i="24"/>
  <c r="M97" i="24"/>
  <c r="L97" i="24"/>
  <c r="M96" i="24"/>
  <c r="L96" i="24"/>
  <c r="M95" i="24"/>
  <c r="L95" i="24"/>
  <c r="M94" i="24"/>
  <c r="L94" i="24"/>
  <c r="M93" i="24"/>
  <c r="L93" i="24"/>
  <c r="M92" i="24"/>
  <c r="L92" i="24"/>
  <c r="M91" i="24"/>
  <c r="L91" i="24"/>
  <c r="M90" i="24"/>
  <c r="L90" i="24"/>
  <c r="M89" i="24"/>
  <c r="L89" i="24"/>
  <c r="M88" i="24"/>
  <c r="L88" i="24"/>
  <c r="M87" i="24"/>
  <c r="L87" i="24"/>
  <c r="M86" i="24"/>
  <c r="L86" i="24"/>
  <c r="M85" i="24"/>
  <c r="L85" i="24"/>
  <c r="M84" i="24"/>
  <c r="L84" i="24"/>
  <c r="M83" i="24"/>
  <c r="L83" i="24"/>
  <c r="M82" i="24"/>
  <c r="L82" i="24"/>
  <c r="M81" i="24"/>
  <c r="L81" i="24"/>
  <c r="M80" i="24"/>
  <c r="L80" i="24"/>
  <c r="M79" i="24"/>
  <c r="L79" i="24"/>
  <c r="M78" i="24"/>
  <c r="L78" i="24"/>
  <c r="M77" i="24"/>
  <c r="L77" i="24"/>
  <c r="M76" i="24"/>
  <c r="L76" i="24"/>
  <c r="M75" i="24"/>
  <c r="L75" i="24"/>
  <c r="M74" i="24"/>
  <c r="L74" i="24"/>
  <c r="M73" i="24"/>
  <c r="L73" i="24"/>
  <c r="M72" i="24"/>
  <c r="L72" i="24"/>
  <c r="M71" i="24"/>
  <c r="L71" i="24"/>
  <c r="M70" i="24"/>
  <c r="L70" i="24"/>
  <c r="M69" i="24"/>
  <c r="L69" i="24"/>
  <c r="M68" i="24"/>
  <c r="L68" i="24"/>
  <c r="M67" i="24"/>
  <c r="L67" i="24"/>
  <c r="M66" i="24"/>
  <c r="L66" i="24"/>
  <c r="M65" i="24"/>
  <c r="L65" i="24"/>
  <c r="M64" i="24"/>
  <c r="L64" i="24"/>
  <c r="M63" i="24"/>
  <c r="L63" i="24"/>
  <c r="M62" i="24"/>
  <c r="L62" i="24"/>
  <c r="M61" i="24"/>
  <c r="L61" i="24"/>
  <c r="M60" i="24"/>
  <c r="L60" i="24"/>
  <c r="M59" i="24"/>
  <c r="L59" i="24"/>
  <c r="M58" i="24"/>
  <c r="L58" i="24"/>
  <c r="M57" i="24"/>
  <c r="L57" i="24"/>
  <c r="M56" i="24"/>
  <c r="L56" i="24"/>
  <c r="M55" i="24"/>
  <c r="L55" i="24"/>
  <c r="M54" i="24"/>
  <c r="L54" i="24"/>
  <c r="M53" i="24"/>
  <c r="L53" i="24"/>
  <c r="M52" i="24"/>
  <c r="L52" i="24"/>
  <c r="M51" i="24"/>
  <c r="L51" i="24"/>
  <c r="M50" i="24"/>
  <c r="L50" i="24"/>
  <c r="M49" i="24"/>
  <c r="L49" i="24"/>
  <c r="M48" i="24"/>
  <c r="L48" i="24"/>
  <c r="M47" i="24"/>
  <c r="L47" i="24"/>
  <c r="M46" i="24"/>
  <c r="L46" i="24"/>
  <c r="M45" i="24"/>
  <c r="L45" i="24"/>
  <c r="M44" i="24"/>
  <c r="L44" i="24"/>
  <c r="M43" i="24"/>
  <c r="L43" i="24"/>
  <c r="M42" i="24"/>
  <c r="L42" i="24"/>
  <c r="M41" i="24"/>
  <c r="L41" i="24"/>
  <c r="M40" i="24"/>
  <c r="L40" i="24"/>
  <c r="M39" i="24"/>
  <c r="L39" i="24"/>
  <c r="M38" i="24"/>
  <c r="L38" i="24"/>
  <c r="M37" i="24"/>
  <c r="L37" i="24"/>
  <c r="M36" i="24"/>
  <c r="L36" i="24"/>
  <c r="M35" i="24"/>
  <c r="L35" i="24"/>
  <c r="M34" i="24"/>
  <c r="L34" i="24"/>
  <c r="M33" i="24"/>
  <c r="L33" i="24"/>
  <c r="M32" i="24"/>
  <c r="L32" i="24"/>
  <c r="M31" i="24"/>
  <c r="L31" i="24"/>
  <c r="M30" i="24"/>
  <c r="L30" i="24"/>
  <c r="M29" i="24"/>
  <c r="L29" i="24"/>
  <c r="M28" i="24"/>
  <c r="L28" i="24"/>
  <c r="M27" i="24"/>
  <c r="L27" i="24"/>
  <c r="M26" i="24"/>
  <c r="L26" i="24"/>
  <c r="M25" i="24"/>
  <c r="L25" i="24"/>
  <c r="M24" i="24"/>
  <c r="L24" i="24"/>
  <c r="M23" i="24"/>
  <c r="L23" i="24"/>
  <c r="M22" i="24"/>
  <c r="L22" i="24"/>
  <c r="M21" i="24"/>
  <c r="L21" i="24"/>
  <c r="M20" i="24"/>
  <c r="L20" i="24"/>
  <c r="M19" i="24"/>
  <c r="L19" i="24"/>
  <c r="M18" i="24"/>
  <c r="L18" i="24"/>
  <c r="M17" i="24"/>
  <c r="L17" i="24"/>
  <c r="M16" i="24"/>
  <c r="L16" i="24"/>
  <c r="M15" i="24"/>
  <c r="L15" i="24"/>
  <c r="M14" i="24"/>
  <c r="L14" i="24"/>
  <c r="M13" i="24"/>
  <c r="L13" i="24"/>
  <c r="M12" i="24"/>
  <c r="L12" i="24"/>
  <c r="M11" i="24"/>
  <c r="L11" i="24"/>
  <c r="M10" i="24"/>
  <c r="L10" i="24"/>
  <c r="M9" i="24"/>
  <c r="L9" i="24"/>
  <c r="M8" i="24"/>
  <c r="L8" i="24"/>
  <c r="M7" i="24"/>
  <c r="L7" i="24"/>
  <c r="L6" i="24"/>
  <c r="L5" i="24"/>
  <c r="M4" i="24"/>
  <c r="L4" i="24"/>
  <c r="M3" i="24"/>
  <c r="L3" i="24"/>
  <c r="M2" i="24"/>
  <c r="L2" i="24"/>
  <c r="M1" i="24"/>
  <c r="L1" i="24"/>
  <c r="M1375" i="8"/>
  <c r="M1374" i="8"/>
  <c r="M1373" i="8"/>
  <c r="M1372" i="8"/>
  <c r="M1371" i="8"/>
  <c r="M1370" i="8"/>
  <c r="M1369" i="8"/>
  <c r="M1368" i="8"/>
  <c r="M1367" i="8"/>
  <c r="M1366" i="8"/>
  <c r="M1365" i="8"/>
  <c r="M1364" i="8"/>
  <c r="M1363" i="8"/>
  <c r="M1362" i="8"/>
  <c r="M1361" i="8"/>
  <c r="M111" i="23"/>
  <c r="L111" i="23"/>
  <c r="M110" i="23"/>
  <c r="L110" i="23"/>
  <c r="M109" i="23"/>
  <c r="L109" i="23"/>
  <c r="M108" i="23"/>
  <c r="L108" i="23"/>
  <c r="M107" i="23"/>
  <c r="L107" i="23"/>
  <c r="M106" i="23"/>
  <c r="L106" i="23"/>
  <c r="M105" i="23"/>
  <c r="L105" i="23"/>
  <c r="M104" i="23"/>
  <c r="L104" i="23"/>
  <c r="M103" i="23"/>
  <c r="L103" i="23"/>
  <c r="M102" i="23"/>
  <c r="L102" i="23"/>
  <c r="M101" i="23"/>
  <c r="L101" i="23"/>
  <c r="M100" i="23"/>
  <c r="L100" i="23"/>
  <c r="M99" i="23"/>
  <c r="L99" i="23"/>
  <c r="M98" i="23"/>
  <c r="L98" i="23"/>
  <c r="M97" i="23"/>
  <c r="L97" i="23"/>
  <c r="C1451" i="8" l="1"/>
  <c r="E1450" i="8"/>
  <c r="N247" i="8"/>
  <c r="D246" i="8"/>
  <c r="N14" i="8"/>
  <c r="D13" i="8"/>
  <c r="N1074" i="8"/>
  <c r="D1073" i="8"/>
  <c r="N972" i="8"/>
  <c r="D971" i="8"/>
  <c r="M1360" i="8"/>
  <c r="M1359" i="8"/>
  <c r="M1358" i="8"/>
  <c r="M96" i="23"/>
  <c r="L96" i="23"/>
  <c r="M95" i="23"/>
  <c r="L95" i="23"/>
  <c r="M94" i="23"/>
  <c r="L94" i="23"/>
  <c r="E1451" i="8" l="1"/>
  <c r="C1452" i="8"/>
  <c r="E1452" i="8" s="1"/>
  <c r="N973" i="8"/>
  <c r="D972" i="8"/>
  <c r="N15" i="8"/>
  <c r="D14" i="8"/>
  <c r="N1075" i="8"/>
  <c r="D1074" i="8"/>
  <c r="N248" i="8"/>
  <c r="D247" i="8"/>
  <c r="M1357" i="8"/>
  <c r="M1356" i="8"/>
  <c r="M1355" i="8"/>
  <c r="M93" i="23"/>
  <c r="L93" i="23"/>
  <c r="M92" i="23"/>
  <c r="L92" i="23"/>
  <c r="M91" i="23"/>
  <c r="L91" i="23"/>
  <c r="M90" i="23"/>
  <c r="L90" i="23"/>
  <c r="N249" i="8" l="1"/>
  <c r="D248" i="8"/>
  <c r="N16" i="8"/>
  <c r="D15" i="8"/>
  <c r="N1076" i="8"/>
  <c r="D1075" i="8"/>
  <c r="N974" i="8"/>
  <c r="D973" i="8"/>
  <c r="M1354" i="8"/>
  <c r="N975" i="8" l="1"/>
  <c r="D974" i="8"/>
  <c r="N17" i="8"/>
  <c r="D16" i="8"/>
  <c r="N1077" i="8"/>
  <c r="D1076" i="8"/>
  <c r="N250" i="8"/>
  <c r="D249" i="8"/>
  <c r="M1353" i="8"/>
  <c r="M1352" i="8"/>
  <c r="M1351" i="8"/>
  <c r="M1350" i="8"/>
  <c r="M1349" i="8"/>
  <c r="M89" i="23"/>
  <c r="L89" i="23"/>
  <c r="M88" i="23"/>
  <c r="L88" i="23"/>
  <c r="M87" i="23"/>
  <c r="L87" i="23"/>
  <c r="M86" i="23"/>
  <c r="L86" i="23"/>
  <c r="M85" i="23"/>
  <c r="L85" i="23"/>
  <c r="N251" i="8" l="1"/>
  <c r="D250" i="8"/>
  <c r="N18" i="8"/>
  <c r="D17" i="8"/>
  <c r="N1078" i="8"/>
  <c r="D1077" i="8"/>
  <c r="N976" i="8"/>
  <c r="D975" i="8"/>
  <c r="M1348" i="8"/>
  <c r="M1347" i="8"/>
  <c r="M1346" i="8"/>
  <c r="M84" i="23"/>
  <c r="L84" i="23"/>
  <c r="M83" i="23"/>
  <c r="L83" i="23"/>
  <c r="M82" i="23"/>
  <c r="L82" i="23"/>
  <c r="D976" i="8" l="1"/>
  <c r="N977" i="8"/>
  <c r="N19" i="8"/>
  <c r="D18" i="8"/>
  <c r="N1079" i="8"/>
  <c r="D1078" i="8"/>
  <c r="N252" i="8"/>
  <c r="D251" i="8"/>
  <c r="M1345" i="8"/>
  <c r="M1344" i="8"/>
  <c r="M1343" i="8"/>
  <c r="M1342" i="8"/>
  <c r="M1341" i="8"/>
  <c r="M1340" i="8"/>
  <c r="M1339" i="8"/>
  <c r="M81" i="23"/>
  <c r="L81" i="23"/>
  <c r="M80" i="23"/>
  <c r="L80" i="23"/>
  <c r="M79" i="23"/>
  <c r="L79" i="23"/>
  <c r="M78" i="23"/>
  <c r="L78" i="23"/>
  <c r="M77" i="23"/>
  <c r="L77" i="23"/>
  <c r="M76" i="23"/>
  <c r="L76" i="23"/>
  <c r="M75" i="23"/>
  <c r="L75" i="23"/>
  <c r="N253" i="8" l="1"/>
  <c r="D252" i="8"/>
  <c r="N20" i="8"/>
  <c r="D19" i="8"/>
  <c r="N978" i="8"/>
  <c r="D977" i="8"/>
  <c r="N1080" i="8"/>
  <c r="D1079" i="8"/>
  <c r="M1338" i="8"/>
  <c r="M1337" i="8"/>
  <c r="M1336" i="8"/>
  <c r="M1335" i="8"/>
  <c r="M1334" i="8"/>
  <c r="M1333" i="8"/>
  <c r="M1332" i="8"/>
  <c r="M74" i="23"/>
  <c r="L74" i="23"/>
  <c r="M73" i="23"/>
  <c r="L73" i="23"/>
  <c r="M72" i="23"/>
  <c r="L72" i="23"/>
  <c r="M71" i="23"/>
  <c r="L71" i="23"/>
  <c r="M70" i="23"/>
  <c r="L70" i="23"/>
  <c r="M69" i="23"/>
  <c r="L69" i="23"/>
  <c r="M68" i="23"/>
  <c r="L68" i="23"/>
  <c r="N1081" i="8" l="1"/>
  <c r="D1080" i="8"/>
  <c r="N21" i="8"/>
  <c r="D20" i="8"/>
  <c r="N979" i="8"/>
  <c r="D978" i="8"/>
  <c r="N254" i="8"/>
  <c r="D253" i="8"/>
  <c r="M1331" i="8"/>
  <c r="M1330" i="8"/>
  <c r="M1329" i="8"/>
  <c r="M1328" i="8"/>
  <c r="M67" i="23"/>
  <c r="L67" i="23"/>
  <c r="M66" i="23"/>
  <c r="L66" i="23"/>
  <c r="M65" i="23"/>
  <c r="L65" i="23"/>
  <c r="M64" i="23"/>
  <c r="L64" i="23"/>
  <c r="N255" i="8" l="1"/>
  <c r="D254" i="8"/>
  <c r="N22" i="8"/>
  <c r="D21" i="8"/>
  <c r="N980" i="8"/>
  <c r="D979" i="8"/>
  <c r="N1082" i="8"/>
  <c r="D1081" i="8"/>
  <c r="M1327" i="8"/>
  <c r="M1326" i="8"/>
  <c r="M1325" i="8"/>
  <c r="M1324" i="8"/>
  <c r="M63" i="23"/>
  <c r="L63" i="23"/>
  <c r="M62" i="23"/>
  <c r="L62" i="23"/>
  <c r="M61" i="23"/>
  <c r="L61" i="23"/>
  <c r="M60" i="23"/>
  <c r="L60" i="23"/>
  <c r="M59" i="23"/>
  <c r="L59" i="23"/>
  <c r="M58" i="23"/>
  <c r="L58" i="23"/>
  <c r="N1083" i="8" l="1"/>
  <c r="D1082" i="8"/>
  <c r="N23" i="8"/>
  <c r="D22" i="8"/>
  <c r="N981" i="8"/>
  <c r="D980" i="8"/>
  <c r="N256" i="8"/>
  <c r="D255" i="8"/>
  <c r="L52" i="23"/>
  <c r="L57" i="23"/>
  <c r="L56" i="23"/>
  <c r="L55" i="23"/>
  <c r="L54" i="23"/>
  <c r="M57" i="23"/>
  <c r="M56" i="23"/>
  <c r="M55" i="23"/>
  <c r="M54" i="23"/>
  <c r="N257" i="8" l="1"/>
  <c r="D256" i="8"/>
  <c r="N24" i="8"/>
  <c r="D23" i="8"/>
  <c r="N982" i="8"/>
  <c r="D981" i="8"/>
  <c r="N1084" i="8"/>
  <c r="D1083" i="8"/>
  <c r="M1323" i="8"/>
  <c r="M1322" i="8"/>
  <c r="M1321" i="8"/>
  <c r="M1320" i="8"/>
  <c r="M1319" i="8"/>
  <c r="M1318" i="8"/>
  <c r="M1317" i="8"/>
  <c r="M1316" i="8"/>
  <c r="M1315" i="8"/>
  <c r="M1314" i="8"/>
  <c r="M1313" i="8"/>
  <c r="M1312" i="8"/>
  <c r="M1311" i="8"/>
  <c r="M1310" i="8"/>
  <c r="M1309" i="8"/>
  <c r="M1308" i="8"/>
  <c r="M1307" i="8"/>
  <c r="M1306" i="8"/>
  <c r="M1305" i="8"/>
  <c r="M1304" i="8"/>
  <c r="M1303" i="8"/>
  <c r="M1302" i="8"/>
  <c r="M1301" i="8"/>
  <c r="M1300" i="8"/>
  <c r="M1299" i="8"/>
  <c r="M1298" i="8"/>
  <c r="M1297" i="8"/>
  <c r="M1296" i="8"/>
  <c r="M1295" i="8"/>
  <c r="M1294" i="8"/>
  <c r="M1293" i="8"/>
  <c r="M1292" i="8"/>
  <c r="M1291" i="8"/>
  <c r="M1290" i="8"/>
  <c r="M1289" i="8"/>
  <c r="M1288" i="8"/>
  <c r="M1287" i="8"/>
  <c r="M1286" i="8"/>
  <c r="M1285" i="8"/>
  <c r="M1284" i="8"/>
  <c r="M1283" i="8"/>
  <c r="M1282" i="8"/>
  <c r="M1281" i="8"/>
  <c r="M1280" i="8"/>
  <c r="M1279" i="8"/>
  <c r="M1278" i="8"/>
  <c r="M1277" i="8"/>
  <c r="M1276" i="8"/>
  <c r="M1275" i="8"/>
  <c r="M1274" i="8"/>
  <c r="M1273" i="8"/>
  <c r="M1272" i="8"/>
  <c r="M1271" i="8"/>
  <c r="M1270" i="8"/>
  <c r="M1269" i="8"/>
  <c r="M1268" i="8"/>
  <c r="M1267" i="8"/>
  <c r="M1266" i="8"/>
  <c r="M1265" i="8"/>
  <c r="M1264" i="8"/>
  <c r="M1263" i="8"/>
  <c r="M1262" i="8"/>
  <c r="M1261" i="8"/>
  <c r="M1260" i="8"/>
  <c r="M1259" i="8"/>
  <c r="M1258" i="8"/>
  <c r="M1257" i="8"/>
  <c r="M1256" i="8"/>
  <c r="M1255" i="8"/>
  <c r="M1254" i="8"/>
  <c r="M1253" i="8"/>
  <c r="M1252" i="8"/>
  <c r="M1251" i="8"/>
  <c r="M1250" i="8"/>
  <c r="M1249" i="8"/>
  <c r="M1248" i="8"/>
  <c r="M1247" i="8"/>
  <c r="M1246" i="8"/>
  <c r="M1245" i="8"/>
  <c r="M1244" i="8"/>
  <c r="M1243" i="8"/>
  <c r="M1242" i="8"/>
  <c r="M1241" i="8"/>
  <c r="M1240" i="8"/>
  <c r="M1239" i="8"/>
  <c r="M1238" i="8"/>
  <c r="M1237" i="8"/>
  <c r="M1236" i="8"/>
  <c r="M1235" i="8"/>
  <c r="M1234" i="8"/>
  <c r="M1233" i="8"/>
  <c r="M1232" i="8"/>
  <c r="M1231" i="8"/>
  <c r="M1230" i="8"/>
  <c r="M1229" i="8"/>
  <c r="M1228" i="8"/>
  <c r="M1227" i="8"/>
  <c r="M1226" i="8"/>
  <c r="M1225" i="8"/>
  <c r="M1224" i="8"/>
  <c r="M1223" i="8"/>
  <c r="M1222" i="8"/>
  <c r="M1221" i="8"/>
  <c r="M1220" i="8"/>
  <c r="M1219" i="8"/>
  <c r="M1218" i="8"/>
  <c r="M1217" i="8"/>
  <c r="M1216" i="8"/>
  <c r="M1215" i="8"/>
  <c r="M1214" i="8"/>
  <c r="M1213" i="8"/>
  <c r="M1212" i="8"/>
  <c r="M1211" i="8"/>
  <c r="M1210" i="8"/>
  <c r="M1209" i="8"/>
  <c r="M1208" i="8"/>
  <c r="M1207" i="8"/>
  <c r="M1206" i="8"/>
  <c r="M1205" i="8"/>
  <c r="M1204" i="8"/>
  <c r="M1203" i="8"/>
  <c r="M1202" i="8"/>
  <c r="M1201" i="8"/>
  <c r="M1200" i="8"/>
  <c r="M1199" i="8"/>
  <c r="M1198" i="8"/>
  <c r="M1197" i="8"/>
  <c r="M1196" i="8"/>
  <c r="M1195" i="8"/>
  <c r="M1194" i="8"/>
  <c r="M1193" i="8"/>
  <c r="M1192" i="8"/>
  <c r="M1191" i="8"/>
  <c r="M1190" i="8"/>
  <c r="M1189" i="8"/>
  <c r="M1188" i="8"/>
  <c r="M1187" i="8"/>
  <c r="M1186" i="8"/>
  <c r="M1185" i="8"/>
  <c r="M1184" i="8"/>
  <c r="M1183" i="8"/>
  <c r="M1182" i="8"/>
  <c r="M1181" i="8"/>
  <c r="M1180" i="8"/>
  <c r="M1179" i="8"/>
  <c r="M1178" i="8"/>
  <c r="M1177" i="8"/>
  <c r="M1176" i="8"/>
  <c r="M1175" i="8"/>
  <c r="M1174" i="8"/>
  <c r="M1173" i="8"/>
  <c r="M1172" i="8"/>
  <c r="M1171" i="8"/>
  <c r="M1170" i="8"/>
  <c r="M1169" i="8"/>
  <c r="M1168" i="8"/>
  <c r="M1167" i="8"/>
  <c r="M1166" i="8"/>
  <c r="M1165" i="8"/>
  <c r="M1164" i="8"/>
  <c r="M1163" i="8"/>
  <c r="M1162" i="8"/>
  <c r="M1161" i="8"/>
  <c r="M1160" i="8"/>
  <c r="M1159" i="8"/>
  <c r="M1158" i="8"/>
  <c r="M1157" i="8"/>
  <c r="M1156" i="8"/>
  <c r="M1155" i="8"/>
  <c r="M1154" i="8"/>
  <c r="M1153" i="8"/>
  <c r="M1152" i="8"/>
  <c r="M1151" i="8"/>
  <c r="M1150" i="8"/>
  <c r="M1149" i="8"/>
  <c r="M1148" i="8"/>
  <c r="M1147" i="8"/>
  <c r="M1146" i="8"/>
  <c r="M1145" i="8"/>
  <c r="M1144" i="8"/>
  <c r="M1143" i="8"/>
  <c r="M1142" i="8"/>
  <c r="M1141" i="8"/>
  <c r="M1140" i="8"/>
  <c r="M1139" i="8"/>
  <c r="M1138" i="8"/>
  <c r="M1137" i="8"/>
  <c r="M1136" i="8"/>
  <c r="M1135" i="8"/>
  <c r="M1134" i="8"/>
  <c r="M1133" i="8"/>
  <c r="M1132" i="8"/>
  <c r="M1131" i="8"/>
  <c r="M1130" i="8"/>
  <c r="M1129" i="8"/>
  <c r="M1128" i="8"/>
  <c r="M1127" i="8"/>
  <c r="M1126" i="8"/>
  <c r="M1125" i="8"/>
  <c r="M1124" i="8"/>
  <c r="M1123" i="8"/>
  <c r="M1122" i="8"/>
  <c r="M1121" i="8"/>
  <c r="M1120" i="8"/>
  <c r="M1119" i="8"/>
  <c r="M1118" i="8"/>
  <c r="M1117" i="8"/>
  <c r="M1116" i="8"/>
  <c r="M1115" i="8"/>
  <c r="M1114" i="8"/>
  <c r="M1113" i="8"/>
  <c r="M1112" i="8"/>
  <c r="M1111" i="8"/>
  <c r="M1110" i="8"/>
  <c r="M1109" i="8"/>
  <c r="M1108" i="8"/>
  <c r="M1107" i="8"/>
  <c r="M1106" i="8"/>
  <c r="M1105" i="8"/>
  <c r="M1104" i="8"/>
  <c r="M1103" i="8"/>
  <c r="M1102" i="8"/>
  <c r="M1101" i="8"/>
  <c r="M1100" i="8"/>
  <c r="M1099" i="8"/>
  <c r="M1098" i="8"/>
  <c r="M1097" i="8"/>
  <c r="M1096" i="8"/>
  <c r="M1095" i="8"/>
  <c r="M1094" i="8"/>
  <c r="M1093" i="8"/>
  <c r="M1092" i="8"/>
  <c r="M1091" i="8"/>
  <c r="M1090" i="8"/>
  <c r="M1089" i="8"/>
  <c r="M1088" i="8"/>
  <c r="M1087" i="8"/>
  <c r="M1086" i="8"/>
  <c r="M1085" i="8"/>
  <c r="M1084" i="8"/>
  <c r="M1083" i="8"/>
  <c r="M1082" i="8"/>
  <c r="M1081" i="8"/>
  <c r="M1080" i="8"/>
  <c r="M1079" i="8"/>
  <c r="M1078" i="8"/>
  <c r="M1077" i="8"/>
  <c r="M1076" i="8"/>
  <c r="M1075" i="8"/>
  <c r="M1074" i="8"/>
  <c r="M1073" i="8"/>
  <c r="M1072" i="8"/>
  <c r="M1071" i="8"/>
  <c r="M1070" i="8"/>
  <c r="M1069" i="8"/>
  <c r="M1068" i="8"/>
  <c r="M1067" i="8"/>
  <c r="M1066" i="8"/>
  <c r="M1065" i="8"/>
  <c r="M1064" i="8"/>
  <c r="M1063" i="8"/>
  <c r="M1062" i="8"/>
  <c r="M1061" i="8"/>
  <c r="M1060" i="8"/>
  <c r="M1059" i="8"/>
  <c r="M1058" i="8"/>
  <c r="M1057" i="8"/>
  <c r="M1056" i="8"/>
  <c r="M1055" i="8"/>
  <c r="M1054" i="8"/>
  <c r="M1053" i="8"/>
  <c r="M1052" i="8"/>
  <c r="M1051" i="8"/>
  <c r="M1050" i="8"/>
  <c r="M1049" i="8"/>
  <c r="M1048" i="8"/>
  <c r="M1047" i="8"/>
  <c r="M1046" i="8"/>
  <c r="M1045" i="8"/>
  <c r="M1044" i="8"/>
  <c r="M1043" i="8"/>
  <c r="M1042" i="8"/>
  <c r="M1041" i="8"/>
  <c r="M1040" i="8"/>
  <c r="M1039" i="8"/>
  <c r="M1038" i="8"/>
  <c r="M1037" i="8"/>
  <c r="M1036" i="8"/>
  <c r="M1035" i="8"/>
  <c r="M1034" i="8"/>
  <c r="M1033" i="8"/>
  <c r="M1032" i="8"/>
  <c r="M1031" i="8"/>
  <c r="M1030" i="8"/>
  <c r="M1029" i="8"/>
  <c r="M1028" i="8"/>
  <c r="M1027" i="8"/>
  <c r="M1026" i="8"/>
  <c r="M1025" i="8"/>
  <c r="M1024" i="8"/>
  <c r="M1023" i="8"/>
  <c r="M1022" i="8"/>
  <c r="M1021" i="8"/>
  <c r="M1020" i="8"/>
  <c r="M1019" i="8"/>
  <c r="M1018" i="8"/>
  <c r="M1017" i="8"/>
  <c r="M1016" i="8"/>
  <c r="M1015" i="8"/>
  <c r="M1014" i="8"/>
  <c r="M1013" i="8"/>
  <c r="M1012" i="8"/>
  <c r="M1011" i="8"/>
  <c r="M1010" i="8"/>
  <c r="M1009" i="8"/>
  <c r="M1008" i="8"/>
  <c r="M1007" i="8"/>
  <c r="M1006" i="8"/>
  <c r="M1005" i="8"/>
  <c r="M1004" i="8"/>
  <c r="M1003" i="8"/>
  <c r="M1002" i="8"/>
  <c r="M1001" i="8"/>
  <c r="M1000" i="8"/>
  <c r="M999" i="8"/>
  <c r="M998" i="8"/>
  <c r="M997" i="8"/>
  <c r="M996" i="8"/>
  <c r="M995" i="8"/>
  <c r="M994" i="8"/>
  <c r="M993" i="8"/>
  <c r="M992" i="8"/>
  <c r="M991" i="8"/>
  <c r="M990" i="8"/>
  <c r="M989" i="8"/>
  <c r="M988" i="8"/>
  <c r="M987" i="8"/>
  <c r="M986" i="8"/>
  <c r="M985" i="8"/>
  <c r="M984" i="8"/>
  <c r="M983" i="8"/>
  <c r="M982" i="8"/>
  <c r="M981" i="8"/>
  <c r="M980" i="8"/>
  <c r="M979" i="8"/>
  <c r="M978" i="8"/>
  <c r="M977" i="8"/>
  <c r="M976" i="8"/>
  <c r="M975" i="8"/>
  <c r="M974" i="8"/>
  <c r="M973" i="8"/>
  <c r="M972" i="8"/>
  <c r="M971" i="8"/>
  <c r="M970" i="8"/>
  <c r="M969" i="8"/>
  <c r="M968" i="8"/>
  <c r="M967" i="8"/>
  <c r="M966" i="8"/>
  <c r="M965" i="8"/>
  <c r="M964" i="8"/>
  <c r="M963" i="8"/>
  <c r="M962" i="8"/>
  <c r="M961" i="8"/>
  <c r="M960" i="8"/>
  <c r="M959" i="8"/>
  <c r="M958" i="8"/>
  <c r="M957" i="8"/>
  <c r="M956" i="8"/>
  <c r="M955" i="8"/>
  <c r="M954" i="8"/>
  <c r="M953" i="8"/>
  <c r="M952" i="8"/>
  <c r="M951" i="8"/>
  <c r="M950" i="8"/>
  <c r="M949" i="8"/>
  <c r="M948" i="8"/>
  <c r="M947" i="8"/>
  <c r="M946" i="8"/>
  <c r="M945" i="8"/>
  <c r="M944" i="8"/>
  <c r="M943" i="8"/>
  <c r="M942" i="8"/>
  <c r="M941" i="8"/>
  <c r="M940" i="8"/>
  <c r="M939" i="8"/>
  <c r="M938" i="8"/>
  <c r="M937" i="8"/>
  <c r="M936" i="8"/>
  <c r="M935" i="8"/>
  <c r="M934" i="8"/>
  <c r="M933" i="8"/>
  <c r="M932" i="8"/>
  <c r="M931" i="8"/>
  <c r="M930" i="8"/>
  <c r="M929" i="8"/>
  <c r="M928" i="8"/>
  <c r="M927" i="8"/>
  <c r="M926" i="8"/>
  <c r="M925" i="8"/>
  <c r="M924" i="8"/>
  <c r="M923" i="8"/>
  <c r="M922" i="8"/>
  <c r="M921" i="8"/>
  <c r="M920" i="8"/>
  <c r="M919" i="8"/>
  <c r="M918" i="8"/>
  <c r="M917" i="8"/>
  <c r="M916" i="8"/>
  <c r="M915" i="8"/>
  <c r="M914" i="8"/>
  <c r="M913" i="8"/>
  <c r="M912" i="8"/>
  <c r="M911" i="8"/>
  <c r="M910" i="8"/>
  <c r="M909" i="8"/>
  <c r="M908" i="8"/>
  <c r="M907" i="8"/>
  <c r="M906" i="8"/>
  <c r="M905" i="8"/>
  <c r="M904" i="8"/>
  <c r="M903" i="8"/>
  <c r="M902" i="8"/>
  <c r="M901" i="8"/>
  <c r="M900" i="8"/>
  <c r="M899" i="8"/>
  <c r="M898" i="8"/>
  <c r="M897" i="8"/>
  <c r="M896" i="8"/>
  <c r="M895" i="8"/>
  <c r="M894" i="8"/>
  <c r="M893" i="8"/>
  <c r="M892" i="8"/>
  <c r="M891" i="8"/>
  <c r="M890" i="8"/>
  <c r="M889" i="8"/>
  <c r="M888" i="8"/>
  <c r="M887" i="8"/>
  <c r="M886" i="8"/>
  <c r="M885" i="8"/>
  <c r="M884" i="8"/>
  <c r="M883" i="8"/>
  <c r="M882" i="8"/>
  <c r="M881" i="8"/>
  <c r="M880" i="8"/>
  <c r="M879" i="8"/>
  <c r="M878" i="8"/>
  <c r="M877" i="8"/>
  <c r="M876" i="8"/>
  <c r="M875" i="8"/>
  <c r="M874" i="8"/>
  <c r="M873" i="8"/>
  <c r="M872" i="8"/>
  <c r="M871" i="8"/>
  <c r="M870" i="8"/>
  <c r="M869" i="8"/>
  <c r="M868" i="8"/>
  <c r="M867" i="8"/>
  <c r="M866" i="8"/>
  <c r="M865" i="8"/>
  <c r="M864" i="8"/>
  <c r="M863" i="8"/>
  <c r="M862" i="8"/>
  <c r="M861" i="8"/>
  <c r="M860" i="8"/>
  <c r="M859" i="8"/>
  <c r="M858" i="8"/>
  <c r="M857" i="8"/>
  <c r="M856" i="8"/>
  <c r="M855" i="8"/>
  <c r="M854" i="8"/>
  <c r="M853" i="8"/>
  <c r="M852" i="8"/>
  <c r="M851" i="8"/>
  <c r="M850" i="8"/>
  <c r="M849" i="8"/>
  <c r="M848" i="8"/>
  <c r="M847" i="8"/>
  <c r="M846" i="8"/>
  <c r="M845" i="8"/>
  <c r="M844" i="8"/>
  <c r="M843" i="8"/>
  <c r="M842" i="8"/>
  <c r="M841" i="8"/>
  <c r="M840" i="8"/>
  <c r="M839" i="8"/>
  <c r="M838" i="8"/>
  <c r="M837" i="8"/>
  <c r="M836" i="8"/>
  <c r="M835" i="8"/>
  <c r="M834" i="8"/>
  <c r="M833" i="8"/>
  <c r="M832" i="8"/>
  <c r="M831" i="8"/>
  <c r="M830" i="8"/>
  <c r="M829" i="8"/>
  <c r="M828" i="8"/>
  <c r="M827" i="8"/>
  <c r="M826" i="8"/>
  <c r="M825" i="8"/>
  <c r="M824" i="8"/>
  <c r="M823" i="8"/>
  <c r="M822" i="8"/>
  <c r="M821" i="8"/>
  <c r="M820" i="8"/>
  <c r="M819" i="8"/>
  <c r="M818" i="8"/>
  <c r="M817" i="8"/>
  <c r="M816" i="8"/>
  <c r="M815" i="8"/>
  <c r="M814" i="8"/>
  <c r="M813" i="8"/>
  <c r="M812" i="8"/>
  <c r="M811" i="8"/>
  <c r="M810" i="8"/>
  <c r="M809" i="8"/>
  <c r="M808" i="8"/>
  <c r="M807" i="8"/>
  <c r="M806" i="8"/>
  <c r="M805" i="8"/>
  <c r="M804" i="8"/>
  <c r="M803" i="8"/>
  <c r="M802" i="8"/>
  <c r="M801" i="8"/>
  <c r="M800" i="8"/>
  <c r="M799" i="8"/>
  <c r="M798" i="8"/>
  <c r="M797" i="8"/>
  <c r="M796" i="8"/>
  <c r="M795" i="8"/>
  <c r="M794" i="8"/>
  <c r="M793" i="8"/>
  <c r="M792" i="8"/>
  <c r="M791" i="8"/>
  <c r="M790" i="8"/>
  <c r="M789" i="8"/>
  <c r="M788" i="8"/>
  <c r="M787" i="8"/>
  <c r="M786" i="8"/>
  <c r="M785" i="8"/>
  <c r="M784" i="8"/>
  <c r="M783" i="8"/>
  <c r="M782" i="8"/>
  <c r="M781" i="8"/>
  <c r="M780" i="8"/>
  <c r="M779" i="8"/>
  <c r="M778" i="8"/>
  <c r="M777" i="8"/>
  <c r="M776" i="8"/>
  <c r="M775" i="8"/>
  <c r="M774" i="8"/>
  <c r="M773" i="8"/>
  <c r="M772" i="8"/>
  <c r="M771" i="8"/>
  <c r="M770" i="8"/>
  <c r="M769" i="8"/>
  <c r="M768" i="8"/>
  <c r="M767" i="8"/>
  <c r="M766" i="8"/>
  <c r="M765" i="8"/>
  <c r="M764" i="8"/>
  <c r="M763" i="8"/>
  <c r="M762" i="8"/>
  <c r="M761" i="8"/>
  <c r="M760" i="8"/>
  <c r="M759" i="8"/>
  <c r="M758" i="8"/>
  <c r="M757" i="8"/>
  <c r="M756" i="8"/>
  <c r="M755" i="8"/>
  <c r="M754" i="8"/>
  <c r="M753" i="8"/>
  <c r="M752" i="8"/>
  <c r="M751" i="8"/>
  <c r="M750" i="8"/>
  <c r="M749" i="8"/>
  <c r="M748" i="8"/>
  <c r="M747" i="8"/>
  <c r="M746" i="8"/>
  <c r="M745" i="8"/>
  <c r="M744" i="8"/>
  <c r="M743" i="8"/>
  <c r="M742" i="8"/>
  <c r="M741" i="8"/>
  <c r="M740" i="8"/>
  <c r="M739" i="8"/>
  <c r="M738" i="8"/>
  <c r="M737" i="8"/>
  <c r="M736" i="8"/>
  <c r="M735" i="8"/>
  <c r="M734" i="8"/>
  <c r="M733" i="8"/>
  <c r="M732" i="8"/>
  <c r="M731" i="8"/>
  <c r="M730" i="8"/>
  <c r="M729" i="8"/>
  <c r="M728" i="8"/>
  <c r="M727" i="8"/>
  <c r="M726" i="8"/>
  <c r="M725" i="8"/>
  <c r="M724" i="8"/>
  <c r="M723" i="8"/>
  <c r="M722" i="8"/>
  <c r="M721" i="8"/>
  <c r="M720" i="8"/>
  <c r="M719" i="8"/>
  <c r="M718" i="8"/>
  <c r="M717" i="8"/>
  <c r="M716" i="8"/>
  <c r="M715" i="8"/>
  <c r="M714" i="8"/>
  <c r="M713" i="8"/>
  <c r="M712" i="8"/>
  <c r="M711" i="8"/>
  <c r="M710" i="8"/>
  <c r="M709" i="8"/>
  <c r="M708" i="8"/>
  <c r="M707" i="8"/>
  <c r="M706" i="8"/>
  <c r="M705" i="8"/>
  <c r="M704" i="8"/>
  <c r="M703" i="8"/>
  <c r="M702" i="8"/>
  <c r="M701" i="8"/>
  <c r="M700" i="8"/>
  <c r="M699" i="8"/>
  <c r="M698" i="8"/>
  <c r="M697" i="8"/>
  <c r="M696" i="8"/>
  <c r="M695" i="8"/>
  <c r="M694" i="8"/>
  <c r="M693" i="8"/>
  <c r="M692" i="8"/>
  <c r="M691" i="8"/>
  <c r="M690" i="8"/>
  <c r="M689" i="8"/>
  <c r="M688" i="8"/>
  <c r="M687" i="8"/>
  <c r="M686" i="8"/>
  <c r="M685" i="8"/>
  <c r="M684" i="8"/>
  <c r="M683" i="8"/>
  <c r="M682" i="8"/>
  <c r="M681" i="8"/>
  <c r="M680" i="8"/>
  <c r="M679" i="8"/>
  <c r="M678" i="8"/>
  <c r="M677" i="8"/>
  <c r="M676" i="8"/>
  <c r="M675" i="8"/>
  <c r="M674" i="8"/>
  <c r="M673" i="8"/>
  <c r="M672" i="8"/>
  <c r="M671" i="8"/>
  <c r="M670" i="8"/>
  <c r="M669" i="8"/>
  <c r="M668" i="8"/>
  <c r="M667" i="8"/>
  <c r="M666" i="8"/>
  <c r="M665" i="8"/>
  <c r="M664" i="8"/>
  <c r="M663" i="8"/>
  <c r="M662" i="8"/>
  <c r="M661" i="8"/>
  <c r="M660" i="8"/>
  <c r="M659" i="8"/>
  <c r="M658" i="8"/>
  <c r="M657" i="8"/>
  <c r="M656" i="8"/>
  <c r="M655" i="8"/>
  <c r="M654" i="8"/>
  <c r="M653" i="8"/>
  <c r="M652" i="8"/>
  <c r="M651" i="8"/>
  <c r="M650" i="8"/>
  <c r="M649" i="8"/>
  <c r="M648" i="8"/>
  <c r="M647" i="8"/>
  <c r="M646" i="8"/>
  <c r="M645" i="8"/>
  <c r="M644" i="8"/>
  <c r="M643" i="8"/>
  <c r="M642" i="8"/>
  <c r="M641" i="8"/>
  <c r="M640" i="8"/>
  <c r="M639" i="8"/>
  <c r="M638" i="8"/>
  <c r="M637" i="8"/>
  <c r="M636" i="8"/>
  <c r="M635" i="8"/>
  <c r="M634" i="8"/>
  <c r="M633" i="8"/>
  <c r="M632" i="8"/>
  <c r="M631" i="8"/>
  <c r="M630" i="8"/>
  <c r="M629" i="8"/>
  <c r="M628" i="8"/>
  <c r="M627" i="8"/>
  <c r="M626" i="8"/>
  <c r="M625" i="8"/>
  <c r="M624" i="8"/>
  <c r="M623" i="8"/>
  <c r="M622" i="8"/>
  <c r="M621" i="8"/>
  <c r="M620" i="8"/>
  <c r="M619" i="8"/>
  <c r="M618" i="8"/>
  <c r="M617" i="8"/>
  <c r="M616" i="8"/>
  <c r="M615" i="8"/>
  <c r="M614" i="8"/>
  <c r="M613" i="8"/>
  <c r="M612" i="8"/>
  <c r="M611" i="8"/>
  <c r="M610" i="8"/>
  <c r="M609" i="8"/>
  <c r="M608" i="8"/>
  <c r="M607" i="8"/>
  <c r="M606" i="8"/>
  <c r="M605" i="8"/>
  <c r="M604" i="8"/>
  <c r="M603" i="8"/>
  <c r="M602" i="8"/>
  <c r="M601" i="8"/>
  <c r="M600" i="8"/>
  <c r="M599" i="8"/>
  <c r="M598" i="8"/>
  <c r="M597" i="8"/>
  <c r="M596" i="8"/>
  <c r="M595" i="8"/>
  <c r="M594" i="8"/>
  <c r="M593" i="8"/>
  <c r="M592" i="8"/>
  <c r="M591" i="8"/>
  <c r="M590" i="8"/>
  <c r="M589" i="8"/>
  <c r="M588" i="8"/>
  <c r="M587" i="8"/>
  <c r="M586" i="8"/>
  <c r="M585" i="8"/>
  <c r="M584" i="8"/>
  <c r="M583" i="8"/>
  <c r="M582" i="8"/>
  <c r="M581" i="8"/>
  <c r="M580" i="8"/>
  <c r="M579" i="8"/>
  <c r="M578" i="8"/>
  <c r="M577" i="8"/>
  <c r="M576" i="8"/>
  <c r="M575" i="8"/>
  <c r="M574" i="8"/>
  <c r="M573" i="8"/>
  <c r="M572" i="8"/>
  <c r="M571" i="8"/>
  <c r="M570" i="8"/>
  <c r="M569" i="8"/>
  <c r="M568" i="8"/>
  <c r="M567" i="8"/>
  <c r="M566" i="8"/>
  <c r="M565" i="8"/>
  <c r="M564" i="8"/>
  <c r="M563" i="8"/>
  <c r="M562" i="8"/>
  <c r="M561" i="8"/>
  <c r="M560" i="8"/>
  <c r="M559" i="8"/>
  <c r="M558" i="8"/>
  <c r="M557" i="8"/>
  <c r="M556" i="8"/>
  <c r="M555" i="8"/>
  <c r="M554" i="8"/>
  <c r="M553" i="8"/>
  <c r="M552" i="8"/>
  <c r="M551" i="8"/>
  <c r="M550" i="8"/>
  <c r="M549" i="8"/>
  <c r="M548" i="8"/>
  <c r="M547" i="8"/>
  <c r="M546" i="8"/>
  <c r="M545" i="8"/>
  <c r="M544" i="8"/>
  <c r="M543" i="8"/>
  <c r="M542" i="8"/>
  <c r="M541" i="8"/>
  <c r="M540" i="8"/>
  <c r="M539" i="8"/>
  <c r="M538" i="8"/>
  <c r="M537" i="8"/>
  <c r="M536" i="8"/>
  <c r="M535" i="8"/>
  <c r="M534" i="8"/>
  <c r="M533" i="8"/>
  <c r="M532" i="8"/>
  <c r="M531" i="8"/>
  <c r="M530" i="8"/>
  <c r="M529" i="8"/>
  <c r="M528" i="8"/>
  <c r="M527" i="8"/>
  <c r="M526" i="8"/>
  <c r="M525" i="8"/>
  <c r="M524" i="8"/>
  <c r="M523" i="8"/>
  <c r="M522" i="8"/>
  <c r="M521" i="8"/>
  <c r="M520" i="8"/>
  <c r="M519" i="8"/>
  <c r="M518" i="8"/>
  <c r="M517" i="8"/>
  <c r="M516" i="8"/>
  <c r="M515" i="8"/>
  <c r="M514" i="8"/>
  <c r="M513" i="8"/>
  <c r="M512" i="8"/>
  <c r="M511" i="8"/>
  <c r="M510" i="8"/>
  <c r="M509" i="8"/>
  <c r="M508" i="8"/>
  <c r="M507" i="8"/>
  <c r="M506" i="8"/>
  <c r="M505" i="8"/>
  <c r="M504" i="8"/>
  <c r="M503" i="8"/>
  <c r="M502" i="8"/>
  <c r="M501" i="8"/>
  <c r="M500" i="8"/>
  <c r="M499" i="8"/>
  <c r="M498" i="8"/>
  <c r="M497" i="8"/>
  <c r="M496" i="8"/>
  <c r="M495" i="8"/>
  <c r="M494" i="8"/>
  <c r="M493" i="8"/>
  <c r="M492" i="8"/>
  <c r="M491" i="8"/>
  <c r="M490" i="8"/>
  <c r="M489" i="8"/>
  <c r="M488" i="8"/>
  <c r="M487" i="8"/>
  <c r="M486" i="8"/>
  <c r="M485" i="8"/>
  <c r="M484" i="8"/>
  <c r="M483" i="8"/>
  <c r="M482" i="8"/>
  <c r="M481" i="8"/>
  <c r="M480" i="8"/>
  <c r="M479" i="8"/>
  <c r="M478" i="8"/>
  <c r="M477" i="8"/>
  <c r="M476" i="8"/>
  <c r="M475" i="8"/>
  <c r="M474" i="8"/>
  <c r="M473" i="8"/>
  <c r="M472" i="8"/>
  <c r="M471" i="8"/>
  <c r="M470" i="8"/>
  <c r="M469" i="8"/>
  <c r="M468" i="8"/>
  <c r="M467" i="8"/>
  <c r="M466" i="8"/>
  <c r="M465" i="8"/>
  <c r="M464" i="8"/>
  <c r="M463" i="8"/>
  <c r="M462" i="8"/>
  <c r="M461" i="8"/>
  <c r="M460" i="8"/>
  <c r="M459" i="8"/>
  <c r="M458" i="8"/>
  <c r="M457" i="8"/>
  <c r="M456" i="8"/>
  <c r="M455" i="8"/>
  <c r="M454" i="8"/>
  <c r="M453" i="8"/>
  <c r="M452" i="8"/>
  <c r="M451" i="8"/>
  <c r="M450" i="8"/>
  <c r="M449" i="8"/>
  <c r="M448" i="8"/>
  <c r="M447" i="8"/>
  <c r="M446" i="8"/>
  <c r="M445" i="8"/>
  <c r="M444" i="8"/>
  <c r="M443" i="8"/>
  <c r="M442" i="8"/>
  <c r="M441" i="8"/>
  <c r="M440" i="8"/>
  <c r="M439" i="8"/>
  <c r="M438" i="8"/>
  <c r="M437" i="8"/>
  <c r="M436" i="8"/>
  <c r="M435" i="8"/>
  <c r="M434" i="8"/>
  <c r="M433" i="8"/>
  <c r="M432" i="8"/>
  <c r="M431" i="8"/>
  <c r="M430" i="8"/>
  <c r="M429" i="8"/>
  <c r="M428" i="8"/>
  <c r="M427" i="8"/>
  <c r="M426" i="8"/>
  <c r="M425" i="8"/>
  <c r="M424" i="8"/>
  <c r="M423" i="8"/>
  <c r="M422" i="8"/>
  <c r="M421" i="8"/>
  <c r="M420" i="8"/>
  <c r="M419" i="8"/>
  <c r="M418" i="8"/>
  <c r="M417" i="8"/>
  <c r="M416" i="8"/>
  <c r="M415" i="8"/>
  <c r="M414" i="8"/>
  <c r="M413" i="8"/>
  <c r="M412" i="8"/>
  <c r="M411" i="8"/>
  <c r="M410" i="8"/>
  <c r="M409" i="8"/>
  <c r="M408" i="8"/>
  <c r="M407" i="8"/>
  <c r="M406" i="8"/>
  <c r="M405" i="8"/>
  <c r="M404" i="8"/>
  <c r="M403" i="8"/>
  <c r="M402" i="8"/>
  <c r="M401" i="8"/>
  <c r="M400" i="8"/>
  <c r="M399" i="8"/>
  <c r="M398" i="8"/>
  <c r="M397" i="8"/>
  <c r="M396" i="8"/>
  <c r="M395" i="8"/>
  <c r="M394" i="8"/>
  <c r="M393" i="8"/>
  <c r="M392" i="8"/>
  <c r="M391" i="8"/>
  <c r="M390" i="8"/>
  <c r="M389" i="8"/>
  <c r="M388" i="8"/>
  <c r="M387" i="8"/>
  <c r="M386" i="8"/>
  <c r="M385" i="8"/>
  <c r="M384" i="8"/>
  <c r="M383" i="8"/>
  <c r="M382" i="8"/>
  <c r="M381" i="8"/>
  <c r="M380" i="8"/>
  <c r="M379" i="8"/>
  <c r="M378" i="8"/>
  <c r="M377" i="8"/>
  <c r="M376" i="8"/>
  <c r="M375" i="8"/>
  <c r="M374" i="8"/>
  <c r="M373" i="8"/>
  <c r="M372" i="8"/>
  <c r="M371" i="8"/>
  <c r="M370" i="8"/>
  <c r="M369" i="8"/>
  <c r="M368" i="8"/>
  <c r="M367" i="8"/>
  <c r="M366" i="8"/>
  <c r="M365" i="8"/>
  <c r="M364" i="8"/>
  <c r="M363" i="8"/>
  <c r="M362" i="8"/>
  <c r="M361" i="8"/>
  <c r="M360" i="8"/>
  <c r="M359" i="8"/>
  <c r="M358" i="8"/>
  <c r="M357" i="8"/>
  <c r="M356" i="8"/>
  <c r="M355" i="8"/>
  <c r="M354" i="8"/>
  <c r="M353" i="8"/>
  <c r="M352" i="8"/>
  <c r="M351" i="8"/>
  <c r="M350" i="8"/>
  <c r="M349" i="8"/>
  <c r="M348" i="8"/>
  <c r="M347" i="8"/>
  <c r="M346" i="8"/>
  <c r="M345" i="8"/>
  <c r="M344" i="8"/>
  <c r="M343" i="8"/>
  <c r="M342" i="8"/>
  <c r="M341" i="8"/>
  <c r="M340" i="8"/>
  <c r="M339" i="8"/>
  <c r="M338" i="8"/>
  <c r="M337" i="8"/>
  <c r="M336" i="8"/>
  <c r="M335" i="8"/>
  <c r="M334" i="8"/>
  <c r="M333" i="8"/>
  <c r="M332" i="8"/>
  <c r="M331" i="8"/>
  <c r="M330" i="8"/>
  <c r="M329" i="8"/>
  <c r="M328" i="8"/>
  <c r="M327" i="8"/>
  <c r="M326" i="8"/>
  <c r="M325" i="8"/>
  <c r="M324" i="8"/>
  <c r="M323" i="8"/>
  <c r="M322" i="8"/>
  <c r="M321" i="8"/>
  <c r="M320" i="8"/>
  <c r="M319" i="8"/>
  <c r="M318" i="8"/>
  <c r="M317" i="8"/>
  <c r="M316" i="8"/>
  <c r="M315" i="8"/>
  <c r="M314" i="8"/>
  <c r="M313" i="8"/>
  <c r="M312" i="8"/>
  <c r="M311" i="8"/>
  <c r="M310" i="8"/>
  <c r="M309" i="8"/>
  <c r="M308" i="8"/>
  <c r="M307" i="8"/>
  <c r="M306" i="8"/>
  <c r="M305" i="8"/>
  <c r="M304" i="8"/>
  <c r="M303" i="8"/>
  <c r="M302" i="8"/>
  <c r="M301" i="8"/>
  <c r="M300" i="8"/>
  <c r="M299" i="8"/>
  <c r="M298" i="8"/>
  <c r="M297" i="8"/>
  <c r="M296" i="8"/>
  <c r="M295" i="8"/>
  <c r="M294" i="8"/>
  <c r="M293" i="8"/>
  <c r="M292" i="8"/>
  <c r="M291" i="8"/>
  <c r="M290" i="8"/>
  <c r="M289" i="8"/>
  <c r="M288" i="8"/>
  <c r="M287" i="8"/>
  <c r="M286" i="8"/>
  <c r="M285" i="8"/>
  <c r="M284" i="8"/>
  <c r="M283" i="8"/>
  <c r="M282" i="8"/>
  <c r="M281" i="8"/>
  <c r="M280" i="8"/>
  <c r="M279" i="8"/>
  <c r="M278" i="8"/>
  <c r="M277" i="8"/>
  <c r="M276" i="8"/>
  <c r="M275" i="8"/>
  <c r="M274" i="8"/>
  <c r="M273" i="8"/>
  <c r="M272" i="8"/>
  <c r="M271" i="8"/>
  <c r="M270" i="8"/>
  <c r="M269" i="8"/>
  <c r="M268" i="8"/>
  <c r="M267" i="8"/>
  <c r="M266" i="8"/>
  <c r="M265" i="8"/>
  <c r="M264" i="8"/>
  <c r="M263" i="8"/>
  <c r="M262" i="8"/>
  <c r="M261" i="8"/>
  <c r="M260" i="8"/>
  <c r="M259" i="8"/>
  <c r="M258" i="8"/>
  <c r="M257" i="8"/>
  <c r="M256" i="8"/>
  <c r="M255" i="8"/>
  <c r="M254" i="8"/>
  <c r="M253" i="8"/>
  <c r="M252" i="8"/>
  <c r="M251" i="8"/>
  <c r="M250" i="8"/>
  <c r="M249" i="8"/>
  <c r="M248" i="8"/>
  <c r="M247" i="8"/>
  <c r="M246" i="8"/>
  <c r="M245" i="8"/>
  <c r="M244" i="8"/>
  <c r="M243" i="8"/>
  <c r="M242" i="8"/>
  <c r="M241" i="8"/>
  <c r="M240" i="8"/>
  <c r="M239" i="8"/>
  <c r="M238" i="8"/>
  <c r="M237" i="8"/>
  <c r="M236" i="8"/>
  <c r="M235" i="8"/>
  <c r="M234" i="8"/>
  <c r="M233" i="8"/>
  <c r="M232" i="8"/>
  <c r="M231" i="8"/>
  <c r="M230" i="8"/>
  <c r="M229" i="8"/>
  <c r="M228" i="8"/>
  <c r="M227" i="8"/>
  <c r="M226" i="8"/>
  <c r="M225" i="8"/>
  <c r="M224" i="8"/>
  <c r="M223" i="8"/>
  <c r="M222" i="8"/>
  <c r="M221" i="8"/>
  <c r="M220" i="8"/>
  <c r="M219" i="8"/>
  <c r="M218" i="8"/>
  <c r="M217" i="8"/>
  <c r="M216" i="8"/>
  <c r="M215" i="8"/>
  <c r="M214" i="8"/>
  <c r="M213" i="8"/>
  <c r="M212" i="8"/>
  <c r="M211" i="8"/>
  <c r="M210" i="8"/>
  <c r="M209" i="8"/>
  <c r="M208" i="8"/>
  <c r="M207" i="8"/>
  <c r="M206" i="8"/>
  <c r="M205" i="8"/>
  <c r="M204" i="8"/>
  <c r="M203" i="8"/>
  <c r="M202" i="8"/>
  <c r="M201" i="8"/>
  <c r="M200" i="8"/>
  <c r="M199" i="8"/>
  <c r="M198" i="8"/>
  <c r="M197" i="8"/>
  <c r="M196" i="8"/>
  <c r="M195" i="8"/>
  <c r="M194" i="8"/>
  <c r="M193" i="8"/>
  <c r="M192" i="8"/>
  <c r="M191" i="8"/>
  <c r="M190" i="8"/>
  <c r="M189" i="8"/>
  <c r="M188" i="8"/>
  <c r="M187" i="8"/>
  <c r="M186" i="8"/>
  <c r="M185" i="8"/>
  <c r="M184" i="8"/>
  <c r="M183" i="8"/>
  <c r="M182" i="8"/>
  <c r="M181" i="8"/>
  <c r="M180" i="8"/>
  <c r="M179" i="8"/>
  <c r="M178" i="8"/>
  <c r="M177" i="8"/>
  <c r="M176" i="8"/>
  <c r="M175" i="8"/>
  <c r="M174" i="8"/>
  <c r="M173" i="8"/>
  <c r="M172" i="8"/>
  <c r="M171" i="8"/>
  <c r="M170" i="8"/>
  <c r="M169" i="8"/>
  <c r="M168" i="8"/>
  <c r="M167" i="8"/>
  <c r="M166" i="8"/>
  <c r="M165" i="8"/>
  <c r="M164" i="8"/>
  <c r="M163" i="8"/>
  <c r="M162" i="8"/>
  <c r="M161" i="8"/>
  <c r="M160" i="8"/>
  <c r="M159" i="8"/>
  <c r="M158" i="8"/>
  <c r="M157" i="8"/>
  <c r="M156" i="8"/>
  <c r="M155" i="8"/>
  <c r="M154" i="8"/>
  <c r="M153" i="8"/>
  <c r="M152" i="8"/>
  <c r="M151" i="8"/>
  <c r="M150" i="8"/>
  <c r="M149" i="8"/>
  <c r="M148" i="8"/>
  <c r="M147" i="8"/>
  <c r="M146" i="8"/>
  <c r="M145" i="8"/>
  <c r="M144" i="8"/>
  <c r="M143" i="8"/>
  <c r="M142" i="8"/>
  <c r="M141" i="8"/>
  <c r="M140" i="8"/>
  <c r="M139" i="8"/>
  <c r="M138" i="8"/>
  <c r="M137" i="8"/>
  <c r="M136" i="8"/>
  <c r="M135" i="8"/>
  <c r="M134" i="8"/>
  <c r="M133" i="8"/>
  <c r="M132" i="8"/>
  <c r="M131" i="8"/>
  <c r="M130" i="8"/>
  <c r="M129" i="8"/>
  <c r="M128" i="8"/>
  <c r="M127" i="8"/>
  <c r="M126" i="8"/>
  <c r="M125" i="8"/>
  <c r="M124" i="8"/>
  <c r="M123" i="8"/>
  <c r="M122" i="8"/>
  <c r="M121" i="8"/>
  <c r="M120" i="8"/>
  <c r="M119" i="8"/>
  <c r="M118" i="8"/>
  <c r="M117" i="8"/>
  <c r="M116" i="8"/>
  <c r="M115" i="8"/>
  <c r="M114" i="8"/>
  <c r="M113" i="8"/>
  <c r="M112" i="8"/>
  <c r="M111" i="8"/>
  <c r="M110" i="8"/>
  <c r="M109" i="8"/>
  <c r="M108" i="8"/>
  <c r="M107" i="8"/>
  <c r="M106" i="8"/>
  <c r="M105" i="8"/>
  <c r="M104" i="8"/>
  <c r="M103" i="8"/>
  <c r="M102" i="8"/>
  <c r="M101" i="8"/>
  <c r="M100" i="8"/>
  <c r="M99" i="8"/>
  <c r="M98" i="8"/>
  <c r="M97" i="8"/>
  <c r="M96" i="8"/>
  <c r="M95" i="8"/>
  <c r="M94" i="8"/>
  <c r="M93" i="8"/>
  <c r="M92" i="8"/>
  <c r="M91" i="8"/>
  <c r="M90" i="8"/>
  <c r="M89" i="8"/>
  <c r="M88" i="8"/>
  <c r="M87" i="8"/>
  <c r="M86" i="8"/>
  <c r="M85" i="8"/>
  <c r="M84" i="8"/>
  <c r="M83" i="8"/>
  <c r="M82" i="8"/>
  <c r="M81" i="8"/>
  <c r="M80" i="8"/>
  <c r="M79" i="8"/>
  <c r="M78" i="8"/>
  <c r="M77" i="8"/>
  <c r="M76" i="8"/>
  <c r="M75" i="8"/>
  <c r="M74" i="8"/>
  <c r="M73" i="8"/>
  <c r="M72" i="8"/>
  <c r="M71" i="8"/>
  <c r="M70" i="8"/>
  <c r="M69" i="8"/>
  <c r="M68" i="8"/>
  <c r="M67" i="8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4" i="8"/>
  <c r="M3" i="8"/>
  <c r="M2" i="8"/>
  <c r="N1085" i="8" l="1"/>
  <c r="D1084" i="8"/>
  <c r="N25" i="8"/>
  <c r="D24" i="8"/>
  <c r="D982" i="8"/>
  <c r="N983" i="8"/>
  <c r="N258" i="8"/>
  <c r="D257" i="8"/>
  <c r="C1377" i="8"/>
  <c r="A1288" i="8"/>
  <c r="M53" i="23"/>
  <c r="L53" i="23"/>
  <c r="M52" i="23"/>
  <c r="M51" i="23"/>
  <c r="L51" i="23"/>
  <c r="M50" i="23"/>
  <c r="L50" i="23"/>
  <c r="M49" i="23"/>
  <c r="L49" i="23"/>
  <c r="M48" i="23"/>
  <c r="L48" i="23"/>
  <c r="M47" i="23"/>
  <c r="L47" i="23"/>
  <c r="M46" i="23"/>
  <c r="L46" i="23"/>
  <c r="M45" i="23"/>
  <c r="L45" i="23"/>
  <c r="M44" i="23"/>
  <c r="L44" i="23"/>
  <c r="M43" i="23"/>
  <c r="L43" i="23"/>
  <c r="M42" i="23"/>
  <c r="L42" i="23"/>
  <c r="M41" i="23"/>
  <c r="L41" i="23"/>
  <c r="M40" i="23"/>
  <c r="L40" i="23"/>
  <c r="M39" i="23"/>
  <c r="L39" i="23"/>
  <c r="M38" i="23"/>
  <c r="L38" i="23"/>
  <c r="M37" i="23"/>
  <c r="L37" i="23"/>
  <c r="M36" i="23"/>
  <c r="L36" i="23"/>
  <c r="M35" i="23"/>
  <c r="L35" i="23"/>
  <c r="M34" i="23"/>
  <c r="L34" i="23"/>
  <c r="M33" i="23"/>
  <c r="L33" i="23"/>
  <c r="M32" i="23"/>
  <c r="L32" i="23"/>
  <c r="M31" i="23"/>
  <c r="L31" i="23"/>
  <c r="M30" i="23"/>
  <c r="L30" i="23"/>
  <c r="M29" i="23"/>
  <c r="L29" i="23"/>
  <c r="M28" i="23"/>
  <c r="L28" i="23"/>
  <c r="M27" i="23"/>
  <c r="L27" i="23"/>
  <c r="M26" i="23"/>
  <c r="L26" i="23"/>
  <c r="M25" i="23"/>
  <c r="L25" i="23"/>
  <c r="M24" i="23"/>
  <c r="L24" i="23"/>
  <c r="M23" i="23"/>
  <c r="L23" i="23"/>
  <c r="M22" i="23"/>
  <c r="L22" i="23"/>
  <c r="N259" i="8" l="1"/>
  <c r="D258" i="8"/>
  <c r="D25" i="8"/>
  <c r="N26" i="8"/>
  <c r="N984" i="8"/>
  <c r="D983" i="8"/>
  <c r="N1086" i="8"/>
  <c r="D1085" i="8"/>
  <c r="C1378" i="8"/>
  <c r="A1287" i="8"/>
  <c r="A1286" i="8"/>
  <c r="A1285" i="8"/>
  <c r="A1284" i="8"/>
  <c r="M21" i="23"/>
  <c r="L21" i="23"/>
  <c r="M20" i="23"/>
  <c r="L20" i="23"/>
  <c r="M19" i="23"/>
  <c r="L19" i="23"/>
  <c r="M18" i="23"/>
  <c r="L18" i="23"/>
  <c r="M17" i="23"/>
  <c r="L17" i="23"/>
  <c r="M16" i="23"/>
  <c r="L16" i="23"/>
  <c r="M15" i="23"/>
  <c r="L15" i="23"/>
  <c r="M14" i="23"/>
  <c r="L14" i="23"/>
  <c r="M13" i="23"/>
  <c r="L13" i="23"/>
  <c r="M12" i="23"/>
  <c r="L12" i="23"/>
  <c r="M11" i="23"/>
  <c r="L11" i="23"/>
  <c r="M10" i="23"/>
  <c r="L10" i="23"/>
  <c r="M9" i="23"/>
  <c r="L9" i="23"/>
  <c r="M8" i="23"/>
  <c r="L8" i="23"/>
  <c r="M7" i="23"/>
  <c r="L7" i="23"/>
  <c r="M6" i="23"/>
  <c r="L6" i="23"/>
  <c r="M5" i="23"/>
  <c r="L5" i="23"/>
  <c r="M4" i="23"/>
  <c r="L4" i="23"/>
  <c r="N1087" i="8" l="1"/>
  <c r="D1086" i="8"/>
  <c r="N27" i="8"/>
  <c r="D26" i="8"/>
  <c r="N985" i="8"/>
  <c r="D984" i="8"/>
  <c r="N260" i="8"/>
  <c r="D259" i="8"/>
  <c r="C1379" i="8"/>
  <c r="C1266" i="8"/>
  <c r="M3" i="23"/>
  <c r="L3" i="23"/>
  <c r="M2" i="23"/>
  <c r="L2" i="23"/>
  <c r="M1" i="23"/>
  <c r="L1" i="23"/>
  <c r="M109" i="22"/>
  <c r="L109" i="22"/>
  <c r="M108" i="22"/>
  <c r="L108" i="22"/>
  <c r="M107" i="22"/>
  <c r="L107" i="22"/>
  <c r="M106" i="22"/>
  <c r="L106" i="22"/>
  <c r="M105" i="22"/>
  <c r="L105" i="22"/>
  <c r="M104" i="22"/>
  <c r="L104" i="22"/>
  <c r="M103" i="22"/>
  <c r="L103" i="22"/>
  <c r="M102" i="22"/>
  <c r="L102" i="22"/>
  <c r="M101" i="22"/>
  <c r="L101" i="22"/>
  <c r="M100" i="22"/>
  <c r="L100" i="22"/>
  <c r="M99" i="22"/>
  <c r="L99" i="22"/>
  <c r="M98" i="22"/>
  <c r="L98" i="22"/>
  <c r="N261" i="8" l="1"/>
  <c r="D260" i="8"/>
  <c r="N28" i="8"/>
  <c r="D27" i="8"/>
  <c r="N986" i="8"/>
  <c r="D985" i="8"/>
  <c r="N1088" i="8"/>
  <c r="D1087" i="8"/>
  <c r="C1380" i="8"/>
  <c r="C1267" i="8"/>
  <c r="M97" i="22"/>
  <c r="L97" i="22"/>
  <c r="M96" i="22"/>
  <c r="L96" i="22"/>
  <c r="N1089" i="8" l="1"/>
  <c r="D1088" i="8"/>
  <c r="N29" i="8"/>
  <c r="D28" i="8"/>
  <c r="N987" i="8"/>
  <c r="D986" i="8"/>
  <c r="N262" i="8"/>
  <c r="D261" i="8"/>
  <c r="C1381" i="8"/>
  <c r="C1268" i="8"/>
  <c r="M95" i="22"/>
  <c r="L95" i="22"/>
  <c r="M94" i="22"/>
  <c r="L94" i="22"/>
  <c r="M93" i="22"/>
  <c r="L93" i="22"/>
  <c r="M92" i="22"/>
  <c r="L92" i="22"/>
  <c r="N263" i="8" l="1"/>
  <c r="D262" i="8"/>
  <c r="N30" i="8"/>
  <c r="D29" i="8"/>
  <c r="N988" i="8"/>
  <c r="D987" i="8"/>
  <c r="N1090" i="8"/>
  <c r="D1089" i="8"/>
  <c r="C1382" i="8"/>
  <c r="C1269" i="8"/>
  <c r="M91" i="22"/>
  <c r="L91" i="22"/>
  <c r="M90" i="22"/>
  <c r="L90" i="22"/>
  <c r="M89" i="22"/>
  <c r="L89" i="22"/>
  <c r="M88" i="22"/>
  <c r="L88" i="22"/>
  <c r="M87" i="22"/>
  <c r="L87" i="22"/>
  <c r="N1091" i="8" l="1"/>
  <c r="D1090" i="8"/>
  <c r="N31" i="8"/>
  <c r="D30" i="8"/>
  <c r="N989" i="8"/>
  <c r="D988" i="8"/>
  <c r="N264" i="8"/>
  <c r="D263" i="8"/>
  <c r="C1383" i="8"/>
  <c r="C1270" i="8"/>
  <c r="M86" i="22"/>
  <c r="L86" i="22"/>
  <c r="M85" i="22"/>
  <c r="L85" i="22"/>
  <c r="M84" i="22"/>
  <c r="L84" i="22"/>
  <c r="M83" i="22"/>
  <c r="L83" i="22"/>
  <c r="M82" i="22"/>
  <c r="L82" i="22"/>
  <c r="M81" i="22"/>
  <c r="L81" i="22"/>
  <c r="M80" i="22"/>
  <c r="L80" i="22"/>
  <c r="N265" i="8" l="1"/>
  <c r="D264" i="8"/>
  <c r="N32" i="8"/>
  <c r="D31" i="8"/>
  <c r="N990" i="8"/>
  <c r="D989" i="8"/>
  <c r="N1092" i="8"/>
  <c r="D1091" i="8"/>
  <c r="C1384" i="8"/>
  <c r="C1271" i="8"/>
  <c r="M79" i="22"/>
  <c r="L79" i="22"/>
  <c r="M78" i="22"/>
  <c r="L78" i="22"/>
  <c r="N1093" i="8" l="1"/>
  <c r="D1092" i="8"/>
  <c r="N33" i="8"/>
  <c r="D32" i="8"/>
  <c r="N991" i="8"/>
  <c r="D990" i="8"/>
  <c r="N266" i="8"/>
  <c r="D265" i="8"/>
  <c r="C1385" i="8"/>
  <c r="C1272" i="8"/>
  <c r="M77" i="22"/>
  <c r="L77" i="22"/>
  <c r="M76" i="22"/>
  <c r="L76" i="22"/>
  <c r="M75" i="22"/>
  <c r="L75" i="22"/>
  <c r="M74" i="22"/>
  <c r="L74" i="22"/>
  <c r="M73" i="22"/>
  <c r="L73" i="22"/>
  <c r="M72" i="22"/>
  <c r="L72" i="22"/>
  <c r="M71" i="22"/>
  <c r="L71" i="22"/>
  <c r="M70" i="22"/>
  <c r="L70" i="22"/>
  <c r="N267" i="8" l="1"/>
  <c r="D266" i="8"/>
  <c r="N34" i="8"/>
  <c r="D33" i="8"/>
  <c r="C1386" i="8"/>
  <c r="C1387" i="8" s="1"/>
  <c r="C1388" i="8" s="1"/>
  <c r="C1389" i="8" s="1"/>
  <c r="C1390" i="8" s="1"/>
  <c r="C1391" i="8" s="1"/>
  <c r="C1392" i="8" s="1"/>
  <c r="C1393" i="8" s="1"/>
  <c r="C1394" i="8" s="1"/>
  <c r="C1395" i="8" s="1"/>
  <c r="N992" i="8"/>
  <c r="D991" i="8"/>
  <c r="N1094" i="8"/>
  <c r="D1093" i="8"/>
  <c r="C1273" i="8"/>
  <c r="M69" i="22"/>
  <c r="L69" i="22"/>
  <c r="M68" i="22"/>
  <c r="L68" i="22"/>
  <c r="M67" i="22"/>
  <c r="L67" i="22"/>
  <c r="M66" i="22"/>
  <c r="L66" i="22"/>
  <c r="M65" i="22"/>
  <c r="L65" i="22"/>
  <c r="M64" i="22"/>
  <c r="L64" i="22"/>
  <c r="M63" i="22"/>
  <c r="L63" i="22"/>
  <c r="M62" i="22"/>
  <c r="L62" i="22"/>
  <c r="M61" i="22"/>
  <c r="L61" i="22"/>
  <c r="M60" i="22"/>
  <c r="L60" i="22"/>
  <c r="M59" i="22"/>
  <c r="L59" i="22"/>
  <c r="M58" i="22"/>
  <c r="L58" i="22"/>
  <c r="M57" i="22"/>
  <c r="L57" i="22"/>
  <c r="M56" i="22"/>
  <c r="L56" i="22"/>
  <c r="M55" i="22"/>
  <c r="L55" i="22"/>
  <c r="M54" i="22"/>
  <c r="L54" i="22"/>
  <c r="M53" i="22"/>
  <c r="L53" i="22"/>
  <c r="M52" i="22"/>
  <c r="L52" i="22"/>
  <c r="M51" i="22"/>
  <c r="L51" i="22"/>
  <c r="N993" i="8" l="1"/>
  <c r="D992" i="8"/>
  <c r="N35" i="8"/>
  <c r="D34" i="8"/>
  <c r="C1396" i="8"/>
  <c r="C1397" i="8" s="1"/>
  <c r="N1095" i="8"/>
  <c r="D1094" i="8"/>
  <c r="N268" i="8"/>
  <c r="D267" i="8"/>
  <c r="C1274" i="8"/>
  <c r="M50" i="22"/>
  <c r="L50" i="22"/>
  <c r="M49" i="22"/>
  <c r="L49" i="22"/>
  <c r="N1096" i="8" l="1"/>
  <c r="D1095" i="8"/>
  <c r="N36" i="8"/>
  <c r="D35" i="8"/>
  <c r="C1398" i="8"/>
  <c r="N269" i="8"/>
  <c r="D268" i="8"/>
  <c r="N994" i="8"/>
  <c r="D993" i="8"/>
  <c r="C1275" i="8"/>
  <c r="M48" i="22"/>
  <c r="L48" i="22"/>
  <c r="M47" i="22"/>
  <c r="L47" i="22"/>
  <c r="M46" i="22"/>
  <c r="L46" i="22"/>
  <c r="M45" i="22"/>
  <c r="L45" i="22"/>
  <c r="M44" i="22"/>
  <c r="L44" i="22"/>
  <c r="N270" i="8" l="1"/>
  <c r="D269" i="8"/>
  <c r="N37" i="8"/>
  <c r="D36" i="8"/>
  <c r="C1399" i="8"/>
  <c r="C1400" i="8" s="1"/>
  <c r="C1401" i="8" s="1"/>
  <c r="C1402" i="8" s="1"/>
  <c r="N995" i="8"/>
  <c r="D994" i="8"/>
  <c r="N1097" i="8"/>
  <c r="D1096" i="8"/>
  <c r="C1276" i="8"/>
  <c r="M43" i="22"/>
  <c r="L43" i="22"/>
  <c r="M42" i="22"/>
  <c r="L42" i="22"/>
  <c r="M41" i="22"/>
  <c r="L41" i="22"/>
  <c r="M40" i="22"/>
  <c r="L40" i="22"/>
  <c r="M39" i="22"/>
  <c r="L39" i="22"/>
  <c r="M38" i="22"/>
  <c r="L38" i="22"/>
  <c r="M37" i="22"/>
  <c r="L37" i="22"/>
  <c r="M36" i="22"/>
  <c r="L36" i="22"/>
  <c r="M35" i="22"/>
  <c r="L35" i="22"/>
  <c r="M34" i="22"/>
  <c r="L34" i="22"/>
  <c r="M33" i="22"/>
  <c r="L33" i="22"/>
  <c r="M32" i="22"/>
  <c r="L32" i="22"/>
  <c r="N996" i="8" l="1"/>
  <c r="D995" i="8"/>
  <c r="N38" i="8"/>
  <c r="D37" i="8"/>
  <c r="C1403" i="8"/>
  <c r="N1098" i="8"/>
  <c r="D1097" i="8"/>
  <c r="N271" i="8"/>
  <c r="D270" i="8"/>
  <c r="C1277" i="8"/>
  <c r="M31" i="22"/>
  <c r="L31" i="22"/>
  <c r="M30" i="22"/>
  <c r="L30" i="22"/>
  <c r="M29" i="22"/>
  <c r="L29" i="22"/>
  <c r="M28" i="22"/>
  <c r="L28" i="22"/>
  <c r="M27" i="22"/>
  <c r="L27" i="22"/>
  <c r="M26" i="22"/>
  <c r="L26" i="22"/>
  <c r="M25" i="22"/>
  <c r="L25" i="22"/>
  <c r="M24" i="22"/>
  <c r="L24" i="22"/>
  <c r="M23" i="22"/>
  <c r="L23" i="22"/>
  <c r="M22" i="22"/>
  <c r="L22" i="22"/>
  <c r="D1098" i="8" l="1"/>
  <c r="N1099" i="8"/>
  <c r="N39" i="8"/>
  <c r="D38" i="8"/>
  <c r="C1404" i="8"/>
  <c r="C1405" i="8" s="1"/>
  <c r="C1406" i="8" s="1"/>
  <c r="C1407" i="8" s="1"/>
  <c r="C1408" i="8" s="1"/>
  <c r="C1409" i="8" s="1"/>
  <c r="C1410" i="8" s="1"/>
  <c r="C1411" i="8" s="1"/>
  <c r="C1412" i="8" s="1"/>
  <c r="C1413" i="8" s="1"/>
  <c r="C1414" i="8" s="1"/>
  <c r="C1415" i="8" s="1"/>
  <c r="C1416" i="8" s="1"/>
  <c r="C1417" i="8" s="1"/>
  <c r="C1418" i="8" s="1"/>
  <c r="C1419" i="8" s="1"/>
  <c r="C1420" i="8" s="1"/>
  <c r="C1421" i="8" s="1"/>
  <c r="C1422" i="8" s="1"/>
  <c r="C1423" i="8" s="1"/>
  <c r="C1424" i="8" s="1"/>
  <c r="C1425" i="8" s="1"/>
  <c r="C1426" i="8" s="1"/>
  <c r="C1427" i="8" s="1"/>
  <c r="N272" i="8"/>
  <c r="D271" i="8"/>
  <c r="N997" i="8"/>
  <c r="D996" i="8"/>
  <c r="C1278" i="8"/>
  <c r="M14" i="22"/>
  <c r="M15" i="22"/>
  <c r="M16" i="22"/>
  <c r="M17" i="22"/>
  <c r="M18" i="22"/>
  <c r="M19" i="22"/>
  <c r="M20" i="22"/>
  <c r="M21" i="22"/>
  <c r="L21" i="22"/>
  <c r="L20" i="22"/>
  <c r="L19" i="22"/>
  <c r="L18" i="22"/>
  <c r="L17" i="22"/>
  <c r="L16" i="22"/>
  <c r="L15" i="22"/>
  <c r="L14" i="22"/>
  <c r="N273" i="8" l="1"/>
  <c r="D272" i="8"/>
  <c r="N40" i="8"/>
  <c r="D39" i="8"/>
  <c r="C1428" i="8"/>
  <c r="C1429" i="8" s="1"/>
  <c r="C1430" i="8" s="1"/>
  <c r="C1431" i="8" s="1"/>
  <c r="D1099" i="8"/>
  <c r="N1100" i="8"/>
  <c r="N998" i="8"/>
  <c r="D997" i="8"/>
  <c r="C1279" i="8"/>
  <c r="N41" i="8" l="1"/>
  <c r="D40" i="8"/>
  <c r="D1100" i="8"/>
  <c r="N1101" i="8"/>
  <c r="N999" i="8"/>
  <c r="D998" i="8"/>
  <c r="N274" i="8"/>
  <c r="D273" i="8"/>
  <c r="C1280" i="8"/>
  <c r="N42" i="8" l="1"/>
  <c r="D41" i="8"/>
  <c r="N275" i="8"/>
  <c r="D274" i="8"/>
  <c r="N1102" i="8"/>
  <c r="D1101" i="8"/>
  <c r="N1000" i="8"/>
  <c r="D999" i="8"/>
  <c r="C1281" i="8"/>
  <c r="M13" i="22"/>
  <c r="L13" i="22"/>
  <c r="M12" i="22"/>
  <c r="L12" i="22"/>
  <c r="M11" i="22"/>
  <c r="L11" i="22"/>
  <c r="M10" i="22"/>
  <c r="L10" i="22"/>
  <c r="N1001" i="8" l="1"/>
  <c r="D1000" i="8"/>
  <c r="N276" i="8"/>
  <c r="D275" i="8"/>
  <c r="N1103" i="8"/>
  <c r="D1102" i="8"/>
  <c r="N43" i="8"/>
  <c r="D42" i="8"/>
  <c r="C1282" i="8"/>
  <c r="L8" i="22"/>
  <c r="M9" i="22"/>
  <c r="L9" i="22"/>
  <c r="M8" i="22"/>
  <c r="N44" i="8" l="1"/>
  <c r="D43" i="8"/>
  <c r="N277" i="8"/>
  <c r="D276" i="8"/>
  <c r="N1104" i="8"/>
  <c r="D1103" i="8"/>
  <c r="N1002" i="8"/>
  <c r="D1001" i="8"/>
  <c r="C1283" i="8"/>
  <c r="M7" i="22"/>
  <c r="L7" i="22"/>
  <c r="M6" i="22"/>
  <c r="L6" i="22"/>
  <c r="N1003" i="8" l="1"/>
  <c r="D1002" i="8"/>
  <c r="N278" i="8"/>
  <c r="D277" i="8"/>
  <c r="N1105" i="8"/>
  <c r="D1104" i="8"/>
  <c r="N45" i="8"/>
  <c r="D44" i="8"/>
  <c r="C1284" i="8"/>
  <c r="M5" i="22"/>
  <c r="L5" i="22"/>
  <c r="M4" i="22"/>
  <c r="L4" i="22"/>
  <c r="M3" i="22"/>
  <c r="L3" i="22"/>
  <c r="M2" i="22"/>
  <c r="L2" i="22"/>
  <c r="M1" i="22"/>
  <c r="L1" i="22"/>
  <c r="M108" i="20"/>
  <c r="L108" i="20"/>
  <c r="N46" i="8" l="1"/>
  <c r="D45" i="8"/>
  <c r="N279" i="8"/>
  <c r="D278" i="8"/>
  <c r="N1106" i="8"/>
  <c r="D1105" i="8"/>
  <c r="N1004" i="8"/>
  <c r="D1003" i="8"/>
  <c r="C1285" i="8"/>
  <c r="E1284" i="8"/>
  <c r="C1157" i="8"/>
  <c r="C1158" i="8" s="1"/>
  <c r="N1107" i="8" l="1"/>
  <c r="D1106" i="8"/>
  <c r="N47" i="8"/>
  <c r="D46" i="8"/>
  <c r="N1005" i="8"/>
  <c r="D1004" i="8"/>
  <c r="N280" i="8"/>
  <c r="D279" i="8"/>
  <c r="E1285" i="8"/>
  <c r="C1286" i="8"/>
  <c r="C1159" i="8"/>
  <c r="M107" i="20"/>
  <c r="L107" i="20"/>
  <c r="M106" i="20"/>
  <c r="L106" i="20"/>
  <c r="M105" i="20"/>
  <c r="L105" i="20"/>
  <c r="M104" i="20"/>
  <c r="L104" i="20"/>
  <c r="M103" i="20"/>
  <c r="L103" i="20"/>
  <c r="M102" i="20"/>
  <c r="L102" i="20"/>
  <c r="M101" i="20"/>
  <c r="L101" i="20"/>
  <c r="M100" i="20"/>
  <c r="L100" i="20"/>
  <c r="M99" i="20"/>
  <c r="L99" i="20"/>
  <c r="M98" i="20"/>
  <c r="L98" i="20"/>
  <c r="M97" i="20"/>
  <c r="L97" i="20"/>
  <c r="N281" i="8" l="1"/>
  <c r="D280" i="8"/>
  <c r="N48" i="8"/>
  <c r="D47" i="8"/>
  <c r="N1006" i="8"/>
  <c r="D1005" i="8"/>
  <c r="N1108" i="8"/>
  <c r="D1107" i="8"/>
  <c r="C1287" i="8"/>
  <c r="E1286" i="8"/>
  <c r="C1160" i="8"/>
  <c r="N1109" i="8" l="1"/>
  <c r="D1108" i="8"/>
  <c r="N49" i="8"/>
  <c r="D48" i="8"/>
  <c r="N1007" i="8"/>
  <c r="D1006" i="8"/>
  <c r="N282" i="8"/>
  <c r="D281" i="8"/>
  <c r="C1288" i="8"/>
  <c r="E1287" i="8"/>
  <c r="C1161" i="8"/>
  <c r="M96" i="20"/>
  <c r="L96" i="20"/>
  <c r="N283" i="8" l="1"/>
  <c r="D282" i="8"/>
  <c r="N50" i="8"/>
  <c r="D49" i="8"/>
  <c r="N1008" i="8"/>
  <c r="D1007" i="8"/>
  <c r="N1110" i="8"/>
  <c r="D1109" i="8"/>
  <c r="C1289" i="8"/>
  <c r="E1288" i="8"/>
  <c r="C1162" i="8"/>
  <c r="M95" i="20"/>
  <c r="L95" i="20"/>
  <c r="M94" i="20"/>
  <c r="L94" i="20"/>
  <c r="M93" i="20"/>
  <c r="L93" i="20"/>
  <c r="M92" i="20"/>
  <c r="L92" i="20"/>
  <c r="M91" i="20"/>
  <c r="L91" i="20"/>
  <c r="M90" i="20"/>
  <c r="L90" i="20"/>
  <c r="M89" i="20"/>
  <c r="L89" i="20"/>
  <c r="M88" i="20"/>
  <c r="L88" i="20"/>
  <c r="M87" i="20"/>
  <c r="L87" i="20"/>
  <c r="M86" i="20"/>
  <c r="L86" i="20"/>
  <c r="M85" i="20"/>
  <c r="L85" i="20"/>
  <c r="M84" i="20"/>
  <c r="L84" i="20"/>
  <c r="M83" i="20"/>
  <c r="L83" i="20"/>
  <c r="M82" i="20"/>
  <c r="L82" i="20"/>
  <c r="M81" i="20"/>
  <c r="L81" i="20"/>
  <c r="M80" i="20"/>
  <c r="L80" i="20"/>
  <c r="M79" i="20"/>
  <c r="L79" i="20"/>
  <c r="M78" i="20"/>
  <c r="L78" i="20"/>
  <c r="M77" i="20"/>
  <c r="L77" i="20"/>
  <c r="M76" i="20"/>
  <c r="L76" i="20"/>
  <c r="M75" i="20"/>
  <c r="L75" i="20"/>
  <c r="M74" i="20"/>
  <c r="L74" i="20"/>
  <c r="M73" i="20"/>
  <c r="L73" i="20"/>
  <c r="M72" i="20"/>
  <c r="L72" i="20"/>
  <c r="M71" i="20"/>
  <c r="L71" i="20"/>
  <c r="M70" i="20"/>
  <c r="L70" i="20"/>
  <c r="N1111" i="8" l="1"/>
  <c r="D1110" i="8"/>
  <c r="N51" i="8"/>
  <c r="D50" i="8"/>
  <c r="N1009" i="8"/>
  <c r="D1008" i="8"/>
  <c r="N284" i="8"/>
  <c r="D283" i="8"/>
  <c r="C1290" i="8"/>
  <c r="C1163" i="8"/>
  <c r="A1111" i="8"/>
  <c r="A1110" i="8"/>
  <c r="A1109" i="8"/>
  <c r="A1108" i="8"/>
  <c r="A1107" i="8"/>
  <c r="A1106" i="8"/>
  <c r="A1105" i="8"/>
  <c r="A1104" i="8"/>
  <c r="A1103" i="8"/>
  <c r="A1102" i="8"/>
  <c r="A1101" i="8"/>
  <c r="A1100" i="8"/>
  <c r="A1099" i="8"/>
  <c r="A1098" i="8"/>
  <c r="A1097" i="8"/>
  <c r="A1096" i="8"/>
  <c r="A1095" i="8"/>
  <c r="A1094" i="8"/>
  <c r="A1093" i="8"/>
  <c r="A1092" i="8"/>
  <c r="A1091" i="8"/>
  <c r="N285" i="8" l="1"/>
  <c r="D284" i="8"/>
  <c r="N52" i="8"/>
  <c r="D51" i="8"/>
  <c r="N1010" i="8"/>
  <c r="D1009" i="8"/>
  <c r="N1112" i="8"/>
  <c r="D1111" i="8"/>
  <c r="C1291" i="8"/>
  <c r="C1164" i="8"/>
  <c r="M69" i="20"/>
  <c r="L69" i="20"/>
  <c r="M68" i="20"/>
  <c r="L68" i="20"/>
  <c r="M67" i="20"/>
  <c r="L67" i="20"/>
  <c r="M66" i="20"/>
  <c r="L66" i="20"/>
  <c r="M65" i="20"/>
  <c r="L65" i="20"/>
  <c r="M64" i="20"/>
  <c r="L64" i="20"/>
  <c r="M63" i="20"/>
  <c r="L63" i="20"/>
  <c r="M62" i="20"/>
  <c r="L62" i="20"/>
  <c r="M61" i="20"/>
  <c r="L61" i="20"/>
  <c r="M60" i="20"/>
  <c r="L60" i="20"/>
  <c r="M59" i="20"/>
  <c r="L59" i="20"/>
  <c r="M58" i="20"/>
  <c r="L58" i="20"/>
  <c r="M57" i="20"/>
  <c r="L57" i="20"/>
  <c r="M56" i="20"/>
  <c r="L56" i="20"/>
  <c r="M55" i="20"/>
  <c r="L55" i="20"/>
  <c r="M54" i="20"/>
  <c r="L54" i="20"/>
  <c r="M53" i="20"/>
  <c r="L53" i="20"/>
  <c r="M52" i="20"/>
  <c r="L52" i="20"/>
  <c r="M51" i="20"/>
  <c r="L51" i="20"/>
  <c r="M50" i="20"/>
  <c r="L50" i="20"/>
  <c r="M49" i="20"/>
  <c r="L49" i="20"/>
  <c r="M48" i="20"/>
  <c r="L48" i="20"/>
  <c r="M47" i="20"/>
  <c r="L47" i="20"/>
  <c r="M46" i="20"/>
  <c r="L46" i="20"/>
  <c r="M45" i="20"/>
  <c r="L45" i="20"/>
  <c r="M44" i="20"/>
  <c r="L44" i="20"/>
  <c r="M43" i="20"/>
  <c r="L43" i="20"/>
  <c r="M42" i="20"/>
  <c r="L42" i="20"/>
  <c r="N1113" i="8" l="1"/>
  <c r="D1112" i="8"/>
  <c r="A1112" i="8"/>
  <c r="N53" i="8"/>
  <c r="D52" i="8"/>
  <c r="N1011" i="8"/>
  <c r="D1010" i="8"/>
  <c r="N286" i="8"/>
  <c r="D285" i="8"/>
  <c r="C1292" i="8"/>
  <c r="C1165" i="8"/>
  <c r="C2" i="21"/>
  <c r="C3" i="21" s="1"/>
  <c r="C4" i="21" s="1"/>
  <c r="C5" i="21" s="1"/>
  <c r="C6" i="21" s="1"/>
  <c r="C7" i="21" s="1"/>
  <c r="C8" i="21" s="1"/>
  <c r="C9" i="21" s="1"/>
  <c r="C10" i="21" s="1"/>
  <c r="C11" i="21" s="1"/>
  <c r="C12" i="21" s="1"/>
  <c r="C13" i="21" s="1"/>
  <c r="C14" i="21" s="1"/>
  <c r="C15" i="21" s="1"/>
  <c r="C16" i="21" s="1"/>
  <c r="C17" i="21" s="1"/>
  <c r="C18" i="21" s="1"/>
  <c r="C19" i="21" s="1"/>
  <c r="C20" i="21" s="1"/>
  <c r="C21" i="21" s="1"/>
  <c r="C22" i="21" s="1"/>
  <c r="C23" i="21" s="1"/>
  <c r="C24" i="21" s="1"/>
  <c r="C25" i="21" s="1"/>
  <c r="C26" i="21" s="1"/>
  <c r="C27" i="21" s="1"/>
  <c r="C28" i="21" s="1"/>
  <c r="C29" i="21" s="1"/>
  <c r="C30" i="21" s="1"/>
  <c r="C31" i="21" s="1"/>
  <c r="C32" i="21" s="1"/>
  <c r="C33" i="21" s="1"/>
  <c r="C34" i="21" s="1"/>
  <c r="C35" i="21" s="1"/>
  <c r="C36" i="21" s="1"/>
  <c r="C37" i="21" s="1"/>
  <c r="C38" i="21" s="1"/>
  <c r="C39" i="21" s="1"/>
  <c r="C40" i="21" s="1"/>
  <c r="C41" i="21" s="1"/>
  <c r="C42" i="21" s="1"/>
  <c r="C43" i="21" s="1"/>
  <c r="C44" i="21" s="1"/>
  <c r="C45" i="21" s="1"/>
  <c r="C46" i="21" s="1"/>
  <c r="C47" i="21" s="1"/>
  <c r="C48" i="21" s="1"/>
  <c r="C49" i="21" s="1"/>
  <c r="C50" i="21" s="1"/>
  <c r="C51" i="21" s="1"/>
  <c r="C52" i="21" s="1"/>
  <c r="C53" i="21" s="1"/>
  <c r="C54" i="21" s="1"/>
  <c r="C55" i="21" s="1"/>
  <c r="C56" i="21" s="1"/>
  <c r="C57" i="21" s="1"/>
  <c r="C58" i="21" s="1"/>
  <c r="C59" i="21" s="1"/>
  <c r="C60" i="21" s="1"/>
  <c r="C61" i="21" s="1"/>
  <c r="C62" i="21" s="1"/>
  <c r="C63" i="21" s="1"/>
  <c r="C64" i="21" s="1"/>
  <c r="C65" i="21" s="1"/>
  <c r="C66" i="21" s="1"/>
  <c r="C67" i="21" s="1"/>
  <c r="C68" i="21" s="1"/>
  <c r="C69" i="21" s="1"/>
  <c r="C70" i="21" s="1"/>
  <c r="C71" i="21" s="1"/>
  <c r="C72" i="21" s="1"/>
  <c r="C73" i="21" s="1"/>
  <c r="C74" i="21" s="1"/>
  <c r="C75" i="21" s="1"/>
  <c r="C76" i="21" s="1"/>
  <c r="C77" i="21" s="1"/>
  <c r="C78" i="21" s="1"/>
  <c r="C79" i="21" s="1"/>
  <c r="C80" i="21" s="1"/>
  <c r="C81" i="21" s="1"/>
  <c r="C82" i="21" s="1"/>
  <c r="C83" i="21" s="1"/>
  <c r="C84" i="21" s="1"/>
  <c r="C85" i="21" s="1"/>
  <c r="C86" i="21" s="1"/>
  <c r="C87" i="21" s="1"/>
  <c r="C88" i="21" s="1"/>
  <c r="C89" i="21" s="1"/>
  <c r="C90" i="21" s="1"/>
  <c r="C91" i="21" s="1"/>
  <c r="C92" i="21" s="1"/>
  <c r="C93" i="21" s="1"/>
  <c r="C94" i="21" s="1"/>
  <c r="C95" i="21" s="1"/>
  <c r="C96" i="21" s="1"/>
  <c r="C97" i="21" s="1"/>
  <c r="C98" i="21" s="1"/>
  <c r="C99" i="21" s="1"/>
  <c r="C100" i="21" s="1"/>
  <c r="C101" i="21" s="1"/>
  <c r="C102" i="21" s="1"/>
  <c r="C103" i="21" s="1"/>
  <c r="C104" i="21" s="1"/>
  <c r="N287" i="8" l="1"/>
  <c r="D286" i="8"/>
  <c r="N54" i="8"/>
  <c r="D53" i="8"/>
  <c r="N1012" i="8"/>
  <c r="D1011" i="8"/>
  <c r="N1114" i="8"/>
  <c r="D1113" i="8"/>
  <c r="A1113" i="8"/>
  <c r="C1293" i="8"/>
  <c r="C1166" i="8"/>
  <c r="A1090" i="8"/>
  <c r="A1089" i="8"/>
  <c r="A1088" i="8"/>
  <c r="A1087" i="8"/>
  <c r="M41" i="20"/>
  <c r="L41" i="20"/>
  <c r="M40" i="20"/>
  <c r="L40" i="20"/>
  <c r="M39" i="20"/>
  <c r="L39" i="20"/>
  <c r="M38" i="20"/>
  <c r="L38" i="20"/>
  <c r="M37" i="20"/>
  <c r="L37" i="20"/>
  <c r="M36" i="20"/>
  <c r="L36" i="20"/>
  <c r="N1115" i="8" l="1"/>
  <c r="D1114" i="8"/>
  <c r="A1114" i="8"/>
  <c r="N55" i="8"/>
  <c r="D54" i="8"/>
  <c r="N1013" i="8"/>
  <c r="D1012" i="8"/>
  <c r="N288" i="8"/>
  <c r="D287" i="8"/>
  <c r="C1294" i="8"/>
  <c r="C1167" i="8"/>
  <c r="A1086" i="8"/>
  <c r="A1085" i="8"/>
  <c r="N289" i="8" l="1"/>
  <c r="D288" i="8"/>
  <c r="N56" i="8"/>
  <c r="D55" i="8"/>
  <c r="N1014" i="8"/>
  <c r="D1013" i="8"/>
  <c r="N1116" i="8"/>
  <c r="D1115" i="8"/>
  <c r="A1115" i="8"/>
  <c r="C1295" i="8"/>
  <c r="C1168" i="8"/>
  <c r="A1084" i="8"/>
  <c r="A1083" i="8"/>
  <c r="A1082" i="8"/>
  <c r="A1081" i="8"/>
  <c r="A1080" i="8"/>
  <c r="A1079" i="8"/>
  <c r="A1078" i="8"/>
  <c r="A1077" i="8"/>
  <c r="A1076" i="8"/>
  <c r="A1075" i="8"/>
  <c r="A1074" i="8"/>
  <c r="A1073" i="8"/>
  <c r="A1072" i="8"/>
  <c r="A1071" i="8"/>
  <c r="A1070" i="8"/>
  <c r="A1069" i="8"/>
  <c r="A1068" i="8"/>
  <c r="A1067" i="8"/>
  <c r="N1015" i="8" l="1"/>
  <c r="D1014" i="8"/>
  <c r="N290" i="8"/>
  <c r="D289" i="8"/>
  <c r="N1117" i="8"/>
  <c r="D1116" i="8"/>
  <c r="A1116" i="8"/>
  <c r="N57" i="8"/>
  <c r="D56" i="8"/>
  <c r="C1296" i="8"/>
  <c r="C1169" i="8"/>
  <c r="M35" i="20"/>
  <c r="L35" i="20"/>
  <c r="M34" i="20"/>
  <c r="L34" i="20"/>
  <c r="M33" i="20"/>
  <c r="L33" i="20"/>
  <c r="M32" i="20"/>
  <c r="L32" i="20"/>
  <c r="M31" i="20"/>
  <c r="L31" i="20"/>
  <c r="M30" i="20"/>
  <c r="L30" i="20"/>
  <c r="M29" i="20"/>
  <c r="L29" i="20"/>
  <c r="M28" i="20"/>
  <c r="L28" i="20"/>
  <c r="M27" i="20"/>
  <c r="L27" i="20"/>
  <c r="M26" i="20"/>
  <c r="L26" i="20"/>
  <c r="M25" i="20"/>
  <c r="L25" i="20"/>
  <c r="M24" i="20"/>
  <c r="L24" i="20"/>
  <c r="M23" i="20"/>
  <c r="L23" i="20"/>
  <c r="M22" i="20"/>
  <c r="L22" i="20"/>
  <c r="M21" i="20"/>
  <c r="L21" i="20"/>
  <c r="M20" i="20"/>
  <c r="L20" i="20"/>
  <c r="M19" i="20"/>
  <c r="L19" i="20"/>
  <c r="M18" i="20"/>
  <c r="L18" i="20"/>
  <c r="N58" i="8" l="1"/>
  <c r="D57" i="8"/>
  <c r="N291" i="8"/>
  <c r="D290" i="8"/>
  <c r="N1118" i="8"/>
  <c r="D1117" i="8"/>
  <c r="A1117" i="8"/>
  <c r="N1016" i="8"/>
  <c r="D1015" i="8"/>
  <c r="C1297" i="8"/>
  <c r="C1170" i="8"/>
  <c r="A1066" i="8"/>
  <c r="A1065" i="8"/>
  <c r="A1064" i="8"/>
  <c r="A1063" i="8"/>
  <c r="A1062" i="8"/>
  <c r="A1061" i="8"/>
  <c r="A1060" i="8"/>
  <c r="A1059" i="8"/>
  <c r="A1058" i="8"/>
  <c r="A1057" i="8"/>
  <c r="A1056" i="8"/>
  <c r="M17" i="20"/>
  <c r="L17" i="20"/>
  <c r="M16" i="20"/>
  <c r="L16" i="20"/>
  <c r="M15" i="20"/>
  <c r="L15" i="20"/>
  <c r="M14" i="20"/>
  <c r="L14" i="20"/>
  <c r="M13" i="20"/>
  <c r="L13" i="20"/>
  <c r="M12" i="20"/>
  <c r="L12" i="20"/>
  <c r="M11" i="20"/>
  <c r="L11" i="20"/>
  <c r="M10" i="20"/>
  <c r="L10" i="20"/>
  <c r="M9" i="20"/>
  <c r="L9" i="20"/>
  <c r="M8" i="20"/>
  <c r="L8" i="20"/>
  <c r="M7" i="20"/>
  <c r="L7" i="20"/>
  <c r="M6" i="20"/>
  <c r="L6" i="20"/>
  <c r="M5" i="20"/>
  <c r="L5" i="20"/>
  <c r="M4" i="20"/>
  <c r="L4" i="20"/>
  <c r="M3" i="20"/>
  <c r="L3" i="20"/>
  <c r="M2" i="20"/>
  <c r="L2" i="20"/>
  <c r="M1" i="20"/>
  <c r="L1" i="20"/>
  <c r="N292" i="8" l="1"/>
  <c r="D291" i="8"/>
  <c r="N1017" i="8"/>
  <c r="D1016" i="8"/>
  <c r="N1119" i="8"/>
  <c r="D1118" i="8"/>
  <c r="A1118" i="8"/>
  <c r="N59" i="8"/>
  <c r="D58" i="8"/>
  <c r="C1298" i="8"/>
  <c r="C1171" i="8"/>
  <c r="C1049" i="8"/>
  <c r="C1050" i="8" s="1"/>
  <c r="N60" i="8" l="1"/>
  <c r="D59" i="8"/>
  <c r="N1018" i="8"/>
  <c r="D1017" i="8"/>
  <c r="N1120" i="8"/>
  <c r="D1119" i="8"/>
  <c r="A1119" i="8"/>
  <c r="N293" i="8"/>
  <c r="D292" i="8"/>
  <c r="C1299" i="8"/>
  <c r="C1172" i="8"/>
  <c r="C1051" i="8"/>
  <c r="N294" i="8" l="1"/>
  <c r="D293" i="8"/>
  <c r="N1019" i="8"/>
  <c r="D1018" i="8"/>
  <c r="D1120" i="8"/>
  <c r="N1121" i="8"/>
  <c r="A1120" i="8"/>
  <c r="N61" i="8"/>
  <c r="D60" i="8"/>
  <c r="C1300" i="8"/>
  <c r="C1173" i="8"/>
  <c r="C1052" i="8"/>
  <c r="N295" i="8" l="1"/>
  <c r="D294" i="8"/>
  <c r="N62" i="8"/>
  <c r="D61" i="8"/>
  <c r="N1020" i="8"/>
  <c r="D1019" i="8"/>
  <c r="N1122" i="8"/>
  <c r="D1121" i="8"/>
  <c r="A1121" i="8"/>
  <c r="C1301" i="8"/>
  <c r="C1174" i="8"/>
  <c r="C1053" i="8"/>
  <c r="N1123" i="8" l="1"/>
  <c r="D1122" i="8"/>
  <c r="A1122" i="8"/>
  <c r="N63" i="8"/>
  <c r="D62" i="8"/>
  <c r="N1021" i="8"/>
  <c r="D1020" i="8"/>
  <c r="N296" i="8"/>
  <c r="D295" i="8"/>
  <c r="C1302" i="8"/>
  <c r="C1175" i="8"/>
  <c r="C1054" i="8"/>
  <c r="N297" i="8" l="1"/>
  <c r="D296" i="8"/>
  <c r="N64" i="8"/>
  <c r="D63" i="8"/>
  <c r="N1022" i="8"/>
  <c r="D1021" i="8"/>
  <c r="N1124" i="8"/>
  <c r="D1123" i="8"/>
  <c r="A1123" i="8"/>
  <c r="C1303" i="8"/>
  <c r="C1176" i="8"/>
  <c r="C1055" i="8"/>
  <c r="N1125" i="8" l="1"/>
  <c r="D1124" i="8"/>
  <c r="A1124" i="8"/>
  <c r="N65" i="8"/>
  <c r="D64" i="8"/>
  <c r="N1023" i="8"/>
  <c r="D1022" i="8"/>
  <c r="N298" i="8"/>
  <c r="D297" i="8"/>
  <c r="C1304" i="8"/>
  <c r="C1177" i="8"/>
  <c r="C1056" i="8"/>
  <c r="N1024" i="8" l="1"/>
  <c r="D1023" i="8"/>
  <c r="N1126" i="8"/>
  <c r="D1125" i="8"/>
  <c r="A1125" i="8"/>
  <c r="N299" i="8"/>
  <c r="D298" i="8"/>
  <c r="N66" i="8"/>
  <c r="D65" i="8"/>
  <c r="C1305" i="8"/>
  <c r="C1178" i="8"/>
  <c r="C1057" i="8"/>
  <c r="E1056" i="8"/>
  <c r="N67" i="8" l="1"/>
  <c r="D66" i="8"/>
  <c r="N1127" i="8"/>
  <c r="D1126" i="8"/>
  <c r="A1126" i="8"/>
  <c r="N300" i="8"/>
  <c r="D299" i="8"/>
  <c r="N1025" i="8"/>
  <c r="D1024" i="8"/>
  <c r="C1306" i="8"/>
  <c r="C1179" i="8"/>
  <c r="C1058" i="8"/>
  <c r="E1057" i="8"/>
  <c r="N1026" i="8" l="1"/>
  <c r="D1025" i="8"/>
  <c r="N1128" i="8"/>
  <c r="D1127" i="8"/>
  <c r="A1127" i="8"/>
  <c r="N301" i="8"/>
  <c r="D300" i="8"/>
  <c r="N68" i="8"/>
  <c r="D67" i="8"/>
  <c r="C1307" i="8"/>
  <c r="C1180" i="8"/>
  <c r="C1059" i="8"/>
  <c r="E1058" i="8"/>
  <c r="A1026" i="8"/>
  <c r="A1024" i="8"/>
  <c r="A1022" i="8"/>
  <c r="A1020" i="8"/>
  <c r="A1018" i="8"/>
  <c r="A1016" i="8"/>
  <c r="A1015" i="8"/>
  <c r="A1014" i="8"/>
  <c r="A1012" i="8"/>
  <c r="A1010" i="8"/>
  <c r="A1008" i="8"/>
  <c r="A1007" i="8"/>
  <c r="A1006" i="8"/>
  <c r="A1004" i="8"/>
  <c r="A1002" i="8"/>
  <c r="A1000" i="8"/>
  <c r="A999" i="8"/>
  <c r="A998" i="8"/>
  <c r="A996" i="8"/>
  <c r="A995" i="8"/>
  <c r="A994" i="8"/>
  <c r="A992" i="8"/>
  <c r="A991" i="8"/>
  <c r="A990" i="8"/>
  <c r="A988" i="8"/>
  <c r="A987" i="8"/>
  <c r="A986" i="8"/>
  <c r="A984" i="8"/>
  <c r="A983" i="8"/>
  <c r="A1025" i="8"/>
  <c r="A1023" i="8"/>
  <c r="A1021" i="8"/>
  <c r="A1019" i="8"/>
  <c r="A1017" i="8"/>
  <c r="A1013" i="8"/>
  <c r="A1011" i="8"/>
  <c r="A1009" i="8"/>
  <c r="A1005" i="8"/>
  <c r="A1003" i="8"/>
  <c r="A1001" i="8"/>
  <c r="A997" i="8"/>
  <c r="A993" i="8"/>
  <c r="A989" i="8"/>
  <c r="A985" i="8"/>
  <c r="N69" i="8" l="1"/>
  <c r="D68" i="8"/>
  <c r="N1129" i="8"/>
  <c r="D1128" i="8"/>
  <c r="A1128" i="8"/>
  <c r="N302" i="8"/>
  <c r="D301" i="8"/>
  <c r="N1027" i="8"/>
  <c r="D1026" i="8"/>
  <c r="C1308" i="8"/>
  <c r="C1181" i="8"/>
  <c r="C1060" i="8"/>
  <c r="E1059" i="8"/>
  <c r="A982" i="8"/>
  <c r="A981" i="8"/>
  <c r="N303" i="8" l="1"/>
  <c r="D302" i="8"/>
  <c r="N70" i="8"/>
  <c r="D69" i="8"/>
  <c r="N1028" i="8"/>
  <c r="D1027" i="8"/>
  <c r="A1027" i="8"/>
  <c r="N1130" i="8"/>
  <c r="D1129" i="8"/>
  <c r="A1129" i="8"/>
  <c r="C1309" i="8"/>
  <c r="C1182" i="8"/>
  <c r="C1061" i="8"/>
  <c r="E1060" i="8"/>
  <c r="A980" i="8"/>
  <c r="A979" i="8"/>
  <c r="D1028" i="8" l="1"/>
  <c r="N1029" i="8"/>
  <c r="A1028" i="8"/>
  <c r="N304" i="8"/>
  <c r="D303" i="8"/>
  <c r="N1131" i="8"/>
  <c r="D1130" i="8"/>
  <c r="A1130" i="8"/>
  <c r="N71" i="8"/>
  <c r="D70" i="8"/>
  <c r="C1310" i="8"/>
  <c r="C1183" i="8"/>
  <c r="C1062" i="8"/>
  <c r="E1061" i="8"/>
  <c r="A978" i="8"/>
  <c r="N1132" i="8" l="1"/>
  <c r="D1131" i="8"/>
  <c r="A1131" i="8"/>
  <c r="N1030" i="8"/>
  <c r="D1029" i="8"/>
  <c r="A1029" i="8"/>
  <c r="N72" i="8"/>
  <c r="D71" i="8"/>
  <c r="N305" i="8"/>
  <c r="D304" i="8"/>
  <c r="C1311" i="8"/>
  <c r="C1184" i="8"/>
  <c r="C1063" i="8"/>
  <c r="E1062" i="8"/>
  <c r="A977" i="8"/>
  <c r="A976" i="8"/>
  <c r="A975" i="8"/>
  <c r="A974" i="8"/>
  <c r="A973" i="8"/>
  <c r="A972" i="8"/>
  <c r="A971" i="8"/>
  <c r="A970" i="8"/>
  <c r="A969" i="8"/>
  <c r="A968" i="8"/>
  <c r="A967" i="8"/>
  <c r="A966" i="8"/>
  <c r="A965" i="8"/>
  <c r="A964" i="8"/>
  <c r="A963" i="8"/>
  <c r="A962" i="8"/>
  <c r="A961" i="8"/>
  <c r="A960" i="8"/>
  <c r="A959" i="8"/>
  <c r="A958" i="8"/>
  <c r="A957" i="8"/>
  <c r="A956" i="8"/>
  <c r="A955" i="8"/>
  <c r="A954" i="8"/>
  <c r="A953" i="8"/>
  <c r="A952" i="8"/>
  <c r="N306" i="8" l="1"/>
  <c r="D305" i="8"/>
  <c r="N1133" i="8"/>
  <c r="D1132" i="8"/>
  <c r="A1132" i="8"/>
  <c r="N1031" i="8"/>
  <c r="D1030" i="8"/>
  <c r="A1030" i="8"/>
  <c r="N73" i="8"/>
  <c r="D72" i="8"/>
  <c r="C1312" i="8"/>
  <c r="C1185" i="8"/>
  <c r="C1064" i="8"/>
  <c r="E1063" i="8"/>
  <c r="N1134" i="8" l="1"/>
  <c r="D1133" i="8"/>
  <c r="A1133" i="8"/>
  <c r="N1032" i="8"/>
  <c r="D1031" i="8"/>
  <c r="A1031" i="8"/>
  <c r="N74" i="8"/>
  <c r="D73" i="8"/>
  <c r="N307" i="8"/>
  <c r="D306" i="8"/>
  <c r="C1313" i="8"/>
  <c r="C1186" i="8"/>
  <c r="E1064" i="8"/>
  <c r="C1065" i="8"/>
  <c r="N308" i="8" l="1"/>
  <c r="D307" i="8"/>
  <c r="N1033" i="8"/>
  <c r="D1032" i="8"/>
  <c r="A1032" i="8"/>
  <c r="N75" i="8"/>
  <c r="D74" i="8"/>
  <c r="N1135" i="8"/>
  <c r="D1134" i="8"/>
  <c r="A1134" i="8"/>
  <c r="C1314" i="8"/>
  <c r="C1187" i="8"/>
  <c r="C1066" i="8"/>
  <c r="E1065" i="8"/>
  <c r="N309" i="8" l="1"/>
  <c r="D308" i="8"/>
  <c r="N1136" i="8"/>
  <c r="D1135" i="8"/>
  <c r="A1135" i="8"/>
  <c r="N1034" i="8"/>
  <c r="D1033" i="8"/>
  <c r="A1033" i="8"/>
  <c r="N76" i="8"/>
  <c r="D75" i="8"/>
  <c r="C1315" i="8"/>
  <c r="C1188" i="8"/>
  <c r="C1067" i="8"/>
  <c r="E1066" i="8"/>
  <c r="N1035" i="8" l="1"/>
  <c r="D1034" i="8"/>
  <c r="A1034" i="8"/>
  <c r="N1137" i="8"/>
  <c r="D1136" i="8"/>
  <c r="A1136" i="8"/>
  <c r="N77" i="8"/>
  <c r="D76" i="8"/>
  <c r="N310" i="8"/>
  <c r="D309" i="8"/>
  <c r="C1316" i="8"/>
  <c r="C1189" i="8"/>
  <c r="E1067" i="8"/>
  <c r="C1068" i="8"/>
  <c r="N1138" i="8" l="1"/>
  <c r="D1137" i="8"/>
  <c r="A1137" i="8"/>
  <c r="N78" i="8"/>
  <c r="D77" i="8"/>
  <c r="N311" i="8"/>
  <c r="D310" i="8"/>
  <c r="N1036" i="8"/>
  <c r="D1035" i="8"/>
  <c r="A1035" i="8"/>
  <c r="C1317" i="8"/>
  <c r="C1190" i="8"/>
  <c r="C1069" i="8"/>
  <c r="E1068" i="8"/>
  <c r="N1139" i="8" l="1"/>
  <c r="D1138" i="8"/>
  <c r="A1138" i="8"/>
  <c r="N1037" i="8"/>
  <c r="D1036" i="8"/>
  <c r="A1036" i="8"/>
  <c r="N79" i="8"/>
  <c r="D78" i="8"/>
  <c r="N312" i="8"/>
  <c r="D311" i="8"/>
  <c r="C1318" i="8"/>
  <c r="C1191" i="8"/>
  <c r="C1070" i="8"/>
  <c r="E1069" i="8"/>
  <c r="N313" i="8" l="1"/>
  <c r="D312" i="8"/>
  <c r="N1038" i="8"/>
  <c r="D1037" i="8"/>
  <c r="A1037" i="8"/>
  <c r="N80" i="8"/>
  <c r="D79" i="8"/>
  <c r="N1140" i="8"/>
  <c r="D1139" i="8"/>
  <c r="A1139" i="8"/>
  <c r="C1319" i="8"/>
  <c r="C1192" i="8"/>
  <c r="C1071" i="8"/>
  <c r="E1070" i="8"/>
  <c r="D313" i="8" l="1"/>
  <c r="N314" i="8"/>
  <c r="N1141" i="8"/>
  <c r="D1140" i="8"/>
  <c r="A1140" i="8"/>
  <c r="N1039" i="8"/>
  <c r="D1038" i="8"/>
  <c r="A1038" i="8"/>
  <c r="N81" i="8"/>
  <c r="D80" i="8"/>
  <c r="C1320" i="8"/>
  <c r="C1193" i="8"/>
  <c r="C1072" i="8"/>
  <c r="E1071" i="8"/>
  <c r="N1142" i="8" l="1"/>
  <c r="D1141" i="8"/>
  <c r="A1141" i="8"/>
  <c r="N1040" i="8"/>
  <c r="D1039" i="8"/>
  <c r="A1039" i="8"/>
  <c r="D314" i="8"/>
  <c r="N315" i="8"/>
  <c r="N82" i="8"/>
  <c r="D81" i="8"/>
  <c r="C1321" i="8"/>
  <c r="C1194" i="8"/>
  <c r="C1073" i="8"/>
  <c r="E1072" i="8"/>
  <c r="D315" i="8" l="1"/>
  <c r="N316" i="8"/>
  <c r="N1041" i="8"/>
  <c r="D1040" i="8"/>
  <c r="A1040" i="8"/>
  <c r="N83" i="8"/>
  <c r="D82" i="8"/>
  <c r="N1143" i="8"/>
  <c r="D1142" i="8"/>
  <c r="A1142" i="8"/>
  <c r="C1322" i="8"/>
  <c r="C1195" i="8"/>
  <c r="C1074" i="8"/>
  <c r="E1073" i="8"/>
  <c r="N1144" i="8" l="1"/>
  <c r="D1143" i="8"/>
  <c r="A1143" i="8"/>
  <c r="N1042" i="8"/>
  <c r="D1041" i="8"/>
  <c r="A1041" i="8"/>
  <c r="N84" i="8"/>
  <c r="D83" i="8"/>
  <c r="D316" i="8"/>
  <c r="N317" i="8"/>
  <c r="C1323" i="8"/>
  <c r="C1324" i="8" s="1"/>
  <c r="C1196" i="8"/>
  <c r="C1075" i="8"/>
  <c r="E1074" i="8"/>
  <c r="N1043" i="8" l="1"/>
  <c r="D1042" i="8"/>
  <c r="A1042" i="8"/>
  <c r="N85" i="8"/>
  <c r="D84" i="8"/>
  <c r="D317" i="8"/>
  <c r="N318" i="8"/>
  <c r="N1145" i="8"/>
  <c r="D1144" i="8"/>
  <c r="A1144" i="8"/>
  <c r="C1325" i="8"/>
  <c r="C1197" i="8"/>
  <c r="C1076" i="8"/>
  <c r="E1075" i="8"/>
  <c r="N1146" i="8" l="1"/>
  <c r="D1145" i="8"/>
  <c r="A1145" i="8"/>
  <c r="N86" i="8"/>
  <c r="D85" i="8"/>
  <c r="D318" i="8"/>
  <c r="N319" i="8"/>
  <c r="N1044" i="8"/>
  <c r="D1043" i="8"/>
  <c r="A1043" i="8"/>
  <c r="C1326" i="8"/>
  <c r="C1198" i="8"/>
  <c r="C1077" i="8"/>
  <c r="E1076" i="8"/>
  <c r="N1045" i="8" l="1"/>
  <c r="D1044" i="8"/>
  <c r="A1044" i="8"/>
  <c r="N87" i="8"/>
  <c r="D86" i="8"/>
  <c r="N320" i="8"/>
  <c r="D319" i="8"/>
  <c r="N1147" i="8"/>
  <c r="D1146" i="8"/>
  <c r="A1146" i="8"/>
  <c r="C1327" i="8"/>
  <c r="C1199" i="8"/>
  <c r="C1078" i="8"/>
  <c r="E1077" i="8"/>
  <c r="N1148" i="8" l="1"/>
  <c r="D1147" i="8"/>
  <c r="A1147" i="8"/>
  <c r="N88" i="8"/>
  <c r="D87" i="8"/>
  <c r="N321" i="8"/>
  <c r="D320" i="8"/>
  <c r="N1046" i="8"/>
  <c r="D1045" i="8"/>
  <c r="A1045" i="8"/>
  <c r="C1328" i="8"/>
  <c r="C1200" i="8"/>
  <c r="C1079" i="8"/>
  <c r="E1078" i="8"/>
  <c r="N1047" i="8" l="1"/>
  <c r="D1046" i="8"/>
  <c r="A1046" i="8"/>
  <c r="N89" i="8"/>
  <c r="D88" i="8"/>
  <c r="N322" i="8"/>
  <c r="D321" i="8"/>
  <c r="N1149" i="8"/>
  <c r="D1148" i="8"/>
  <c r="A1148" i="8"/>
  <c r="C1329" i="8"/>
  <c r="C1201" i="8"/>
  <c r="C1080" i="8"/>
  <c r="E1079" i="8"/>
  <c r="N1150" i="8" l="1"/>
  <c r="D1149" i="8"/>
  <c r="A1149" i="8"/>
  <c r="N90" i="8"/>
  <c r="D89" i="8"/>
  <c r="N323" i="8"/>
  <c r="D322" i="8"/>
  <c r="N1048" i="8"/>
  <c r="D1047" i="8"/>
  <c r="A1047" i="8"/>
  <c r="C1330" i="8"/>
  <c r="C1202" i="8"/>
  <c r="C1081" i="8"/>
  <c r="E1080" i="8"/>
  <c r="N91" i="8" l="1"/>
  <c r="D90" i="8"/>
  <c r="N1049" i="8"/>
  <c r="D1048" i="8"/>
  <c r="E1048" i="8" s="1"/>
  <c r="A1048" i="8"/>
  <c r="D323" i="8"/>
  <c r="N324" i="8"/>
  <c r="N1151" i="8"/>
  <c r="D1150" i="8"/>
  <c r="A1150" i="8"/>
  <c r="C1331" i="8"/>
  <c r="C1203" i="8"/>
  <c r="C1082" i="8"/>
  <c r="E1081" i="8"/>
  <c r="N325" i="8" l="1"/>
  <c r="D324" i="8"/>
  <c r="N1050" i="8"/>
  <c r="D1049" i="8"/>
  <c r="E1049" i="8" s="1"/>
  <c r="A1049" i="8"/>
  <c r="N1152" i="8"/>
  <c r="D1151" i="8"/>
  <c r="A1151" i="8"/>
  <c r="N92" i="8"/>
  <c r="D91" i="8"/>
  <c r="C1332" i="8"/>
  <c r="C1204" i="8"/>
  <c r="C1083" i="8"/>
  <c r="E1082" i="8"/>
  <c r="N1051" i="8" l="1"/>
  <c r="D1050" i="8"/>
  <c r="E1050" i="8" s="1"/>
  <c r="A1050" i="8"/>
  <c r="N1153" i="8"/>
  <c r="D1152" i="8"/>
  <c r="A1152" i="8"/>
  <c r="N93" i="8"/>
  <c r="D92" i="8"/>
  <c r="N326" i="8"/>
  <c r="D325" i="8"/>
  <c r="C1333" i="8"/>
  <c r="C1205" i="8"/>
  <c r="E1083" i="8"/>
  <c r="C1084" i="8"/>
  <c r="N1154" i="8" l="1"/>
  <c r="D1153" i="8"/>
  <c r="A1153" i="8"/>
  <c r="N94" i="8"/>
  <c r="D93" i="8"/>
  <c r="N327" i="8"/>
  <c r="D326" i="8"/>
  <c r="N1052" i="8"/>
  <c r="D1051" i="8"/>
  <c r="E1051" i="8" s="1"/>
  <c r="A1051" i="8"/>
  <c r="C1334" i="8"/>
  <c r="C1206" i="8"/>
  <c r="C1085" i="8"/>
  <c r="E1084" i="8"/>
  <c r="N1053" i="8" l="1"/>
  <c r="D1052" i="8"/>
  <c r="E1052" i="8" s="1"/>
  <c r="A1052" i="8"/>
  <c r="N95" i="8"/>
  <c r="D94" i="8"/>
  <c r="N328" i="8"/>
  <c r="D327" i="8"/>
  <c r="N1155" i="8"/>
  <c r="D1154" i="8"/>
  <c r="A1154" i="8"/>
  <c r="C1335" i="8"/>
  <c r="C1207" i="8"/>
  <c r="C1086" i="8"/>
  <c r="E1085" i="8"/>
  <c r="N1156" i="8" l="1"/>
  <c r="D1155" i="8"/>
  <c r="A1155" i="8"/>
  <c r="N96" i="8"/>
  <c r="D95" i="8"/>
  <c r="N329" i="8"/>
  <c r="D328" i="8"/>
  <c r="N1054" i="8"/>
  <c r="D1053" i="8"/>
  <c r="E1053" i="8" s="1"/>
  <c r="A1053" i="8"/>
  <c r="C1336" i="8"/>
  <c r="C1208" i="8"/>
  <c r="C1087" i="8"/>
  <c r="E1086" i="8"/>
  <c r="N1055" i="8" l="1"/>
  <c r="D1054" i="8"/>
  <c r="E1054" i="8" s="1"/>
  <c r="A1054" i="8"/>
  <c r="N97" i="8"/>
  <c r="D96" i="8"/>
  <c r="N330" i="8"/>
  <c r="D329" i="8"/>
  <c r="D1156" i="8"/>
  <c r="E1156" i="8" s="1"/>
  <c r="N1157" i="8"/>
  <c r="A1156" i="8"/>
  <c r="C1337" i="8"/>
  <c r="C1209" i="8"/>
  <c r="C1088" i="8"/>
  <c r="E1087" i="8"/>
  <c r="N98" i="8" l="1"/>
  <c r="D97" i="8"/>
  <c r="N331" i="8"/>
  <c r="D330" i="8"/>
  <c r="N1158" i="8"/>
  <c r="D1157" i="8"/>
  <c r="E1157" i="8" s="1"/>
  <c r="A1157" i="8"/>
  <c r="D1055" i="8"/>
  <c r="E1055" i="8" s="1"/>
  <c r="A1055" i="8"/>
  <c r="C1338" i="8"/>
  <c r="C1210" i="8"/>
  <c r="E1088" i="8"/>
  <c r="C1089" i="8"/>
  <c r="N332" i="8" l="1"/>
  <c r="D331" i="8"/>
  <c r="N1159" i="8"/>
  <c r="D1158" i="8"/>
  <c r="E1158" i="8" s="1"/>
  <c r="A1158" i="8"/>
  <c r="N99" i="8"/>
  <c r="D98" i="8"/>
  <c r="C1339" i="8"/>
  <c r="C1211" i="8"/>
  <c r="E1089" i="8"/>
  <c r="C1090" i="8"/>
  <c r="N1160" i="8" l="1"/>
  <c r="D1159" i="8"/>
  <c r="E1159" i="8" s="1"/>
  <c r="A1159" i="8"/>
  <c r="N100" i="8"/>
  <c r="D99" i="8"/>
  <c r="N333" i="8"/>
  <c r="D332" i="8"/>
  <c r="C1340" i="8"/>
  <c r="C1212" i="8"/>
  <c r="C1091" i="8"/>
  <c r="E1090" i="8"/>
  <c r="N101" i="8" l="1"/>
  <c r="D100" i="8"/>
  <c r="N334" i="8"/>
  <c r="D333" i="8"/>
  <c r="N1161" i="8"/>
  <c r="D1160" i="8"/>
  <c r="E1160" i="8" s="1"/>
  <c r="A1160" i="8"/>
  <c r="C1341" i="8"/>
  <c r="C1213" i="8"/>
  <c r="E1091" i="8"/>
  <c r="C1092" i="8"/>
  <c r="N335" i="8" l="1"/>
  <c r="D334" i="8"/>
  <c r="N1162" i="8"/>
  <c r="D1161" i="8"/>
  <c r="E1161" i="8" s="1"/>
  <c r="A1161" i="8"/>
  <c r="N102" i="8"/>
  <c r="D101" i="8"/>
  <c r="C1342" i="8"/>
  <c r="C1214" i="8"/>
  <c r="E1092" i="8"/>
  <c r="C1093" i="8"/>
  <c r="N1163" i="8" l="1"/>
  <c r="D1162" i="8"/>
  <c r="E1162" i="8" s="1"/>
  <c r="A1162" i="8"/>
  <c r="N103" i="8"/>
  <c r="D102" i="8"/>
  <c r="N336" i="8"/>
  <c r="D335" i="8"/>
  <c r="C1343" i="8"/>
  <c r="C1215" i="8"/>
  <c r="C1094" i="8"/>
  <c r="E1093" i="8"/>
  <c r="N104" i="8" l="1"/>
  <c r="D103" i="8"/>
  <c r="N337" i="8"/>
  <c r="D336" i="8"/>
  <c r="N1164" i="8"/>
  <c r="D1163" i="8"/>
  <c r="E1163" i="8" s="1"/>
  <c r="A1163" i="8"/>
  <c r="C1344" i="8"/>
  <c r="C1216" i="8"/>
  <c r="C1095" i="8"/>
  <c r="E1094" i="8"/>
  <c r="N338" i="8" l="1"/>
  <c r="D337" i="8"/>
  <c r="N1165" i="8"/>
  <c r="D1164" i="8"/>
  <c r="E1164" i="8" s="1"/>
  <c r="A1164" i="8"/>
  <c r="N105" i="8"/>
  <c r="D104" i="8"/>
  <c r="C1345" i="8"/>
  <c r="C1217" i="8"/>
  <c r="E1095" i="8"/>
  <c r="C1096" i="8"/>
  <c r="C837" i="8"/>
  <c r="C838" i="8" s="1"/>
  <c r="N1166" i="8" l="1"/>
  <c r="D1165" i="8"/>
  <c r="E1165" i="8" s="1"/>
  <c r="A1165" i="8"/>
  <c r="N106" i="8"/>
  <c r="D105" i="8"/>
  <c r="N339" i="8"/>
  <c r="D338" i="8"/>
  <c r="C1346" i="8"/>
  <c r="C1218" i="8"/>
  <c r="E1096" i="8"/>
  <c r="C1097" i="8"/>
  <c r="C839" i="8"/>
  <c r="N107" i="8" l="1"/>
  <c r="D106" i="8"/>
  <c r="N340" i="8"/>
  <c r="D339" i="8"/>
  <c r="N1167" i="8"/>
  <c r="D1166" i="8"/>
  <c r="E1166" i="8" s="1"/>
  <c r="A1166" i="8"/>
  <c r="C1347" i="8"/>
  <c r="C1219" i="8"/>
  <c r="E1097" i="8"/>
  <c r="C1098" i="8"/>
  <c r="C840" i="8"/>
  <c r="N341" i="8" l="1"/>
  <c r="D340" i="8"/>
  <c r="N1168" i="8"/>
  <c r="D1167" i="8"/>
  <c r="E1167" i="8" s="1"/>
  <c r="A1167" i="8"/>
  <c r="N108" i="8"/>
  <c r="D107" i="8"/>
  <c r="C1348" i="8"/>
  <c r="C1220" i="8"/>
  <c r="C1099" i="8"/>
  <c r="E1098" i="8"/>
  <c r="C841" i="8"/>
  <c r="N1169" i="8" l="1"/>
  <c r="D1168" i="8"/>
  <c r="E1168" i="8" s="1"/>
  <c r="A1168" i="8"/>
  <c r="N109" i="8"/>
  <c r="D108" i="8"/>
  <c r="N342" i="8"/>
  <c r="D341" i="8"/>
  <c r="C1349" i="8"/>
  <c r="C1221" i="8"/>
  <c r="C1100" i="8"/>
  <c r="E1099" i="8"/>
  <c r="C842" i="8"/>
  <c r="N110" i="8" l="1"/>
  <c r="D109" i="8"/>
  <c r="N343" i="8"/>
  <c r="D342" i="8"/>
  <c r="D1169" i="8"/>
  <c r="E1169" i="8" s="1"/>
  <c r="N1170" i="8"/>
  <c r="A1169" i="8"/>
  <c r="C1350" i="8"/>
  <c r="C1222" i="8"/>
  <c r="E1100" i="8"/>
  <c r="C1101" i="8"/>
  <c r="C843" i="8"/>
  <c r="A343" i="8"/>
  <c r="A342" i="8"/>
  <c r="A341" i="8"/>
  <c r="A340" i="8"/>
  <c r="A339" i="8"/>
  <c r="A338" i="8"/>
  <c r="A337" i="8"/>
  <c r="A336" i="8"/>
  <c r="A335" i="8"/>
  <c r="A334" i="8"/>
  <c r="A333" i="8"/>
  <c r="A332" i="8"/>
  <c r="A331" i="8"/>
  <c r="A330" i="8"/>
  <c r="A329" i="8"/>
  <c r="A328" i="8"/>
  <c r="A327" i="8"/>
  <c r="A326" i="8"/>
  <c r="A325" i="8"/>
  <c r="A324" i="8"/>
  <c r="A323" i="8"/>
  <c r="A322" i="8"/>
  <c r="A321" i="8"/>
  <c r="A320" i="8"/>
  <c r="A319" i="8"/>
  <c r="A318" i="8"/>
  <c r="A317" i="8"/>
  <c r="A316" i="8"/>
  <c r="A315" i="8"/>
  <c r="A314" i="8"/>
  <c r="A313" i="8"/>
  <c r="A312" i="8"/>
  <c r="A311" i="8"/>
  <c r="A310" i="8"/>
  <c r="A309" i="8"/>
  <c r="A308" i="8"/>
  <c r="A307" i="8"/>
  <c r="A306" i="8"/>
  <c r="A305" i="8"/>
  <c r="A304" i="8"/>
  <c r="A303" i="8"/>
  <c r="A302" i="8"/>
  <c r="A301" i="8"/>
  <c r="A300" i="8"/>
  <c r="A299" i="8"/>
  <c r="A298" i="8"/>
  <c r="A297" i="8"/>
  <c r="A296" i="8"/>
  <c r="A295" i="8"/>
  <c r="A294" i="8"/>
  <c r="A293" i="8"/>
  <c r="A292" i="8"/>
  <c r="A291" i="8"/>
  <c r="A290" i="8"/>
  <c r="A289" i="8"/>
  <c r="A288" i="8"/>
  <c r="A287" i="8"/>
  <c r="A286" i="8"/>
  <c r="A285" i="8"/>
  <c r="A284" i="8"/>
  <c r="A283" i="8"/>
  <c r="A282" i="8"/>
  <c r="A281" i="8"/>
  <c r="A280" i="8"/>
  <c r="A279" i="8"/>
  <c r="A278" i="8"/>
  <c r="A277" i="8"/>
  <c r="A276" i="8"/>
  <c r="A275" i="8"/>
  <c r="A274" i="8"/>
  <c r="A273" i="8"/>
  <c r="A272" i="8"/>
  <c r="A271" i="8"/>
  <c r="A270" i="8"/>
  <c r="A269" i="8"/>
  <c r="A268" i="8"/>
  <c r="A267" i="8"/>
  <c r="A266" i="8"/>
  <c r="A265" i="8"/>
  <c r="A264" i="8"/>
  <c r="A263" i="8"/>
  <c r="A262" i="8"/>
  <c r="A261" i="8"/>
  <c r="A260" i="8"/>
  <c r="A259" i="8"/>
  <c r="A258" i="8"/>
  <c r="A257" i="8"/>
  <c r="A256" i="8"/>
  <c r="A255" i="8"/>
  <c r="A254" i="8"/>
  <c r="A253" i="8"/>
  <c r="A252" i="8"/>
  <c r="A251" i="8"/>
  <c r="A250" i="8"/>
  <c r="A249" i="8"/>
  <c r="A248" i="8"/>
  <c r="A247" i="8"/>
  <c r="A246" i="8"/>
  <c r="A245" i="8"/>
  <c r="A244" i="8"/>
  <c r="A243" i="8"/>
  <c r="A242" i="8"/>
  <c r="A241" i="8"/>
  <c r="A240" i="8"/>
  <c r="A239" i="8"/>
  <c r="A238" i="8"/>
  <c r="A237" i="8"/>
  <c r="A236" i="8"/>
  <c r="A235" i="8"/>
  <c r="A234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N344" i="8" l="1"/>
  <c r="D343" i="8"/>
  <c r="D1170" i="8"/>
  <c r="E1170" i="8" s="1"/>
  <c r="N1171" i="8"/>
  <c r="A1170" i="8"/>
  <c r="N111" i="8"/>
  <c r="D110" i="8"/>
  <c r="C1351" i="8"/>
  <c r="C1223" i="8"/>
  <c r="E1101" i="8"/>
  <c r="C1102" i="8"/>
  <c r="C844" i="8"/>
  <c r="C733" i="8"/>
  <c r="C734" i="8" s="1"/>
  <c r="D1171" i="8" l="1"/>
  <c r="E1171" i="8" s="1"/>
  <c r="N1172" i="8"/>
  <c r="A1171" i="8"/>
  <c r="N112" i="8"/>
  <c r="D111" i="8"/>
  <c r="A111" i="8"/>
  <c r="N345" i="8"/>
  <c r="D344" i="8"/>
  <c r="A344" i="8"/>
  <c r="C1352" i="8"/>
  <c r="C1224" i="8"/>
  <c r="E1102" i="8"/>
  <c r="C1103" i="8"/>
  <c r="C845" i="8"/>
  <c r="C735" i="8"/>
  <c r="C107" i="8"/>
  <c r="E107" i="8" s="1"/>
  <c r="C3" i="8"/>
  <c r="C4" i="8" s="1"/>
  <c r="E106" i="8"/>
  <c r="E2" i="8"/>
  <c r="C628" i="8"/>
  <c r="C629" i="8" s="1"/>
  <c r="C630" i="8" s="1"/>
  <c r="B3" i="8"/>
  <c r="B4" i="8" s="1"/>
  <c r="B5" i="8" s="1"/>
  <c r="B6" i="8" s="1"/>
  <c r="B7" i="8" s="1"/>
  <c r="B8" i="8" s="1"/>
  <c r="B9" i="8" s="1"/>
  <c r="B10" i="8" s="1"/>
  <c r="B11" i="8" s="1"/>
  <c r="B12" i="8" s="1"/>
  <c r="B13" i="8" s="1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B24" i="8" s="1"/>
  <c r="B25" i="8" s="1"/>
  <c r="B26" i="8" s="1"/>
  <c r="B27" i="8" s="1"/>
  <c r="B28" i="8" s="1"/>
  <c r="B29" i="8" s="1"/>
  <c r="B30" i="8" s="1"/>
  <c r="B31" i="8" s="1"/>
  <c r="B32" i="8" s="1"/>
  <c r="B33" i="8" s="1"/>
  <c r="B34" i="8" s="1"/>
  <c r="B35" i="8" s="1"/>
  <c r="B36" i="8" s="1"/>
  <c r="B37" i="8" s="1"/>
  <c r="B38" i="8" s="1"/>
  <c r="B39" i="8" s="1"/>
  <c r="B40" i="8" s="1"/>
  <c r="B41" i="8" s="1"/>
  <c r="B42" i="8" s="1"/>
  <c r="B43" i="8" s="1"/>
  <c r="B44" i="8" s="1"/>
  <c r="B45" i="8" s="1"/>
  <c r="B46" i="8" s="1"/>
  <c r="B47" i="8" s="1"/>
  <c r="B48" i="8" s="1"/>
  <c r="B49" i="8" s="1"/>
  <c r="B50" i="8" s="1"/>
  <c r="B51" i="8" s="1"/>
  <c r="B52" i="8" s="1"/>
  <c r="B53" i="8" s="1"/>
  <c r="B54" i="8" s="1"/>
  <c r="B55" i="8" s="1"/>
  <c r="B56" i="8" s="1"/>
  <c r="B57" i="8" s="1"/>
  <c r="B58" i="8" s="1"/>
  <c r="B59" i="8" s="1"/>
  <c r="B60" i="8" s="1"/>
  <c r="B61" i="8" s="1"/>
  <c r="B62" i="8" s="1"/>
  <c r="B63" i="8" s="1"/>
  <c r="B64" i="8" s="1"/>
  <c r="B65" i="8" s="1"/>
  <c r="B66" i="8" s="1"/>
  <c r="B67" i="8" s="1"/>
  <c r="B68" i="8" s="1"/>
  <c r="B69" i="8" s="1"/>
  <c r="B70" i="8" s="1"/>
  <c r="B71" i="8" s="1"/>
  <c r="B72" i="8" s="1"/>
  <c r="B73" i="8" s="1"/>
  <c r="B74" i="8" s="1"/>
  <c r="B75" i="8" s="1"/>
  <c r="B76" i="8" s="1"/>
  <c r="B77" i="8" s="1"/>
  <c r="B78" i="8" s="1"/>
  <c r="B79" i="8" s="1"/>
  <c r="B80" i="8" s="1"/>
  <c r="B81" i="8" s="1"/>
  <c r="B82" i="8" s="1"/>
  <c r="B83" i="8" s="1"/>
  <c r="B84" i="8" s="1"/>
  <c r="B85" i="8" s="1"/>
  <c r="B86" i="8" s="1"/>
  <c r="B87" i="8" s="1"/>
  <c r="B88" i="8" s="1"/>
  <c r="B89" i="8" s="1"/>
  <c r="B90" i="8" s="1"/>
  <c r="B91" i="8" s="1"/>
  <c r="B92" i="8" s="1"/>
  <c r="B93" i="8" s="1"/>
  <c r="B94" i="8" s="1"/>
  <c r="B95" i="8" s="1"/>
  <c r="B96" i="8" s="1"/>
  <c r="B97" i="8" s="1"/>
  <c r="B98" i="8" s="1"/>
  <c r="B99" i="8" s="1"/>
  <c r="B100" i="8" s="1"/>
  <c r="B101" i="8" s="1"/>
  <c r="B102" i="8" s="1"/>
  <c r="B103" i="8" s="1"/>
  <c r="B104" i="8" s="1"/>
  <c r="B105" i="8" s="1"/>
  <c r="B106" i="8" s="1"/>
  <c r="B107" i="8" s="1"/>
  <c r="B108" i="8" s="1"/>
  <c r="B109" i="8" s="1"/>
  <c r="B110" i="8" s="1"/>
  <c r="B111" i="8" s="1"/>
  <c r="B112" i="8" s="1"/>
  <c r="B113" i="8" s="1"/>
  <c r="B114" i="8" s="1"/>
  <c r="B115" i="8" s="1"/>
  <c r="B116" i="8" s="1"/>
  <c r="B117" i="8" s="1"/>
  <c r="B118" i="8" s="1"/>
  <c r="B119" i="8" s="1"/>
  <c r="B120" i="8" s="1"/>
  <c r="B121" i="8" s="1"/>
  <c r="B122" i="8" s="1"/>
  <c r="B123" i="8" s="1"/>
  <c r="B124" i="8" s="1"/>
  <c r="B125" i="8" s="1"/>
  <c r="B126" i="8" s="1"/>
  <c r="B127" i="8" s="1"/>
  <c r="B128" i="8" s="1"/>
  <c r="B129" i="8" s="1"/>
  <c r="B130" i="8" s="1"/>
  <c r="B131" i="8" s="1"/>
  <c r="B132" i="8" s="1"/>
  <c r="B133" i="8" s="1"/>
  <c r="B134" i="8" s="1"/>
  <c r="B135" i="8" s="1"/>
  <c r="B136" i="8" s="1"/>
  <c r="B137" i="8" s="1"/>
  <c r="B138" i="8" s="1"/>
  <c r="B139" i="8" s="1"/>
  <c r="B140" i="8" s="1"/>
  <c r="B141" i="8" s="1"/>
  <c r="B142" i="8" s="1"/>
  <c r="B143" i="8" s="1"/>
  <c r="B144" i="8" s="1"/>
  <c r="B145" i="8" s="1"/>
  <c r="B146" i="8" s="1"/>
  <c r="B147" i="8" s="1"/>
  <c r="B148" i="8" s="1"/>
  <c r="B149" i="8" s="1"/>
  <c r="B150" i="8" s="1"/>
  <c r="B151" i="8" s="1"/>
  <c r="B152" i="8" s="1"/>
  <c r="B153" i="8" s="1"/>
  <c r="B154" i="8" s="1"/>
  <c r="B155" i="8" s="1"/>
  <c r="B156" i="8" s="1"/>
  <c r="B157" i="8" s="1"/>
  <c r="B158" i="8" s="1"/>
  <c r="B159" i="8" s="1"/>
  <c r="B160" i="8" s="1"/>
  <c r="B161" i="8" s="1"/>
  <c r="B162" i="8" s="1"/>
  <c r="B163" i="8" s="1"/>
  <c r="B164" i="8" s="1"/>
  <c r="B165" i="8" s="1"/>
  <c r="B166" i="8" s="1"/>
  <c r="B167" i="8" s="1"/>
  <c r="B168" i="8" s="1"/>
  <c r="B169" i="8" s="1"/>
  <c r="B170" i="8" s="1"/>
  <c r="B171" i="8" s="1"/>
  <c r="B172" i="8" s="1"/>
  <c r="B173" i="8" s="1"/>
  <c r="B174" i="8" s="1"/>
  <c r="B175" i="8" s="1"/>
  <c r="B176" i="8" s="1"/>
  <c r="B177" i="8" s="1"/>
  <c r="B178" i="8" s="1"/>
  <c r="B179" i="8" s="1"/>
  <c r="B180" i="8" s="1"/>
  <c r="B181" i="8" s="1"/>
  <c r="B182" i="8" s="1"/>
  <c r="B183" i="8" s="1"/>
  <c r="B184" i="8" s="1"/>
  <c r="B185" i="8" s="1"/>
  <c r="B186" i="8" s="1"/>
  <c r="B187" i="8" s="1"/>
  <c r="B188" i="8" s="1"/>
  <c r="B189" i="8" s="1"/>
  <c r="B190" i="8" s="1"/>
  <c r="B191" i="8" s="1"/>
  <c r="B192" i="8" s="1"/>
  <c r="B193" i="8" s="1"/>
  <c r="B194" i="8" s="1"/>
  <c r="B195" i="8" s="1"/>
  <c r="B196" i="8" s="1"/>
  <c r="B197" i="8" s="1"/>
  <c r="B198" i="8" s="1"/>
  <c r="B199" i="8" s="1"/>
  <c r="B200" i="8" s="1"/>
  <c r="B201" i="8" s="1"/>
  <c r="B202" i="8" s="1"/>
  <c r="B203" i="8" s="1"/>
  <c r="B204" i="8" s="1"/>
  <c r="B205" i="8" s="1"/>
  <c r="B206" i="8" s="1"/>
  <c r="B207" i="8" s="1"/>
  <c r="B208" i="8" s="1"/>
  <c r="B209" i="8" s="1"/>
  <c r="B210" i="8" s="1"/>
  <c r="B211" i="8" s="1"/>
  <c r="B212" i="8" s="1"/>
  <c r="B213" i="8" s="1"/>
  <c r="B214" i="8" s="1"/>
  <c r="B215" i="8" s="1"/>
  <c r="B216" i="8" s="1"/>
  <c r="B217" i="8" s="1"/>
  <c r="B218" i="8" s="1"/>
  <c r="B219" i="8" s="1"/>
  <c r="B220" i="8" s="1"/>
  <c r="B221" i="8" s="1"/>
  <c r="B222" i="8" s="1"/>
  <c r="B223" i="8" s="1"/>
  <c r="B224" i="8" s="1"/>
  <c r="B225" i="8" s="1"/>
  <c r="B226" i="8" s="1"/>
  <c r="B227" i="8" s="1"/>
  <c r="B228" i="8" s="1"/>
  <c r="B229" i="8" s="1"/>
  <c r="B230" i="8" s="1"/>
  <c r="B231" i="8" s="1"/>
  <c r="B232" i="8" s="1"/>
  <c r="B233" i="8" s="1"/>
  <c r="B234" i="8" s="1"/>
  <c r="B235" i="8" s="1"/>
  <c r="B236" i="8" s="1"/>
  <c r="B237" i="8" s="1"/>
  <c r="B238" i="8" s="1"/>
  <c r="B239" i="8" s="1"/>
  <c r="B240" i="8" s="1"/>
  <c r="B241" i="8" s="1"/>
  <c r="B242" i="8" s="1"/>
  <c r="B243" i="8" s="1"/>
  <c r="B244" i="8" s="1"/>
  <c r="B245" i="8" s="1"/>
  <c r="B246" i="8" s="1"/>
  <c r="B247" i="8" s="1"/>
  <c r="B248" i="8" s="1"/>
  <c r="B249" i="8" s="1"/>
  <c r="B250" i="8" s="1"/>
  <c r="B251" i="8" s="1"/>
  <c r="B252" i="8" s="1"/>
  <c r="B253" i="8" s="1"/>
  <c r="B254" i="8" s="1"/>
  <c r="B255" i="8" s="1"/>
  <c r="B256" i="8" s="1"/>
  <c r="B257" i="8" s="1"/>
  <c r="B258" i="8" s="1"/>
  <c r="B259" i="8" s="1"/>
  <c r="B260" i="8" s="1"/>
  <c r="B261" i="8" s="1"/>
  <c r="B262" i="8" s="1"/>
  <c r="B263" i="8" s="1"/>
  <c r="B264" i="8" s="1"/>
  <c r="B265" i="8" s="1"/>
  <c r="B266" i="8" s="1"/>
  <c r="B267" i="8" s="1"/>
  <c r="B268" i="8" s="1"/>
  <c r="B269" i="8" s="1"/>
  <c r="B270" i="8" s="1"/>
  <c r="B271" i="8" s="1"/>
  <c r="B272" i="8" s="1"/>
  <c r="B273" i="8" s="1"/>
  <c r="B274" i="8" s="1"/>
  <c r="B275" i="8" s="1"/>
  <c r="B276" i="8" s="1"/>
  <c r="B277" i="8" s="1"/>
  <c r="B278" i="8" s="1"/>
  <c r="B279" i="8" s="1"/>
  <c r="B280" i="8" s="1"/>
  <c r="B281" i="8" s="1"/>
  <c r="B282" i="8" s="1"/>
  <c r="B283" i="8" s="1"/>
  <c r="B284" i="8" s="1"/>
  <c r="B285" i="8" s="1"/>
  <c r="B286" i="8" s="1"/>
  <c r="B287" i="8" s="1"/>
  <c r="B288" i="8" s="1"/>
  <c r="B289" i="8" s="1"/>
  <c r="B290" i="8" s="1"/>
  <c r="B291" i="8" s="1"/>
  <c r="B292" i="8" s="1"/>
  <c r="B293" i="8" s="1"/>
  <c r="B294" i="8" s="1"/>
  <c r="B295" i="8" s="1"/>
  <c r="B296" i="8" s="1"/>
  <c r="B297" i="8" s="1"/>
  <c r="B298" i="8" s="1"/>
  <c r="B299" i="8" s="1"/>
  <c r="B300" i="8" s="1"/>
  <c r="B301" i="8" s="1"/>
  <c r="B302" i="8" s="1"/>
  <c r="B303" i="8" s="1"/>
  <c r="B304" i="8" s="1"/>
  <c r="B305" i="8" s="1"/>
  <c r="B306" i="8" s="1"/>
  <c r="B307" i="8" s="1"/>
  <c r="B308" i="8" s="1"/>
  <c r="B309" i="8" s="1"/>
  <c r="B310" i="8" s="1"/>
  <c r="B311" i="8" s="1"/>
  <c r="B312" i="8" s="1"/>
  <c r="B313" i="8" s="1"/>
  <c r="B314" i="8" s="1"/>
  <c r="B315" i="8" s="1"/>
  <c r="B316" i="8" s="1"/>
  <c r="B317" i="8" s="1"/>
  <c r="B318" i="8" s="1"/>
  <c r="B319" i="8" s="1"/>
  <c r="B320" i="8" s="1"/>
  <c r="B321" i="8" s="1"/>
  <c r="B322" i="8" s="1"/>
  <c r="B323" i="8" s="1"/>
  <c r="B324" i="8" s="1"/>
  <c r="B325" i="8" s="1"/>
  <c r="B326" i="8" s="1"/>
  <c r="B327" i="8" s="1"/>
  <c r="B328" i="8" s="1"/>
  <c r="B329" i="8" s="1"/>
  <c r="B330" i="8" s="1"/>
  <c r="B331" i="8" s="1"/>
  <c r="B332" i="8" s="1"/>
  <c r="B333" i="8" s="1"/>
  <c r="B334" i="8" s="1"/>
  <c r="B335" i="8" s="1"/>
  <c r="B336" i="8" s="1"/>
  <c r="B337" i="8" s="1"/>
  <c r="B338" i="8" s="1"/>
  <c r="B339" i="8" s="1"/>
  <c r="B340" i="8" s="1"/>
  <c r="B341" i="8" s="1"/>
  <c r="B342" i="8" s="1"/>
  <c r="B343" i="8" s="1"/>
  <c r="B344" i="8" s="1"/>
  <c r="B345" i="8" s="1"/>
  <c r="B346" i="8" s="1"/>
  <c r="B347" i="8" s="1"/>
  <c r="B348" i="8" s="1"/>
  <c r="B349" i="8" s="1"/>
  <c r="B350" i="8" s="1"/>
  <c r="B351" i="8" s="1"/>
  <c r="B352" i="8" s="1"/>
  <c r="B353" i="8" s="1"/>
  <c r="B354" i="8" s="1"/>
  <c r="B355" i="8" s="1"/>
  <c r="B356" i="8" s="1"/>
  <c r="B357" i="8" s="1"/>
  <c r="B358" i="8" s="1"/>
  <c r="B359" i="8" s="1"/>
  <c r="B360" i="8" s="1"/>
  <c r="B361" i="8" s="1"/>
  <c r="B362" i="8" s="1"/>
  <c r="B363" i="8" s="1"/>
  <c r="B364" i="8" s="1"/>
  <c r="B365" i="8" s="1"/>
  <c r="B366" i="8" s="1"/>
  <c r="B367" i="8" s="1"/>
  <c r="B368" i="8" s="1"/>
  <c r="B369" i="8" s="1"/>
  <c r="B370" i="8" s="1"/>
  <c r="B371" i="8" s="1"/>
  <c r="B372" i="8" s="1"/>
  <c r="B373" i="8" s="1"/>
  <c r="B374" i="8" s="1"/>
  <c r="B375" i="8" s="1"/>
  <c r="B376" i="8" s="1"/>
  <c r="B377" i="8" s="1"/>
  <c r="B378" i="8" s="1"/>
  <c r="B379" i="8" s="1"/>
  <c r="B380" i="8" s="1"/>
  <c r="B381" i="8" s="1"/>
  <c r="B382" i="8" s="1"/>
  <c r="B383" i="8" s="1"/>
  <c r="B384" i="8" s="1"/>
  <c r="B385" i="8" s="1"/>
  <c r="B386" i="8" s="1"/>
  <c r="B387" i="8" s="1"/>
  <c r="B388" i="8" s="1"/>
  <c r="B389" i="8" s="1"/>
  <c r="B390" i="8" s="1"/>
  <c r="B391" i="8" s="1"/>
  <c r="B392" i="8" s="1"/>
  <c r="B393" i="8" s="1"/>
  <c r="B394" i="8" s="1"/>
  <c r="B395" i="8" s="1"/>
  <c r="B396" i="8" s="1"/>
  <c r="B397" i="8" s="1"/>
  <c r="B398" i="8" s="1"/>
  <c r="B399" i="8" s="1"/>
  <c r="B400" i="8" s="1"/>
  <c r="B401" i="8" s="1"/>
  <c r="B402" i="8" s="1"/>
  <c r="B403" i="8" s="1"/>
  <c r="B404" i="8" s="1"/>
  <c r="B405" i="8" s="1"/>
  <c r="B406" i="8" s="1"/>
  <c r="B407" i="8" s="1"/>
  <c r="B408" i="8" s="1"/>
  <c r="B409" i="8" s="1"/>
  <c r="B410" i="8" s="1"/>
  <c r="B411" i="8" s="1"/>
  <c r="B412" i="8" s="1"/>
  <c r="B413" i="8" s="1"/>
  <c r="B414" i="8" s="1"/>
  <c r="B415" i="8" s="1"/>
  <c r="B416" i="8" s="1"/>
  <c r="B417" i="8" s="1"/>
  <c r="B418" i="8" s="1"/>
  <c r="B419" i="8" s="1"/>
  <c r="B420" i="8" s="1"/>
  <c r="B421" i="8" s="1"/>
  <c r="B422" i="8" s="1"/>
  <c r="B423" i="8" s="1"/>
  <c r="B424" i="8" s="1"/>
  <c r="B425" i="8" s="1"/>
  <c r="B426" i="8" s="1"/>
  <c r="B427" i="8" s="1"/>
  <c r="B428" i="8" s="1"/>
  <c r="B429" i="8" s="1"/>
  <c r="B430" i="8" s="1"/>
  <c r="B431" i="8" s="1"/>
  <c r="B432" i="8" s="1"/>
  <c r="B433" i="8" s="1"/>
  <c r="B434" i="8" s="1"/>
  <c r="B435" i="8" s="1"/>
  <c r="B436" i="8" s="1"/>
  <c r="B437" i="8" s="1"/>
  <c r="B438" i="8" s="1"/>
  <c r="B439" i="8" s="1"/>
  <c r="B440" i="8" s="1"/>
  <c r="B441" i="8" s="1"/>
  <c r="B442" i="8" s="1"/>
  <c r="B443" i="8" s="1"/>
  <c r="B444" i="8" s="1"/>
  <c r="B445" i="8" s="1"/>
  <c r="B446" i="8" s="1"/>
  <c r="B447" i="8" s="1"/>
  <c r="B448" i="8" s="1"/>
  <c r="B449" i="8" s="1"/>
  <c r="B450" i="8" s="1"/>
  <c r="B451" i="8" s="1"/>
  <c r="B452" i="8" s="1"/>
  <c r="B453" i="8" s="1"/>
  <c r="B454" i="8" s="1"/>
  <c r="B455" i="8" s="1"/>
  <c r="B456" i="8" s="1"/>
  <c r="B457" i="8" s="1"/>
  <c r="B458" i="8" s="1"/>
  <c r="B459" i="8" s="1"/>
  <c r="B460" i="8" s="1"/>
  <c r="B461" i="8" s="1"/>
  <c r="B462" i="8" s="1"/>
  <c r="B463" i="8" s="1"/>
  <c r="B464" i="8" s="1"/>
  <c r="B465" i="8" s="1"/>
  <c r="B466" i="8" s="1"/>
  <c r="B467" i="8" s="1"/>
  <c r="B468" i="8" s="1"/>
  <c r="B469" i="8" s="1"/>
  <c r="B470" i="8" s="1"/>
  <c r="B471" i="8" s="1"/>
  <c r="B472" i="8" s="1"/>
  <c r="B473" i="8" s="1"/>
  <c r="B474" i="8" s="1"/>
  <c r="B475" i="8" s="1"/>
  <c r="B476" i="8" s="1"/>
  <c r="B477" i="8" s="1"/>
  <c r="B478" i="8" s="1"/>
  <c r="B479" i="8" s="1"/>
  <c r="B480" i="8" s="1"/>
  <c r="B481" i="8" s="1"/>
  <c r="B482" i="8" s="1"/>
  <c r="B483" i="8" s="1"/>
  <c r="B484" i="8" s="1"/>
  <c r="B485" i="8" s="1"/>
  <c r="B486" i="8" s="1"/>
  <c r="B487" i="8" s="1"/>
  <c r="B488" i="8" s="1"/>
  <c r="B489" i="8" s="1"/>
  <c r="B490" i="8" s="1"/>
  <c r="B491" i="8" s="1"/>
  <c r="B492" i="8" s="1"/>
  <c r="B493" i="8" s="1"/>
  <c r="B494" i="8" s="1"/>
  <c r="B495" i="8" s="1"/>
  <c r="B496" i="8" s="1"/>
  <c r="B497" i="8" s="1"/>
  <c r="B498" i="8" s="1"/>
  <c r="B499" i="8" s="1"/>
  <c r="B500" i="8" s="1"/>
  <c r="B501" i="8" s="1"/>
  <c r="B502" i="8" s="1"/>
  <c r="B503" i="8" s="1"/>
  <c r="B504" i="8" s="1"/>
  <c r="B505" i="8" s="1"/>
  <c r="B506" i="8" s="1"/>
  <c r="B507" i="8" s="1"/>
  <c r="B508" i="8" s="1"/>
  <c r="B509" i="8" s="1"/>
  <c r="B510" i="8" s="1"/>
  <c r="B511" i="8" s="1"/>
  <c r="B512" i="8" s="1"/>
  <c r="B513" i="8" s="1"/>
  <c r="B514" i="8" s="1"/>
  <c r="B515" i="8" s="1"/>
  <c r="B516" i="8" s="1"/>
  <c r="B517" i="8" s="1"/>
  <c r="B518" i="8" s="1"/>
  <c r="B519" i="8" s="1"/>
  <c r="B520" i="8" s="1"/>
  <c r="B521" i="8" s="1"/>
  <c r="B522" i="8" s="1"/>
  <c r="B523" i="8" s="1"/>
  <c r="B524" i="8" s="1"/>
  <c r="B525" i="8" s="1"/>
  <c r="B526" i="8" s="1"/>
  <c r="B527" i="8" s="1"/>
  <c r="B528" i="8" s="1"/>
  <c r="B529" i="8" s="1"/>
  <c r="B530" i="8" s="1"/>
  <c r="B531" i="8" s="1"/>
  <c r="B532" i="8" s="1"/>
  <c r="B533" i="8" s="1"/>
  <c r="B534" i="8" s="1"/>
  <c r="B535" i="8" s="1"/>
  <c r="B536" i="8" s="1"/>
  <c r="B537" i="8" s="1"/>
  <c r="B538" i="8" s="1"/>
  <c r="B539" i="8" s="1"/>
  <c r="B540" i="8" s="1"/>
  <c r="B541" i="8" s="1"/>
  <c r="B542" i="8" s="1"/>
  <c r="B543" i="8" s="1"/>
  <c r="B544" i="8" s="1"/>
  <c r="B545" i="8" s="1"/>
  <c r="B546" i="8" s="1"/>
  <c r="B547" i="8" s="1"/>
  <c r="B548" i="8" s="1"/>
  <c r="B549" i="8" s="1"/>
  <c r="B550" i="8" s="1"/>
  <c r="B551" i="8" s="1"/>
  <c r="B552" i="8" s="1"/>
  <c r="B553" i="8" s="1"/>
  <c r="B554" i="8" s="1"/>
  <c r="B555" i="8" s="1"/>
  <c r="B556" i="8" s="1"/>
  <c r="B557" i="8" s="1"/>
  <c r="B558" i="8" s="1"/>
  <c r="B559" i="8" s="1"/>
  <c r="B560" i="8" s="1"/>
  <c r="B561" i="8" s="1"/>
  <c r="B562" i="8" s="1"/>
  <c r="B563" i="8" s="1"/>
  <c r="B564" i="8" s="1"/>
  <c r="B565" i="8" s="1"/>
  <c r="B566" i="8" s="1"/>
  <c r="B567" i="8" s="1"/>
  <c r="B568" i="8" s="1"/>
  <c r="B569" i="8" s="1"/>
  <c r="B570" i="8" s="1"/>
  <c r="B571" i="8" s="1"/>
  <c r="B572" i="8" s="1"/>
  <c r="B573" i="8" s="1"/>
  <c r="B574" i="8" s="1"/>
  <c r="B575" i="8" s="1"/>
  <c r="B576" i="8" s="1"/>
  <c r="B577" i="8" s="1"/>
  <c r="B578" i="8" s="1"/>
  <c r="B579" i="8" s="1"/>
  <c r="B580" i="8" s="1"/>
  <c r="B581" i="8" s="1"/>
  <c r="B582" i="8" s="1"/>
  <c r="B583" i="8" s="1"/>
  <c r="B584" i="8" s="1"/>
  <c r="B585" i="8" s="1"/>
  <c r="B586" i="8" s="1"/>
  <c r="B587" i="8" s="1"/>
  <c r="B588" i="8" s="1"/>
  <c r="B589" i="8" s="1"/>
  <c r="B590" i="8" s="1"/>
  <c r="B591" i="8" s="1"/>
  <c r="B592" i="8" s="1"/>
  <c r="B593" i="8" s="1"/>
  <c r="B594" i="8" s="1"/>
  <c r="B595" i="8" s="1"/>
  <c r="B596" i="8" s="1"/>
  <c r="B597" i="8" s="1"/>
  <c r="B598" i="8" s="1"/>
  <c r="B599" i="8" s="1"/>
  <c r="B600" i="8" s="1"/>
  <c r="B601" i="8" s="1"/>
  <c r="B602" i="8" s="1"/>
  <c r="B603" i="8" s="1"/>
  <c r="B604" i="8" s="1"/>
  <c r="B605" i="8" s="1"/>
  <c r="B606" i="8" s="1"/>
  <c r="B607" i="8" s="1"/>
  <c r="B608" i="8" s="1"/>
  <c r="B609" i="8" s="1"/>
  <c r="B610" i="8" s="1"/>
  <c r="B611" i="8" s="1"/>
  <c r="B612" i="8" s="1"/>
  <c r="B613" i="8" s="1"/>
  <c r="B614" i="8" s="1"/>
  <c r="B615" i="8" s="1"/>
  <c r="B616" i="8" s="1"/>
  <c r="B617" i="8" s="1"/>
  <c r="B618" i="8" s="1"/>
  <c r="B619" i="8" s="1"/>
  <c r="B620" i="8" s="1"/>
  <c r="B621" i="8" s="1"/>
  <c r="B622" i="8" s="1"/>
  <c r="B623" i="8" s="1"/>
  <c r="B624" i="8" s="1"/>
  <c r="B625" i="8" s="1"/>
  <c r="B626" i="8" s="1"/>
  <c r="B627" i="8" s="1"/>
  <c r="B628" i="8" s="1"/>
  <c r="B629" i="8" s="1"/>
  <c r="B630" i="8" s="1"/>
  <c r="B631" i="8" s="1"/>
  <c r="B632" i="8" s="1"/>
  <c r="B633" i="8" s="1"/>
  <c r="B634" i="8" s="1"/>
  <c r="B635" i="8" s="1"/>
  <c r="B636" i="8" s="1"/>
  <c r="B637" i="8" s="1"/>
  <c r="B638" i="8" s="1"/>
  <c r="B639" i="8" s="1"/>
  <c r="B640" i="8" s="1"/>
  <c r="B641" i="8" s="1"/>
  <c r="B642" i="8" s="1"/>
  <c r="B643" i="8" s="1"/>
  <c r="B644" i="8" s="1"/>
  <c r="B645" i="8" s="1"/>
  <c r="B646" i="8" s="1"/>
  <c r="B647" i="8" s="1"/>
  <c r="B648" i="8" s="1"/>
  <c r="B649" i="8" s="1"/>
  <c r="B650" i="8" s="1"/>
  <c r="B651" i="8" s="1"/>
  <c r="B652" i="8" s="1"/>
  <c r="B653" i="8" s="1"/>
  <c r="B654" i="8" s="1"/>
  <c r="B655" i="8" s="1"/>
  <c r="B656" i="8" s="1"/>
  <c r="B657" i="8" s="1"/>
  <c r="B658" i="8" s="1"/>
  <c r="B659" i="8" s="1"/>
  <c r="B660" i="8" s="1"/>
  <c r="B661" i="8" s="1"/>
  <c r="B662" i="8" s="1"/>
  <c r="B663" i="8" s="1"/>
  <c r="B664" i="8" s="1"/>
  <c r="B665" i="8" s="1"/>
  <c r="B666" i="8" s="1"/>
  <c r="B667" i="8" s="1"/>
  <c r="B668" i="8" s="1"/>
  <c r="B669" i="8" s="1"/>
  <c r="B670" i="8" s="1"/>
  <c r="B671" i="8" s="1"/>
  <c r="B672" i="8" s="1"/>
  <c r="B673" i="8" s="1"/>
  <c r="B674" i="8" s="1"/>
  <c r="B675" i="8" s="1"/>
  <c r="B676" i="8" s="1"/>
  <c r="B677" i="8" s="1"/>
  <c r="B678" i="8" s="1"/>
  <c r="B679" i="8" s="1"/>
  <c r="B680" i="8" s="1"/>
  <c r="B681" i="8" s="1"/>
  <c r="B682" i="8" s="1"/>
  <c r="B683" i="8" s="1"/>
  <c r="B684" i="8" s="1"/>
  <c r="B685" i="8" s="1"/>
  <c r="B686" i="8" s="1"/>
  <c r="B687" i="8" s="1"/>
  <c r="B688" i="8" s="1"/>
  <c r="B689" i="8" s="1"/>
  <c r="B690" i="8" s="1"/>
  <c r="B691" i="8" s="1"/>
  <c r="B692" i="8" s="1"/>
  <c r="B693" i="8" s="1"/>
  <c r="B694" i="8" s="1"/>
  <c r="B695" i="8" s="1"/>
  <c r="B696" i="8" s="1"/>
  <c r="B697" i="8" s="1"/>
  <c r="B698" i="8" s="1"/>
  <c r="B699" i="8" s="1"/>
  <c r="B700" i="8" s="1"/>
  <c r="B701" i="8" s="1"/>
  <c r="B702" i="8" s="1"/>
  <c r="B703" i="8" s="1"/>
  <c r="B704" i="8" s="1"/>
  <c r="B705" i="8" s="1"/>
  <c r="B706" i="8" s="1"/>
  <c r="B707" i="8" s="1"/>
  <c r="B708" i="8" s="1"/>
  <c r="B709" i="8" s="1"/>
  <c r="B710" i="8" s="1"/>
  <c r="B711" i="8" s="1"/>
  <c r="B712" i="8" s="1"/>
  <c r="B713" i="8" s="1"/>
  <c r="B714" i="8" s="1"/>
  <c r="B715" i="8" s="1"/>
  <c r="B716" i="8" s="1"/>
  <c r="B717" i="8" s="1"/>
  <c r="B718" i="8" s="1"/>
  <c r="B719" i="8" s="1"/>
  <c r="B720" i="8" s="1"/>
  <c r="B721" i="8" s="1"/>
  <c r="B722" i="8" s="1"/>
  <c r="B723" i="8" s="1"/>
  <c r="B724" i="8" s="1"/>
  <c r="B725" i="8" s="1"/>
  <c r="B726" i="8" s="1"/>
  <c r="B727" i="8" s="1"/>
  <c r="B728" i="8" s="1"/>
  <c r="B729" i="8" s="1"/>
  <c r="B730" i="8" s="1"/>
  <c r="B731" i="8" s="1"/>
  <c r="B732" i="8" s="1"/>
  <c r="B733" i="8" s="1"/>
  <c r="B734" i="8" s="1"/>
  <c r="B735" i="8" s="1"/>
  <c r="B736" i="8" s="1"/>
  <c r="B737" i="8" s="1"/>
  <c r="B738" i="8" s="1"/>
  <c r="B739" i="8" s="1"/>
  <c r="B740" i="8" s="1"/>
  <c r="B741" i="8" s="1"/>
  <c r="B742" i="8" s="1"/>
  <c r="B743" i="8" s="1"/>
  <c r="B744" i="8" s="1"/>
  <c r="B745" i="8" s="1"/>
  <c r="B746" i="8" s="1"/>
  <c r="B747" i="8" s="1"/>
  <c r="B748" i="8" s="1"/>
  <c r="B749" i="8" s="1"/>
  <c r="B750" i="8" s="1"/>
  <c r="B751" i="8" s="1"/>
  <c r="B752" i="8" s="1"/>
  <c r="B753" i="8" s="1"/>
  <c r="B754" i="8" s="1"/>
  <c r="B755" i="8" s="1"/>
  <c r="B756" i="8" s="1"/>
  <c r="B757" i="8" s="1"/>
  <c r="B758" i="8" s="1"/>
  <c r="B759" i="8" s="1"/>
  <c r="B760" i="8" s="1"/>
  <c r="B761" i="8" s="1"/>
  <c r="B762" i="8" s="1"/>
  <c r="B763" i="8" s="1"/>
  <c r="B764" i="8" s="1"/>
  <c r="B765" i="8" s="1"/>
  <c r="B766" i="8" s="1"/>
  <c r="B767" i="8" s="1"/>
  <c r="B768" i="8" s="1"/>
  <c r="B769" i="8" s="1"/>
  <c r="B770" i="8" s="1"/>
  <c r="B771" i="8" s="1"/>
  <c r="B772" i="8" s="1"/>
  <c r="B773" i="8" s="1"/>
  <c r="B774" i="8" s="1"/>
  <c r="B775" i="8" s="1"/>
  <c r="B776" i="8" s="1"/>
  <c r="B777" i="8" s="1"/>
  <c r="B778" i="8" s="1"/>
  <c r="B779" i="8" s="1"/>
  <c r="B780" i="8" s="1"/>
  <c r="B781" i="8" s="1"/>
  <c r="B782" i="8" s="1"/>
  <c r="B783" i="8" s="1"/>
  <c r="B784" i="8" s="1"/>
  <c r="B785" i="8" s="1"/>
  <c r="B786" i="8" s="1"/>
  <c r="B787" i="8" s="1"/>
  <c r="B788" i="8" s="1"/>
  <c r="B789" i="8" s="1"/>
  <c r="B790" i="8" s="1"/>
  <c r="B791" i="8" s="1"/>
  <c r="B792" i="8" s="1"/>
  <c r="B793" i="8" s="1"/>
  <c r="B794" i="8" s="1"/>
  <c r="B795" i="8" s="1"/>
  <c r="B796" i="8" s="1"/>
  <c r="B797" i="8" s="1"/>
  <c r="B798" i="8" s="1"/>
  <c r="B799" i="8" s="1"/>
  <c r="B800" i="8" s="1"/>
  <c r="B801" i="8" s="1"/>
  <c r="B802" i="8" s="1"/>
  <c r="B803" i="8" s="1"/>
  <c r="B804" i="8" s="1"/>
  <c r="B805" i="8" s="1"/>
  <c r="B806" i="8" s="1"/>
  <c r="B807" i="8" s="1"/>
  <c r="B808" i="8" s="1"/>
  <c r="B809" i="8" s="1"/>
  <c r="B810" i="8" s="1"/>
  <c r="B811" i="8" s="1"/>
  <c r="B812" i="8" s="1"/>
  <c r="B813" i="8" s="1"/>
  <c r="B814" i="8" s="1"/>
  <c r="B815" i="8" s="1"/>
  <c r="B816" i="8" s="1"/>
  <c r="B817" i="8" s="1"/>
  <c r="B818" i="8" s="1"/>
  <c r="B819" i="8" s="1"/>
  <c r="B820" i="8" s="1"/>
  <c r="B821" i="8" s="1"/>
  <c r="B822" i="8" s="1"/>
  <c r="B823" i="8" s="1"/>
  <c r="B824" i="8" s="1"/>
  <c r="B825" i="8" s="1"/>
  <c r="B826" i="8" s="1"/>
  <c r="B827" i="8" s="1"/>
  <c r="B828" i="8" s="1"/>
  <c r="B829" i="8" s="1"/>
  <c r="B830" i="8" s="1"/>
  <c r="B831" i="8" s="1"/>
  <c r="B832" i="8" s="1"/>
  <c r="B833" i="8" s="1"/>
  <c r="B834" i="8" s="1"/>
  <c r="B835" i="8" s="1"/>
  <c r="B836" i="8" s="1"/>
  <c r="B837" i="8" s="1"/>
  <c r="B838" i="8" s="1"/>
  <c r="B839" i="8" s="1"/>
  <c r="B840" i="8" s="1"/>
  <c r="B841" i="8" s="1"/>
  <c r="B842" i="8" s="1"/>
  <c r="B843" i="8" s="1"/>
  <c r="B844" i="8" s="1"/>
  <c r="B845" i="8" s="1"/>
  <c r="B846" i="8" s="1"/>
  <c r="B847" i="8" s="1"/>
  <c r="B848" i="8" s="1"/>
  <c r="B849" i="8" s="1"/>
  <c r="B850" i="8" s="1"/>
  <c r="B851" i="8" s="1"/>
  <c r="B852" i="8" s="1"/>
  <c r="B853" i="8" s="1"/>
  <c r="B854" i="8" s="1"/>
  <c r="B855" i="8" s="1"/>
  <c r="B856" i="8" s="1"/>
  <c r="B857" i="8" s="1"/>
  <c r="B858" i="8" s="1"/>
  <c r="B859" i="8" s="1"/>
  <c r="B860" i="8" s="1"/>
  <c r="B861" i="8" s="1"/>
  <c r="B862" i="8" s="1"/>
  <c r="B863" i="8" s="1"/>
  <c r="B864" i="8" s="1"/>
  <c r="B865" i="8" s="1"/>
  <c r="B866" i="8" s="1"/>
  <c r="B867" i="8" s="1"/>
  <c r="B868" i="8" s="1"/>
  <c r="B869" i="8" s="1"/>
  <c r="B870" i="8" s="1"/>
  <c r="B871" i="8" s="1"/>
  <c r="B872" i="8" s="1"/>
  <c r="B873" i="8" s="1"/>
  <c r="B874" i="8" s="1"/>
  <c r="B875" i="8" s="1"/>
  <c r="B876" i="8" s="1"/>
  <c r="B877" i="8" s="1"/>
  <c r="B878" i="8" s="1"/>
  <c r="B879" i="8" s="1"/>
  <c r="B880" i="8" s="1"/>
  <c r="B881" i="8" s="1"/>
  <c r="B882" i="8" s="1"/>
  <c r="B883" i="8" s="1"/>
  <c r="B884" i="8" s="1"/>
  <c r="B885" i="8" s="1"/>
  <c r="B886" i="8" s="1"/>
  <c r="B887" i="8" s="1"/>
  <c r="B888" i="8" s="1"/>
  <c r="B889" i="8" s="1"/>
  <c r="B890" i="8" s="1"/>
  <c r="B891" i="8" s="1"/>
  <c r="B892" i="8" s="1"/>
  <c r="B893" i="8" s="1"/>
  <c r="B894" i="8" s="1"/>
  <c r="B895" i="8" s="1"/>
  <c r="B896" i="8" s="1"/>
  <c r="B897" i="8" s="1"/>
  <c r="B898" i="8" s="1"/>
  <c r="B899" i="8" s="1"/>
  <c r="B900" i="8" s="1"/>
  <c r="B901" i="8" s="1"/>
  <c r="B902" i="8" s="1"/>
  <c r="B903" i="8" s="1"/>
  <c r="B904" i="8" s="1"/>
  <c r="B905" i="8" s="1"/>
  <c r="B906" i="8" s="1"/>
  <c r="B907" i="8" s="1"/>
  <c r="B908" i="8" s="1"/>
  <c r="B909" i="8" s="1"/>
  <c r="B910" i="8" s="1"/>
  <c r="B911" i="8" s="1"/>
  <c r="B912" i="8" s="1"/>
  <c r="B913" i="8" s="1"/>
  <c r="B914" i="8" s="1"/>
  <c r="B915" i="8" s="1"/>
  <c r="B916" i="8" s="1"/>
  <c r="B917" i="8" s="1"/>
  <c r="B918" i="8" s="1"/>
  <c r="B919" i="8" s="1"/>
  <c r="B920" i="8" s="1"/>
  <c r="B921" i="8" s="1"/>
  <c r="B922" i="8" s="1"/>
  <c r="B923" i="8" s="1"/>
  <c r="B924" i="8" s="1"/>
  <c r="B925" i="8" s="1"/>
  <c r="B926" i="8" s="1"/>
  <c r="B927" i="8" s="1"/>
  <c r="B928" i="8" s="1"/>
  <c r="B929" i="8" s="1"/>
  <c r="B930" i="8" s="1"/>
  <c r="B931" i="8" s="1"/>
  <c r="B932" i="8" s="1"/>
  <c r="B933" i="8" s="1"/>
  <c r="B934" i="8" s="1"/>
  <c r="B935" i="8" s="1"/>
  <c r="B936" i="8" s="1"/>
  <c r="B937" i="8" s="1"/>
  <c r="B938" i="8" s="1"/>
  <c r="B939" i="8" s="1"/>
  <c r="B940" i="8" s="1"/>
  <c r="B941" i="8" s="1"/>
  <c r="B942" i="8" s="1"/>
  <c r="B943" i="8" s="1"/>
  <c r="B944" i="8" s="1"/>
  <c r="B945" i="8" s="1"/>
  <c r="B946" i="8" s="1"/>
  <c r="B947" i="8" s="1"/>
  <c r="B948" i="8" s="1"/>
  <c r="B949" i="8" s="1"/>
  <c r="B950" i="8" s="1"/>
  <c r="B951" i="8" s="1"/>
  <c r="B952" i="8" s="1"/>
  <c r="B953" i="8" s="1"/>
  <c r="B954" i="8" s="1"/>
  <c r="B955" i="8" s="1"/>
  <c r="B956" i="8" s="1"/>
  <c r="B957" i="8" s="1"/>
  <c r="B958" i="8" s="1"/>
  <c r="B959" i="8" s="1"/>
  <c r="B960" i="8" s="1"/>
  <c r="B961" i="8" s="1"/>
  <c r="B962" i="8" s="1"/>
  <c r="B963" i="8" s="1"/>
  <c r="B964" i="8" s="1"/>
  <c r="B965" i="8" s="1"/>
  <c r="B966" i="8" s="1"/>
  <c r="B967" i="8" s="1"/>
  <c r="B968" i="8" s="1"/>
  <c r="B969" i="8" s="1"/>
  <c r="B970" i="8" s="1"/>
  <c r="B971" i="8" s="1"/>
  <c r="B972" i="8" s="1"/>
  <c r="B973" i="8" s="1"/>
  <c r="B974" i="8" s="1"/>
  <c r="B975" i="8" s="1"/>
  <c r="B976" i="8" s="1"/>
  <c r="B977" i="8" s="1"/>
  <c r="B978" i="8" s="1"/>
  <c r="B979" i="8" s="1"/>
  <c r="B980" i="8" s="1"/>
  <c r="B981" i="8" s="1"/>
  <c r="B982" i="8" s="1"/>
  <c r="B983" i="8" s="1"/>
  <c r="B984" i="8" s="1"/>
  <c r="B985" i="8" s="1"/>
  <c r="B986" i="8" s="1"/>
  <c r="B987" i="8" s="1"/>
  <c r="B988" i="8" s="1"/>
  <c r="B989" i="8" s="1"/>
  <c r="B990" i="8" s="1"/>
  <c r="B991" i="8" s="1"/>
  <c r="B992" i="8" s="1"/>
  <c r="B993" i="8" s="1"/>
  <c r="B994" i="8" s="1"/>
  <c r="B995" i="8" s="1"/>
  <c r="B996" i="8" s="1"/>
  <c r="B997" i="8" s="1"/>
  <c r="B998" i="8" s="1"/>
  <c r="B999" i="8" s="1"/>
  <c r="B1000" i="8" s="1"/>
  <c r="B1001" i="8" s="1"/>
  <c r="B1002" i="8" s="1"/>
  <c r="B1003" i="8" s="1"/>
  <c r="B1004" i="8" s="1"/>
  <c r="B1005" i="8" s="1"/>
  <c r="B1006" i="8" s="1"/>
  <c r="B1007" i="8" s="1"/>
  <c r="B1008" i="8" s="1"/>
  <c r="B1009" i="8" s="1"/>
  <c r="B1010" i="8" s="1"/>
  <c r="B1011" i="8" s="1"/>
  <c r="B1012" i="8" s="1"/>
  <c r="B1013" i="8" s="1"/>
  <c r="B1014" i="8" s="1"/>
  <c r="B1015" i="8" s="1"/>
  <c r="B1016" i="8" s="1"/>
  <c r="B1017" i="8" s="1"/>
  <c r="B1018" i="8" s="1"/>
  <c r="B1019" i="8" s="1"/>
  <c r="B1020" i="8" s="1"/>
  <c r="B1021" i="8" s="1"/>
  <c r="B1022" i="8" s="1"/>
  <c r="B1023" i="8" s="1"/>
  <c r="B1024" i="8" s="1"/>
  <c r="B1025" i="8" s="1"/>
  <c r="B1026" i="8" s="1"/>
  <c r="B1027" i="8" s="1"/>
  <c r="B1028" i="8" s="1"/>
  <c r="B1029" i="8" s="1"/>
  <c r="B1030" i="8" s="1"/>
  <c r="B1031" i="8" s="1"/>
  <c r="B1032" i="8" s="1"/>
  <c r="B1033" i="8" s="1"/>
  <c r="B1034" i="8" s="1"/>
  <c r="B1035" i="8" s="1"/>
  <c r="B1036" i="8" s="1"/>
  <c r="B1037" i="8" s="1"/>
  <c r="B1038" i="8" s="1"/>
  <c r="B1039" i="8" s="1"/>
  <c r="B1040" i="8" s="1"/>
  <c r="B1041" i="8" s="1"/>
  <c r="B1042" i="8" s="1"/>
  <c r="B1043" i="8" s="1"/>
  <c r="B1044" i="8" s="1"/>
  <c r="B1045" i="8" s="1"/>
  <c r="B1046" i="8" s="1"/>
  <c r="B1047" i="8" s="1"/>
  <c r="B1048" i="8" s="1"/>
  <c r="B1049" i="8" s="1"/>
  <c r="B1050" i="8" s="1"/>
  <c r="B1051" i="8" s="1"/>
  <c r="B1052" i="8" s="1"/>
  <c r="B1053" i="8" s="1"/>
  <c r="B1054" i="8" s="1"/>
  <c r="B1055" i="8" s="1"/>
  <c r="B1056" i="8" s="1"/>
  <c r="B1057" i="8" s="1"/>
  <c r="B1058" i="8" s="1"/>
  <c r="B1059" i="8" s="1"/>
  <c r="B1060" i="8" s="1"/>
  <c r="B1061" i="8" s="1"/>
  <c r="B1062" i="8" s="1"/>
  <c r="B1063" i="8" s="1"/>
  <c r="B1064" i="8" s="1"/>
  <c r="B1065" i="8" s="1"/>
  <c r="B1066" i="8" s="1"/>
  <c r="B1067" i="8" s="1"/>
  <c r="B1068" i="8" s="1"/>
  <c r="B1069" i="8" s="1"/>
  <c r="B1070" i="8" s="1"/>
  <c r="B1071" i="8" s="1"/>
  <c r="B1072" i="8" s="1"/>
  <c r="B1073" i="8" s="1"/>
  <c r="B1074" i="8" s="1"/>
  <c r="B1075" i="8" s="1"/>
  <c r="B1076" i="8" s="1"/>
  <c r="B1077" i="8" s="1"/>
  <c r="B1078" i="8" s="1"/>
  <c r="B1079" i="8" s="1"/>
  <c r="B1080" i="8" s="1"/>
  <c r="B1081" i="8" s="1"/>
  <c r="B1082" i="8" s="1"/>
  <c r="B1083" i="8" s="1"/>
  <c r="B1084" i="8" s="1"/>
  <c r="B1085" i="8" s="1"/>
  <c r="B1086" i="8" s="1"/>
  <c r="B1087" i="8" s="1"/>
  <c r="B1088" i="8" s="1"/>
  <c r="B1089" i="8" s="1"/>
  <c r="B1090" i="8" s="1"/>
  <c r="B1091" i="8" s="1"/>
  <c r="B1092" i="8" s="1"/>
  <c r="B1093" i="8" s="1"/>
  <c r="B1094" i="8" s="1"/>
  <c r="B1095" i="8" s="1"/>
  <c r="B1096" i="8" s="1"/>
  <c r="B1097" i="8" s="1"/>
  <c r="B1098" i="8" s="1"/>
  <c r="B1099" i="8" s="1"/>
  <c r="B1100" i="8" s="1"/>
  <c r="B1101" i="8" s="1"/>
  <c r="B1102" i="8" s="1"/>
  <c r="B1103" i="8" s="1"/>
  <c r="B1104" i="8" s="1"/>
  <c r="B1105" i="8" s="1"/>
  <c r="B1106" i="8" s="1"/>
  <c r="B1107" i="8" s="1"/>
  <c r="B1108" i="8" s="1"/>
  <c r="B1109" i="8" s="1"/>
  <c r="B1110" i="8" s="1"/>
  <c r="B1111" i="8" s="1"/>
  <c r="B1112" i="8" s="1"/>
  <c r="B1113" i="8" s="1"/>
  <c r="B1114" i="8" s="1"/>
  <c r="B1115" i="8" s="1"/>
  <c r="B1116" i="8" s="1"/>
  <c r="B1117" i="8" s="1"/>
  <c r="B1118" i="8" s="1"/>
  <c r="B1119" i="8" s="1"/>
  <c r="B1120" i="8" s="1"/>
  <c r="B1121" i="8" s="1"/>
  <c r="B1122" i="8" s="1"/>
  <c r="B1123" i="8" s="1"/>
  <c r="B1124" i="8" s="1"/>
  <c r="B1125" i="8" s="1"/>
  <c r="B1126" i="8" s="1"/>
  <c r="B1127" i="8" s="1"/>
  <c r="B1128" i="8" s="1"/>
  <c r="B1129" i="8" s="1"/>
  <c r="B1130" i="8" s="1"/>
  <c r="B1131" i="8" s="1"/>
  <c r="B1132" i="8" s="1"/>
  <c r="B1133" i="8" s="1"/>
  <c r="B1134" i="8" s="1"/>
  <c r="B1135" i="8" s="1"/>
  <c r="B1136" i="8" s="1"/>
  <c r="B1137" i="8" s="1"/>
  <c r="B1138" i="8" s="1"/>
  <c r="B1139" i="8" s="1"/>
  <c r="B1140" i="8" s="1"/>
  <c r="B1141" i="8" s="1"/>
  <c r="B1142" i="8" s="1"/>
  <c r="B1143" i="8" s="1"/>
  <c r="B1144" i="8" s="1"/>
  <c r="B1145" i="8" s="1"/>
  <c r="B1146" i="8" s="1"/>
  <c r="B1147" i="8" s="1"/>
  <c r="B1148" i="8" s="1"/>
  <c r="B1149" i="8" s="1"/>
  <c r="B1150" i="8" s="1"/>
  <c r="B1151" i="8" s="1"/>
  <c r="B1152" i="8" s="1"/>
  <c r="B1153" i="8" s="1"/>
  <c r="B1154" i="8" s="1"/>
  <c r="B1155" i="8" s="1"/>
  <c r="B1156" i="8" s="1"/>
  <c r="B1157" i="8" s="1"/>
  <c r="B1158" i="8" s="1"/>
  <c r="B1159" i="8" s="1"/>
  <c r="B1160" i="8" s="1"/>
  <c r="B1161" i="8" s="1"/>
  <c r="B1162" i="8" s="1"/>
  <c r="B1163" i="8" s="1"/>
  <c r="B1164" i="8" s="1"/>
  <c r="B1165" i="8" s="1"/>
  <c r="B1166" i="8" s="1"/>
  <c r="B1167" i="8" s="1"/>
  <c r="B1168" i="8" s="1"/>
  <c r="B1169" i="8" s="1"/>
  <c r="B1170" i="8" s="1"/>
  <c r="B1171" i="8" s="1"/>
  <c r="B1172" i="8" s="1"/>
  <c r="B1173" i="8" s="1"/>
  <c r="B1174" i="8" s="1"/>
  <c r="B1175" i="8" s="1"/>
  <c r="B1176" i="8" s="1"/>
  <c r="B1177" i="8" s="1"/>
  <c r="B1178" i="8" s="1"/>
  <c r="B1179" i="8" s="1"/>
  <c r="B1180" i="8" s="1"/>
  <c r="B1181" i="8" s="1"/>
  <c r="B1182" i="8" s="1"/>
  <c r="B1183" i="8" s="1"/>
  <c r="B1184" i="8" s="1"/>
  <c r="B1185" i="8" s="1"/>
  <c r="B1186" i="8" s="1"/>
  <c r="B1187" i="8" s="1"/>
  <c r="B1188" i="8" s="1"/>
  <c r="B1189" i="8" s="1"/>
  <c r="B1190" i="8" s="1"/>
  <c r="B1191" i="8" s="1"/>
  <c r="B1192" i="8" s="1"/>
  <c r="B1193" i="8" s="1"/>
  <c r="B1194" i="8" s="1"/>
  <c r="B1195" i="8" s="1"/>
  <c r="B1196" i="8" s="1"/>
  <c r="B1197" i="8" s="1"/>
  <c r="B1198" i="8" s="1"/>
  <c r="B1199" i="8" s="1"/>
  <c r="B1200" i="8" s="1"/>
  <c r="B1201" i="8" s="1"/>
  <c r="B1202" i="8" s="1"/>
  <c r="B1203" i="8" s="1"/>
  <c r="B1204" i="8" s="1"/>
  <c r="B1205" i="8" s="1"/>
  <c r="B1206" i="8" s="1"/>
  <c r="B1207" i="8" s="1"/>
  <c r="B1208" i="8" s="1"/>
  <c r="B1209" i="8" s="1"/>
  <c r="B1210" i="8" s="1"/>
  <c r="B1211" i="8" s="1"/>
  <c r="B1212" i="8" s="1"/>
  <c r="B1213" i="8" s="1"/>
  <c r="B1214" i="8" s="1"/>
  <c r="B1215" i="8" s="1"/>
  <c r="B1216" i="8" s="1"/>
  <c r="B1217" i="8" s="1"/>
  <c r="B1218" i="8" s="1"/>
  <c r="B1219" i="8" s="1"/>
  <c r="B1220" i="8" s="1"/>
  <c r="B1221" i="8" s="1"/>
  <c r="B1222" i="8" s="1"/>
  <c r="B1223" i="8" s="1"/>
  <c r="B1224" i="8" s="1"/>
  <c r="B1225" i="8" s="1"/>
  <c r="B1226" i="8" s="1"/>
  <c r="B1227" i="8" s="1"/>
  <c r="B1228" i="8" s="1"/>
  <c r="B1229" i="8" s="1"/>
  <c r="B1230" i="8" s="1"/>
  <c r="B1231" i="8" s="1"/>
  <c r="B1232" i="8" s="1"/>
  <c r="B1233" i="8" s="1"/>
  <c r="B1234" i="8" s="1"/>
  <c r="B1235" i="8" s="1"/>
  <c r="B1236" i="8" s="1"/>
  <c r="B1237" i="8" s="1"/>
  <c r="B1238" i="8" s="1"/>
  <c r="B1239" i="8" s="1"/>
  <c r="B1240" i="8" s="1"/>
  <c r="B1241" i="8" s="1"/>
  <c r="B1242" i="8" s="1"/>
  <c r="B1243" i="8" s="1"/>
  <c r="B1244" i="8" s="1"/>
  <c r="B1245" i="8" s="1"/>
  <c r="B1246" i="8" s="1"/>
  <c r="B1247" i="8" s="1"/>
  <c r="B1248" i="8" s="1"/>
  <c r="B1249" i="8" s="1"/>
  <c r="B1250" i="8" s="1"/>
  <c r="B1251" i="8" s="1"/>
  <c r="B1252" i="8" s="1"/>
  <c r="B1253" i="8" s="1"/>
  <c r="B1254" i="8" s="1"/>
  <c r="B1255" i="8" s="1"/>
  <c r="B1256" i="8" s="1"/>
  <c r="B1257" i="8" s="1"/>
  <c r="B1258" i="8" s="1"/>
  <c r="B1259" i="8" s="1"/>
  <c r="B1260" i="8" s="1"/>
  <c r="B1261" i="8" s="1"/>
  <c r="B1262" i="8" s="1"/>
  <c r="B1263" i="8" s="1"/>
  <c r="B1264" i="8" s="1"/>
  <c r="B1265" i="8" s="1"/>
  <c r="B1266" i="8" s="1"/>
  <c r="B1267" i="8" s="1"/>
  <c r="B1268" i="8" s="1"/>
  <c r="B1269" i="8" s="1"/>
  <c r="B1270" i="8" s="1"/>
  <c r="B1271" i="8" s="1"/>
  <c r="B1272" i="8" s="1"/>
  <c r="B1273" i="8" s="1"/>
  <c r="B1274" i="8" s="1"/>
  <c r="B1275" i="8" s="1"/>
  <c r="B1276" i="8" s="1"/>
  <c r="B1277" i="8" s="1"/>
  <c r="B1278" i="8" s="1"/>
  <c r="B1279" i="8" s="1"/>
  <c r="B1280" i="8" s="1"/>
  <c r="B1281" i="8" s="1"/>
  <c r="B1282" i="8" s="1"/>
  <c r="B1283" i="8" s="1"/>
  <c r="B1284" i="8" s="1"/>
  <c r="B1285" i="8" s="1"/>
  <c r="B1286" i="8" s="1"/>
  <c r="B1287" i="8" s="1"/>
  <c r="B1288" i="8" s="1"/>
  <c r="B1289" i="8" s="1"/>
  <c r="B1290" i="8" s="1"/>
  <c r="B1291" i="8" s="1"/>
  <c r="B1292" i="8" s="1"/>
  <c r="B1293" i="8" s="1"/>
  <c r="B1294" i="8" s="1"/>
  <c r="B1295" i="8" s="1"/>
  <c r="B1296" i="8" s="1"/>
  <c r="B1297" i="8" s="1"/>
  <c r="B1298" i="8" s="1"/>
  <c r="B1299" i="8" s="1"/>
  <c r="B1300" i="8" s="1"/>
  <c r="B1301" i="8" s="1"/>
  <c r="B1302" i="8" s="1"/>
  <c r="B1303" i="8" s="1"/>
  <c r="B1304" i="8" s="1"/>
  <c r="B1305" i="8" s="1"/>
  <c r="B1306" i="8" s="1"/>
  <c r="B1307" i="8" s="1"/>
  <c r="B1308" i="8" s="1"/>
  <c r="B1309" i="8" s="1"/>
  <c r="B1310" i="8" s="1"/>
  <c r="B1311" i="8" s="1"/>
  <c r="B1312" i="8" s="1"/>
  <c r="B1313" i="8" s="1"/>
  <c r="B1314" i="8" s="1"/>
  <c r="B1315" i="8" s="1"/>
  <c r="B1316" i="8" s="1"/>
  <c r="B1317" i="8" s="1"/>
  <c r="B1318" i="8" s="1"/>
  <c r="B1319" i="8" s="1"/>
  <c r="B1320" i="8" s="1"/>
  <c r="B1321" i="8" s="1"/>
  <c r="B1322" i="8" s="1"/>
  <c r="B1323" i="8" s="1"/>
  <c r="B1324" i="8" s="1"/>
  <c r="B1325" i="8" s="1"/>
  <c r="B1326" i="8" s="1"/>
  <c r="B1327" i="8" s="1"/>
  <c r="B1328" i="8" s="1"/>
  <c r="B1329" i="8" s="1"/>
  <c r="B1330" i="8" s="1"/>
  <c r="B1331" i="8" s="1"/>
  <c r="B1332" i="8" s="1"/>
  <c r="B1333" i="8" s="1"/>
  <c r="B1334" i="8" s="1"/>
  <c r="B1335" i="8" s="1"/>
  <c r="B1336" i="8" s="1"/>
  <c r="B1337" i="8" s="1"/>
  <c r="B1338" i="8" s="1"/>
  <c r="B1339" i="8" s="1"/>
  <c r="B1340" i="8" s="1"/>
  <c r="B1341" i="8" s="1"/>
  <c r="B1342" i="8" s="1"/>
  <c r="B1343" i="8" s="1"/>
  <c r="B1344" i="8" s="1"/>
  <c r="B1345" i="8" s="1"/>
  <c r="B1346" i="8" s="1"/>
  <c r="B1347" i="8" s="1"/>
  <c r="B1348" i="8" s="1"/>
  <c r="B1349" i="8" s="1"/>
  <c r="B1350" i="8" s="1"/>
  <c r="B1351" i="8" s="1"/>
  <c r="B1352" i="8" s="1"/>
  <c r="B1353" i="8" s="1"/>
  <c r="B1354" i="8" s="1"/>
  <c r="B1355" i="8" s="1"/>
  <c r="B1356" i="8" s="1"/>
  <c r="B1357" i="8" s="1"/>
  <c r="B1358" i="8" s="1"/>
  <c r="B1359" i="8" s="1"/>
  <c r="B1360" i="8" s="1"/>
  <c r="B1361" i="8" s="1"/>
  <c r="B1362" i="8" s="1"/>
  <c r="B1363" i="8" s="1"/>
  <c r="B1364" i="8" s="1"/>
  <c r="B1365" i="8" s="1"/>
  <c r="B1366" i="8" s="1"/>
  <c r="B1367" i="8" s="1"/>
  <c r="B1368" i="8" s="1"/>
  <c r="B1369" i="8" s="1"/>
  <c r="B1370" i="8" s="1"/>
  <c r="B1371" i="8" s="1"/>
  <c r="B1372" i="8" s="1"/>
  <c r="B1373" i="8" s="1"/>
  <c r="B1374" i="8" s="1"/>
  <c r="B1375" i="8" s="1"/>
  <c r="B1376" i="8" s="1"/>
  <c r="B1377" i="8" s="1"/>
  <c r="B1378" i="8" s="1"/>
  <c r="B1379" i="8" s="1"/>
  <c r="B1380" i="8" s="1"/>
  <c r="B1381" i="8" s="1"/>
  <c r="B1382" i="8" s="1"/>
  <c r="B1383" i="8" s="1"/>
  <c r="B1384" i="8" s="1"/>
  <c r="B1385" i="8" s="1"/>
  <c r="B1386" i="8" s="1"/>
  <c r="B1387" i="8" s="1"/>
  <c r="B1388" i="8" s="1"/>
  <c r="B1389" i="8" s="1"/>
  <c r="B1390" i="8" s="1"/>
  <c r="B1391" i="8" s="1"/>
  <c r="B1392" i="8" s="1"/>
  <c r="B1393" i="8" s="1"/>
  <c r="B1394" i="8" s="1"/>
  <c r="B1395" i="8" s="1"/>
  <c r="B1396" i="8" s="1"/>
  <c r="B1397" i="8" s="1"/>
  <c r="B1398" i="8" s="1"/>
  <c r="B1399" i="8" s="1"/>
  <c r="B1400" i="8" s="1"/>
  <c r="B1401" i="8" s="1"/>
  <c r="B1402" i="8" s="1"/>
  <c r="B1403" i="8" s="1"/>
  <c r="B1404" i="8" s="1"/>
  <c r="B1405" i="8" s="1"/>
  <c r="B1406" i="8" s="1"/>
  <c r="B1407" i="8" s="1"/>
  <c r="B1408" i="8" s="1"/>
  <c r="B1409" i="8" s="1"/>
  <c r="B1410" i="8" s="1"/>
  <c r="B1411" i="8" s="1"/>
  <c r="B1412" i="8" s="1"/>
  <c r="B1413" i="8" s="1"/>
  <c r="B1414" i="8" s="1"/>
  <c r="B1415" i="8" s="1"/>
  <c r="B1416" i="8" s="1"/>
  <c r="B1417" i="8" s="1"/>
  <c r="B1418" i="8" s="1"/>
  <c r="B1419" i="8" s="1"/>
  <c r="B1420" i="8" s="1"/>
  <c r="B1421" i="8" s="1"/>
  <c r="B1422" i="8" s="1"/>
  <c r="B1423" i="8" s="1"/>
  <c r="B1424" i="8" s="1"/>
  <c r="B1425" i="8" s="1"/>
  <c r="B1426" i="8" s="1"/>
  <c r="B1427" i="8" s="1"/>
  <c r="B1428" i="8" s="1"/>
  <c r="B1429" i="8" s="1"/>
  <c r="B1430" i="8" s="1"/>
  <c r="B1431" i="8" s="1"/>
  <c r="C419" i="8"/>
  <c r="C315" i="8"/>
  <c r="E315" i="8" s="1"/>
  <c r="E314" i="8"/>
  <c r="C211" i="8"/>
  <c r="C212" i="8" s="1"/>
  <c r="C524" i="8"/>
  <c r="C525" i="8" s="1"/>
  <c r="C526" i="8" s="1"/>
  <c r="N346" i="8" l="1"/>
  <c r="D345" i="8"/>
  <c r="A345" i="8"/>
  <c r="N113" i="8"/>
  <c r="D112" i="8"/>
  <c r="A112" i="8"/>
  <c r="N1173" i="8"/>
  <c r="D1172" i="8"/>
  <c r="E1172" i="8" s="1"/>
  <c r="A1172" i="8"/>
  <c r="C1353" i="8"/>
  <c r="C1225" i="8"/>
  <c r="C1104" i="8"/>
  <c r="E1103" i="8"/>
  <c r="E3" i="8"/>
  <c r="C5" i="8"/>
  <c r="C6" i="8" s="1"/>
  <c r="E4" i="8"/>
  <c r="C846" i="8"/>
  <c r="C420" i="8"/>
  <c r="C631" i="8"/>
  <c r="C213" i="8"/>
  <c r="C214" i="8" s="1"/>
  <c r="C316" i="8"/>
  <c r="E316" i="8" s="1"/>
  <c r="C108" i="8"/>
  <c r="C527" i="8"/>
  <c r="C736" i="8"/>
  <c r="N114" i="8" l="1"/>
  <c r="D113" i="8"/>
  <c r="A113" i="8"/>
  <c r="E5" i="8"/>
  <c r="D1173" i="8"/>
  <c r="E1173" i="8" s="1"/>
  <c r="N1174" i="8"/>
  <c r="A1173" i="8"/>
  <c r="N347" i="8"/>
  <c r="D346" i="8"/>
  <c r="A346" i="8"/>
  <c r="C1354" i="8"/>
  <c r="C1226" i="8"/>
  <c r="E1104" i="8"/>
  <c r="C1105" i="8"/>
  <c r="C847" i="8"/>
  <c r="C421" i="8"/>
  <c r="C422" i="8" s="1"/>
  <c r="C632" i="8"/>
  <c r="C317" i="8"/>
  <c r="E317" i="8" s="1"/>
  <c r="E108" i="8"/>
  <c r="C109" i="8"/>
  <c r="C737" i="8"/>
  <c r="C528" i="8"/>
  <c r="C7" i="8"/>
  <c r="E6" i="8"/>
  <c r="C215" i="8"/>
  <c r="N348" i="8" l="1"/>
  <c r="D347" i="8"/>
  <c r="A347" i="8"/>
  <c r="N115" i="8"/>
  <c r="D114" i="8"/>
  <c r="A114" i="8"/>
  <c r="D1174" i="8"/>
  <c r="E1174" i="8" s="1"/>
  <c r="N1175" i="8"/>
  <c r="A1174" i="8"/>
  <c r="C1355" i="8"/>
  <c r="C1227" i="8"/>
  <c r="E1105" i="8"/>
  <c r="C1106" i="8"/>
  <c r="C633" i="8"/>
  <c r="C848" i="8"/>
  <c r="C318" i="8"/>
  <c r="C319" i="8" s="1"/>
  <c r="C738" i="8"/>
  <c r="C110" i="8"/>
  <c r="E109" i="8"/>
  <c r="C634" i="8"/>
  <c r="C216" i="8"/>
  <c r="C529" i="8"/>
  <c r="C423" i="8"/>
  <c r="C8" i="8"/>
  <c r="E7" i="8"/>
  <c r="D1175" i="8" l="1"/>
  <c r="E1175" i="8" s="1"/>
  <c r="N1176" i="8"/>
  <c r="A1175" i="8"/>
  <c r="N116" i="8"/>
  <c r="D115" i="8"/>
  <c r="A115" i="8"/>
  <c r="N349" i="8"/>
  <c r="D348" i="8"/>
  <c r="A348" i="8"/>
  <c r="C1356" i="8"/>
  <c r="C1228" i="8"/>
  <c r="E1106" i="8"/>
  <c r="C1107" i="8"/>
  <c r="E318" i="8"/>
  <c r="C849" i="8"/>
  <c r="C111" i="8"/>
  <c r="E110" i="8"/>
  <c r="C739" i="8"/>
  <c r="C740" i="8" s="1"/>
  <c r="C741" i="8" s="1"/>
  <c r="C742" i="8" s="1"/>
  <c r="C743" i="8" s="1"/>
  <c r="C744" i="8" s="1"/>
  <c r="C9" i="8"/>
  <c r="E8" i="8"/>
  <c r="E319" i="8"/>
  <c r="C320" i="8"/>
  <c r="C217" i="8"/>
  <c r="C424" i="8"/>
  <c r="C530" i="8"/>
  <c r="C635" i="8"/>
  <c r="N117" i="8" l="1"/>
  <c r="D116" i="8"/>
  <c r="A116" i="8"/>
  <c r="N350" i="8"/>
  <c r="D349" i="8"/>
  <c r="A349" i="8"/>
  <c r="D1176" i="8"/>
  <c r="E1176" i="8" s="1"/>
  <c r="N1177" i="8"/>
  <c r="A1176" i="8"/>
  <c r="C1357" i="8"/>
  <c r="C1229" i="8"/>
  <c r="C1108" i="8"/>
  <c r="E1107" i="8"/>
  <c r="C850" i="8"/>
  <c r="C745" i="8"/>
  <c r="C112" i="8"/>
  <c r="E111" i="8"/>
  <c r="C531" i="8"/>
  <c r="C636" i="8"/>
  <c r="C321" i="8"/>
  <c r="E320" i="8"/>
  <c r="C218" i="8"/>
  <c r="C425" i="8"/>
  <c r="C10" i="8"/>
  <c r="E9" i="8"/>
  <c r="D1177" i="8" l="1"/>
  <c r="E1177" i="8" s="1"/>
  <c r="N1178" i="8"/>
  <c r="A1177" i="8"/>
  <c r="N351" i="8"/>
  <c r="D350" i="8"/>
  <c r="A350" i="8"/>
  <c r="N118" i="8"/>
  <c r="D117" i="8"/>
  <c r="A117" i="8"/>
  <c r="C1358" i="8"/>
  <c r="C1230" i="8"/>
  <c r="E1108" i="8"/>
  <c r="C1109" i="8"/>
  <c r="C851" i="8"/>
  <c r="C746" i="8"/>
  <c r="C113" i="8"/>
  <c r="E112" i="8"/>
  <c r="C426" i="8"/>
  <c r="E321" i="8"/>
  <c r="C322" i="8"/>
  <c r="C219" i="8"/>
  <c r="C637" i="8"/>
  <c r="C11" i="8"/>
  <c r="E10" i="8"/>
  <c r="C532" i="8"/>
  <c r="N352" i="8" l="1"/>
  <c r="D351" i="8"/>
  <c r="A351" i="8"/>
  <c r="N119" i="8"/>
  <c r="D118" i="8"/>
  <c r="A118" i="8"/>
  <c r="D1178" i="8"/>
  <c r="E1178" i="8" s="1"/>
  <c r="N1179" i="8"/>
  <c r="A1178" i="8"/>
  <c r="C1359" i="8"/>
  <c r="C1231" i="8"/>
  <c r="E1109" i="8"/>
  <c r="C1110" i="8"/>
  <c r="C852" i="8"/>
  <c r="C747" i="8"/>
  <c r="C114" i="8"/>
  <c r="E113" i="8"/>
  <c r="C323" i="8"/>
  <c r="E322" i="8"/>
  <c r="C12" i="8"/>
  <c r="E11" i="8"/>
  <c r="C220" i="8"/>
  <c r="C533" i="8"/>
  <c r="C638" i="8"/>
  <c r="C427" i="8"/>
  <c r="D1179" i="8" l="1"/>
  <c r="E1179" i="8" s="1"/>
  <c r="N1180" i="8"/>
  <c r="A1179" i="8"/>
  <c r="N120" i="8"/>
  <c r="D119" i="8"/>
  <c r="A119" i="8"/>
  <c r="N353" i="8"/>
  <c r="D352" i="8"/>
  <c r="A352" i="8"/>
  <c r="C1360" i="8"/>
  <c r="C1232" i="8"/>
  <c r="E1110" i="8"/>
  <c r="C1111" i="8"/>
  <c r="C853" i="8"/>
  <c r="C748" i="8"/>
  <c r="E114" i="8"/>
  <c r="C115" i="8"/>
  <c r="C534" i="8"/>
  <c r="C13" i="8"/>
  <c r="E12" i="8"/>
  <c r="C428" i="8"/>
  <c r="C639" i="8"/>
  <c r="C221" i="8"/>
  <c r="E323" i="8"/>
  <c r="C324" i="8"/>
  <c r="N354" i="8" l="1"/>
  <c r="D353" i="8"/>
  <c r="A353" i="8"/>
  <c r="D1180" i="8"/>
  <c r="E1180" i="8" s="1"/>
  <c r="N1181" i="8"/>
  <c r="A1180" i="8"/>
  <c r="N121" i="8"/>
  <c r="D120" i="8"/>
  <c r="A120" i="8"/>
  <c r="C1361" i="8"/>
  <c r="C1233" i="8"/>
  <c r="C1112" i="8"/>
  <c r="E1111" i="8"/>
  <c r="C854" i="8"/>
  <c r="C749" i="8"/>
  <c r="C116" i="8"/>
  <c r="E115" i="8"/>
  <c r="C14" i="8"/>
  <c r="E13" i="8"/>
  <c r="C222" i="8"/>
  <c r="E324" i="8"/>
  <c r="C325" i="8"/>
  <c r="C429" i="8"/>
  <c r="C640" i="8"/>
  <c r="C535" i="8"/>
  <c r="N122" i="8" l="1"/>
  <c r="D121" i="8"/>
  <c r="A121" i="8"/>
  <c r="D1181" i="8"/>
  <c r="E1181" i="8" s="1"/>
  <c r="N1182" i="8"/>
  <c r="A1181" i="8"/>
  <c r="N355" i="8"/>
  <c r="D354" i="8"/>
  <c r="A354" i="8"/>
  <c r="C1362" i="8"/>
  <c r="C1234" i="8"/>
  <c r="E1112" i="8"/>
  <c r="C1113" i="8"/>
  <c r="C855" i="8"/>
  <c r="C750" i="8"/>
  <c r="C117" i="8"/>
  <c r="E116" i="8"/>
  <c r="C430" i="8"/>
  <c r="C536" i="8"/>
  <c r="E325" i="8"/>
  <c r="C326" i="8"/>
  <c r="C641" i="8"/>
  <c r="C223" i="8"/>
  <c r="C15" i="8"/>
  <c r="E14" i="8"/>
  <c r="C1363" i="8" l="1"/>
  <c r="C1364" i="8" s="1"/>
  <c r="C1365" i="8" s="1"/>
  <c r="C1366" i="8" s="1"/>
  <c r="C1367" i="8" s="1"/>
  <c r="C1368" i="8" s="1"/>
  <c r="C1369" i="8" s="1"/>
  <c r="C1370" i="8" s="1"/>
  <c r="C1371" i="8" s="1"/>
  <c r="C1372" i="8" s="1"/>
  <c r="C1373" i="8" s="1"/>
  <c r="C1374" i="8" s="1"/>
  <c r="C1375" i="8" s="1"/>
  <c r="N356" i="8"/>
  <c r="D355" i="8"/>
  <c r="A355" i="8"/>
  <c r="D1182" i="8"/>
  <c r="E1182" i="8" s="1"/>
  <c r="N1183" i="8"/>
  <c r="A1182" i="8"/>
  <c r="N123" i="8"/>
  <c r="D122" i="8"/>
  <c r="A122" i="8"/>
  <c r="C1235" i="8"/>
  <c r="E1113" i="8"/>
  <c r="C1114" i="8"/>
  <c r="C856" i="8"/>
  <c r="C751" i="8"/>
  <c r="E117" i="8"/>
  <c r="C118" i="8"/>
  <c r="C537" i="8"/>
  <c r="C642" i="8"/>
  <c r="E326" i="8"/>
  <c r="C327" i="8"/>
  <c r="C16" i="8"/>
  <c r="E15" i="8"/>
  <c r="C224" i="8"/>
  <c r="C431" i="8"/>
  <c r="D1183" i="8" l="1"/>
  <c r="E1183" i="8" s="1"/>
  <c r="N1184" i="8"/>
  <c r="A1183" i="8"/>
  <c r="N357" i="8"/>
  <c r="D356" i="8"/>
  <c r="A356" i="8"/>
  <c r="N124" i="8"/>
  <c r="D123" i="8"/>
  <c r="A123" i="8"/>
  <c r="C1236" i="8"/>
  <c r="E1114" i="8"/>
  <c r="C1115" i="8"/>
  <c r="C857" i="8"/>
  <c r="C752" i="8"/>
  <c r="C119" i="8"/>
  <c r="E118" i="8"/>
  <c r="E327" i="8"/>
  <c r="C328" i="8"/>
  <c r="C225" i="8"/>
  <c r="C432" i="8"/>
  <c r="E16" i="8"/>
  <c r="C17" i="8"/>
  <c r="C643" i="8"/>
  <c r="C538" i="8"/>
  <c r="N125" i="8" l="1"/>
  <c r="D124" i="8"/>
  <c r="A124" i="8"/>
  <c r="N358" i="8"/>
  <c r="D357" i="8"/>
  <c r="A357" i="8"/>
  <c r="N1185" i="8"/>
  <c r="D1184" i="8"/>
  <c r="E1184" i="8" s="1"/>
  <c r="A1184" i="8"/>
  <c r="C1237" i="8"/>
  <c r="C1116" i="8"/>
  <c r="E1115" i="8"/>
  <c r="C858" i="8"/>
  <c r="C753" i="8"/>
  <c r="C120" i="8"/>
  <c r="E119" i="8"/>
  <c r="C18" i="8"/>
  <c r="E17" i="8"/>
  <c r="E328" i="8"/>
  <c r="C329" i="8"/>
  <c r="C644" i="8"/>
  <c r="C433" i="8"/>
  <c r="C539" i="8"/>
  <c r="C226" i="8"/>
  <c r="N359" i="8" l="1"/>
  <c r="D358" i="8"/>
  <c r="A358" i="8"/>
  <c r="N1186" i="8"/>
  <c r="D1185" i="8"/>
  <c r="E1185" i="8" s="1"/>
  <c r="A1185" i="8"/>
  <c r="N126" i="8"/>
  <c r="D125" i="8"/>
  <c r="A125" i="8"/>
  <c r="C1238" i="8"/>
  <c r="E1116" i="8"/>
  <c r="C1117" i="8"/>
  <c r="C859" i="8"/>
  <c r="C754" i="8"/>
  <c r="C121" i="8"/>
  <c r="E120" i="8"/>
  <c r="C434" i="8"/>
  <c r="C330" i="8"/>
  <c r="E329" i="8"/>
  <c r="C540" i="8"/>
  <c r="C227" i="8"/>
  <c r="C645" i="8"/>
  <c r="C19" i="8"/>
  <c r="E18" i="8"/>
  <c r="N127" i="8" l="1"/>
  <c r="D126" i="8"/>
  <c r="A126" i="8"/>
  <c r="N1187" i="8"/>
  <c r="D1186" i="8"/>
  <c r="E1186" i="8" s="1"/>
  <c r="A1186" i="8"/>
  <c r="N360" i="8"/>
  <c r="D359" i="8"/>
  <c r="A359" i="8"/>
  <c r="C1239" i="8"/>
  <c r="C1118" i="8"/>
  <c r="E1117" i="8"/>
  <c r="C860" i="8"/>
  <c r="C755" i="8"/>
  <c r="E121" i="8"/>
  <c r="C122" i="8"/>
  <c r="C646" i="8"/>
  <c r="C228" i="8"/>
  <c r="E330" i="8"/>
  <c r="C331" i="8"/>
  <c r="C20" i="8"/>
  <c r="E19" i="8"/>
  <c r="C541" i="8"/>
  <c r="C435" i="8"/>
  <c r="N1188" i="8" l="1"/>
  <c r="D1187" i="8"/>
  <c r="E1187" i="8" s="1"/>
  <c r="A1187" i="8"/>
  <c r="N361" i="8"/>
  <c r="D360" i="8"/>
  <c r="A360" i="8"/>
  <c r="N128" i="8"/>
  <c r="D127" i="8"/>
  <c r="A127" i="8"/>
  <c r="C1240" i="8"/>
  <c r="C1119" i="8"/>
  <c r="E1118" i="8"/>
  <c r="C861" i="8"/>
  <c r="C756" i="8"/>
  <c r="C123" i="8"/>
  <c r="E122" i="8"/>
  <c r="C542" i="8"/>
  <c r="C21" i="8"/>
  <c r="E20" i="8"/>
  <c r="C229" i="8"/>
  <c r="C436" i="8"/>
  <c r="C332" i="8"/>
  <c r="E331" i="8"/>
  <c r="C647" i="8"/>
  <c r="N362" i="8" l="1"/>
  <c r="D361" i="8"/>
  <c r="A361" i="8"/>
  <c r="N129" i="8"/>
  <c r="D128" i="8"/>
  <c r="A128" i="8"/>
  <c r="N1189" i="8"/>
  <c r="D1188" i="8"/>
  <c r="E1188" i="8" s="1"/>
  <c r="A1188" i="8"/>
  <c r="C1241" i="8"/>
  <c r="C1120" i="8"/>
  <c r="E1119" i="8"/>
  <c r="C862" i="8"/>
  <c r="C757" i="8"/>
  <c r="E123" i="8"/>
  <c r="C124" i="8"/>
  <c r="E332" i="8"/>
  <c r="C333" i="8"/>
  <c r="C437" i="8"/>
  <c r="C22" i="8"/>
  <c r="E21" i="8"/>
  <c r="C648" i="8"/>
  <c r="C230" i="8"/>
  <c r="C543" i="8"/>
  <c r="N130" i="8" l="1"/>
  <c r="D129" i="8"/>
  <c r="A129" i="8"/>
  <c r="N1190" i="8"/>
  <c r="D1189" i="8"/>
  <c r="E1189" i="8" s="1"/>
  <c r="A1189" i="8"/>
  <c r="N363" i="8"/>
  <c r="D362" i="8"/>
  <c r="A362" i="8"/>
  <c r="C1242" i="8"/>
  <c r="C1121" i="8"/>
  <c r="E1120" i="8"/>
  <c r="C863" i="8"/>
  <c r="C758" i="8"/>
  <c r="E124" i="8"/>
  <c r="C125" i="8"/>
  <c r="C23" i="8"/>
  <c r="E22" i="8"/>
  <c r="C231" i="8"/>
  <c r="C649" i="8"/>
  <c r="C438" i="8"/>
  <c r="C544" i="8"/>
  <c r="E333" i="8"/>
  <c r="C334" i="8"/>
  <c r="N1191" i="8" l="1"/>
  <c r="D1190" i="8"/>
  <c r="E1190" i="8" s="1"/>
  <c r="A1190" i="8"/>
  <c r="N364" i="8"/>
  <c r="D363" i="8"/>
  <c r="A363" i="8"/>
  <c r="N131" i="8"/>
  <c r="D130" i="8"/>
  <c r="A130" i="8"/>
  <c r="C1243" i="8"/>
  <c r="C1122" i="8"/>
  <c r="E1121" i="8"/>
  <c r="C864" i="8"/>
  <c r="C759" i="8"/>
  <c r="E125" i="8"/>
  <c r="C126" i="8"/>
  <c r="C439" i="8"/>
  <c r="C232" i="8"/>
  <c r="C335" i="8"/>
  <c r="E334" i="8"/>
  <c r="C650" i="8"/>
  <c r="C545" i="8"/>
  <c r="C24" i="8"/>
  <c r="E23" i="8"/>
  <c r="N365" i="8" l="1"/>
  <c r="D364" i="8"/>
  <c r="A364" i="8"/>
  <c r="N132" i="8"/>
  <c r="D131" i="8"/>
  <c r="A131" i="8"/>
  <c r="N1192" i="8"/>
  <c r="D1191" i="8"/>
  <c r="E1191" i="8" s="1"/>
  <c r="A1191" i="8"/>
  <c r="C1244" i="8"/>
  <c r="C1123" i="8"/>
  <c r="E1122" i="8"/>
  <c r="C865" i="8"/>
  <c r="C760" i="8"/>
  <c r="E126" i="8"/>
  <c r="C127" i="8"/>
  <c r="C25" i="8"/>
  <c r="E24" i="8"/>
  <c r="C651" i="8"/>
  <c r="C546" i="8"/>
  <c r="C336" i="8"/>
  <c r="E335" i="8"/>
  <c r="C233" i="8"/>
  <c r="C440" i="8"/>
  <c r="N133" i="8" l="1"/>
  <c r="D132" i="8"/>
  <c r="A132" i="8"/>
  <c r="N1193" i="8"/>
  <c r="D1192" i="8"/>
  <c r="E1192" i="8" s="1"/>
  <c r="A1192" i="8"/>
  <c r="N366" i="8"/>
  <c r="D365" i="8"/>
  <c r="A365" i="8"/>
  <c r="C1245" i="8"/>
  <c r="C1124" i="8"/>
  <c r="E1123" i="8"/>
  <c r="C866" i="8"/>
  <c r="C761" i="8"/>
  <c r="E127" i="8"/>
  <c r="C128" i="8"/>
  <c r="C337" i="8"/>
  <c r="E336" i="8"/>
  <c r="C234" i="8"/>
  <c r="C547" i="8"/>
  <c r="E25" i="8"/>
  <c r="C26" i="8"/>
  <c r="C441" i="8"/>
  <c r="C652" i="8"/>
  <c r="N1194" i="8" l="1"/>
  <c r="D1193" i="8"/>
  <c r="E1193" i="8" s="1"/>
  <c r="A1193" i="8"/>
  <c r="N367" i="8"/>
  <c r="D366" i="8"/>
  <c r="A366" i="8"/>
  <c r="N134" i="8"/>
  <c r="D133" i="8"/>
  <c r="A133" i="8"/>
  <c r="C1246" i="8"/>
  <c r="C1125" i="8"/>
  <c r="E1124" i="8"/>
  <c r="C867" i="8"/>
  <c r="C762" i="8"/>
  <c r="C129" i="8"/>
  <c r="E128" i="8"/>
  <c r="E26" i="8"/>
  <c r="C27" i="8"/>
  <c r="C548" i="8"/>
  <c r="C653" i="8"/>
  <c r="E234" i="8"/>
  <c r="C235" i="8"/>
  <c r="C442" i="8"/>
  <c r="E337" i="8"/>
  <c r="C338" i="8"/>
  <c r="N368" i="8" l="1"/>
  <c r="D367" i="8"/>
  <c r="A367" i="8"/>
  <c r="N135" i="8"/>
  <c r="D134" i="8"/>
  <c r="A134" i="8"/>
  <c r="N1195" i="8"/>
  <c r="D1194" i="8"/>
  <c r="E1194" i="8" s="1"/>
  <c r="A1194" i="8"/>
  <c r="C1247" i="8"/>
  <c r="C1126" i="8"/>
  <c r="E1125" i="8"/>
  <c r="C868" i="8"/>
  <c r="C763" i="8"/>
  <c r="C130" i="8"/>
  <c r="E129" i="8"/>
  <c r="C443" i="8"/>
  <c r="C654" i="8"/>
  <c r="C339" i="8"/>
  <c r="E338" i="8"/>
  <c r="E235" i="8"/>
  <c r="C236" i="8"/>
  <c r="C549" i="8"/>
  <c r="C28" i="8"/>
  <c r="E27" i="8"/>
  <c r="N136" i="8" l="1"/>
  <c r="D135" i="8"/>
  <c r="A135" i="8"/>
  <c r="N1196" i="8"/>
  <c r="D1195" i="8"/>
  <c r="E1195" i="8" s="1"/>
  <c r="A1195" i="8"/>
  <c r="N369" i="8"/>
  <c r="D368" i="8"/>
  <c r="A368" i="8"/>
  <c r="C1248" i="8"/>
  <c r="C1127" i="8"/>
  <c r="E1126" i="8"/>
  <c r="C869" i="8"/>
  <c r="C764" i="8"/>
  <c r="E130" i="8"/>
  <c r="C131" i="8"/>
  <c r="E339" i="8"/>
  <c r="C340" i="8"/>
  <c r="E28" i="8"/>
  <c r="C29" i="8"/>
  <c r="C550" i="8"/>
  <c r="C444" i="8"/>
  <c r="E236" i="8"/>
  <c r="C237" i="8"/>
  <c r="C655" i="8"/>
  <c r="N1197" i="8" l="1"/>
  <c r="D1196" i="8"/>
  <c r="E1196" i="8" s="1"/>
  <c r="A1196" i="8"/>
  <c r="N370" i="8"/>
  <c r="D369" i="8"/>
  <c r="A369" i="8"/>
  <c r="N137" i="8"/>
  <c r="D136" i="8"/>
  <c r="A136" i="8"/>
  <c r="C1249" i="8"/>
  <c r="C1128" i="8"/>
  <c r="E1127" i="8"/>
  <c r="C870" i="8"/>
  <c r="C765" i="8"/>
  <c r="E131" i="8"/>
  <c r="C132" i="8"/>
  <c r="E29" i="8"/>
  <c r="C30" i="8"/>
  <c r="C656" i="8"/>
  <c r="C445" i="8"/>
  <c r="C238" i="8"/>
  <c r="E237" i="8"/>
  <c r="C551" i="8"/>
  <c r="E340" i="8"/>
  <c r="C341" i="8"/>
  <c r="N371" i="8" l="1"/>
  <c r="D370" i="8"/>
  <c r="A370" i="8"/>
  <c r="N138" i="8"/>
  <c r="D137" i="8"/>
  <c r="A137" i="8"/>
  <c r="N1198" i="8"/>
  <c r="D1197" i="8"/>
  <c r="E1197" i="8" s="1"/>
  <c r="A1197" i="8"/>
  <c r="C1250" i="8"/>
  <c r="C1129" i="8"/>
  <c r="E1128" i="8"/>
  <c r="C871" i="8"/>
  <c r="C766" i="8"/>
  <c r="C133" i="8"/>
  <c r="E132" i="8"/>
  <c r="C552" i="8"/>
  <c r="C446" i="8"/>
  <c r="E30" i="8"/>
  <c r="C31" i="8"/>
  <c r="C342" i="8"/>
  <c r="E341" i="8"/>
  <c r="C239" i="8"/>
  <c r="E238" i="8"/>
  <c r="C657" i="8"/>
  <c r="N139" i="8" l="1"/>
  <c r="D138" i="8"/>
  <c r="A138" i="8"/>
  <c r="N1199" i="8"/>
  <c r="D1198" i="8"/>
  <c r="E1198" i="8" s="1"/>
  <c r="A1198" i="8"/>
  <c r="N372" i="8"/>
  <c r="D371" i="8"/>
  <c r="A371" i="8"/>
  <c r="C1251" i="8"/>
  <c r="C1130" i="8"/>
  <c r="E1129" i="8"/>
  <c r="C872" i="8"/>
  <c r="C767" i="8"/>
  <c r="E133" i="8"/>
  <c r="C134" i="8"/>
  <c r="E239" i="8"/>
  <c r="C240" i="8"/>
  <c r="C32" i="8"/>
  <c r="E31" i="8"/>
  <c r="C553" i="8"/>
  <c r="C658" i="8"/>
  <c r="C343" i="8"/>
  <c r="E342" i="8"/>
  <c r="C447" i="8"/>
  <c r="N1200" i="8" l="1"/>
  <c r="D1199" i="8"/>
  <c r="E1199" i="8" s="1"/>
  <c r="A1199" i="8"/>
  <c r="N373" i="8"/>
  <c r="D372" i="8"/>
  <c r="A372" i="8"/>
  <c r="N140" i="8"/>
  <c r="D139" i="8"/>
  <c r="A139" i="8"/>
  <c r="C1252" i="8"/>
  <c r="C1131" i="8"/>
  <c r="E1130" i="8"/>
  <c r="C873" i="8"/>
  <c r="C768" i="8"/>
  <c r="E134" i="8"/>
  <c r="C135" i="8"/>
  <c r="C344" i="8"/>
  <c r="E343" i="8"/>
  <c r="C554" i="8"/>
  <c r="C241" i="8"/>
  <c r="E240" i="8"/>
  <c r="C448" i="8"/>
  <c r="C659" i="8"/>
  <c r="C33" i="8"/>
  <c r="E32" i="8"/>
  <c r="N374" i="8" l="1"/>
  <c r="D373" i="8"/>
  <c r="A373" i="8"/>
  <c r="N141" i="8"/>
  <c r="D140" i="8"/>
  <c r="A140" i="8"/>
  <c r="N1201" i="8"/>
  <c r="D1200" i="8"/>
  <c r="E1200" i="8" s="1"/>
  <c r="A1200" i="8"/>
  <c r="C1253" i="8"/>
  <c r="C1132" i="8"/>
  <c r="E1131" i="8"/>
  <c r="C874" i="8"/>
  <c r="C769" i="8"/>
  <c r="C136" i="8"/>
  <c r="E135" i="8"/>
  <c r="E33" i="8"/>
  <c r="C34" i="8"/>
  <c r="C449" i="8"/>
  <c r="C555" i="8"/>
  <c r="C660" i="8"/>
  <c r="E241" i="8"/>
  <c r="C242" i="8"/>
  <c r="E344" i="8"/>
  <c r="C345" i="8"/>
  <c r="N142" i="8" l="1"/>
  <c r="D141" i="8"/>
  <c r="A141" i="8"/>
  <c r="N1202" i="8"/>
  <c r="D1201" i="8"/>
  <c r="E1201" i="8" s="1"/>
  <c r="A1201" i="8"/>
  <c r="N375" i="8"/>
  <c r="D374" i="8"/>
  <c r="A374" i="8"/>
  <c r="C1254" i="8"/>
  <c r="C1133" i="8"/>
  <c r="E1132" i="8"/>
  <c r="C875" i="8"/>
  <c r="C770" i="8"/>
  <c r="C137" i="8"/>
  <c r="E136" i="8"/>
  <c r="E242" i="8"/>
  <c r="C243" i="8"/>
  <c r="C450" i="8"/>
  <c r="C346" i="8"/>
  <c r="E345" i="8"/>
  <c r="C556" i="8"/>
  <c r="E34" i="8"/>
  <c r="C35" i="8"/>
  <c r="C661" i="8"/>
  <c r="N1203" i="8" l="1"/>
  <c r="D1202" i="8"/>
  <c r="E1202" i="8" s="1"/>
  <c r="A1202" i="8"/>
  <c r="N376" i="8"/>
  <c r="D375" i="8"/>
  <c r="A375" i="8"/>
  <c r="N143" i="8"/>
  <c r="D142" i="8"/>
  <c r="A142" i="8"/>
  <c r="C1255" i="8"/>
  <c r="C1134" i="8"/>
  <c r="E1133" i="8"/>
  <c r="C876" i="8"/>
  <c r="C771" i="8"/>
  <c r="E137" i="8"/>
  <c r="C138" i="8"/>
  <c r="C557" i="8"/>
  <c r="E35" i="8"/>
  <c r="C36" i="8"/>
  <c r="C451" i="8"/>
  <c r="C347" i="8"/>
  <c r="E346" i="8"/>
  <c r="C662" i="8"/>
  <c r="E243" i="8"/>
  <c r="C244" i="8"/>
  <c r="N377" i="8" l="1"/>
  <c r="D376" i="8"/>
  <c r="A376" i="8"/>
  <c r="N144" i="8"/>
  <c r="D143" i="8"/>
  <c r="A143" i="8"/>
  <c r="N1204" i="8"/>
  <c r="D1203" i="8"/>
  <c r="E1203" i="8" s="1"/>
  <c r="A1203" i="8"/>
  <c r="C1256" i="8"/>
  <c r="C1135" i="8"/>
  <c r="E1134" i="8"/>
  <c r="C877" i="8"/>
  <c r="C772" i="8"/>
  <c r="C139" i="8"/>
  <c r="E138" i="8"/>
  <c r="C37" i="8"/>
  <c r="E36" i="8"/>
  <c r="E347" i="8"/>
  <c r="C348" i="8"/>
  <c r="C245" i="8"/>
  <c r="E244" i="8"/>
  <c r="C663" i="8"/>
  <c r="C452" i="8"/>
  <c r="C558" i="8"/>
  <c r="N145" i="8" l="1"/>
  <c r="D144" i="8"/>
  <c r="A144" i="8"/>
  <c r="N1205" i="8"/>
  <c r="D1204" i="8"/>
  <c r="E1204" i="8" s="1"/>
  <c r="A1204" i="8"/>
  <c r="N378" i="8"/>
  <c r="D377" i="8"/>
  <c r="A377" i="8"/>
  <c r="C1257" i="8"/>
  <c r="C1136" i="8"/>
  <c r="E1135" i="8"/>
  <c r="C878" i="8"/>
  <c r="C773" i="8"/>
  <c r="E139" i="8"/>
  <c r="C140" i="8"/>
  <c r="C453" i="8"/>
  <c r="E245" i="8"/>
  <c r="C246" i="8"/>
  <c r="E37" i="8"/>
  <c r="C38" i="8"/>
  <c r="C559" i="8"/>
  <c r="C664" i="8"/>
  <c r="C349" i="8"/>
  <c r="E348" i="8"/>
  <c r="N1206" i="8" l="1"/>
  <c r="D1205" i="8"/>
  <c r="E1205" i="8" s="1"/>
  <c r="A1205" i="8"/>
  <c r="N379" i="8"/>
  <c r="D378" i="8"/>
  <c r="A378" i="8"/>
  <c r="N146" i="8"/>
  <c r="D145" i="8"/>
  <c r="A145" i="8"/>
  <c r="C1258" i="8"/>
  <c r="C1137" i="8"/>
  <c r="E1136" i="8"/>
  <c r="C879" i="8"/>
  <c r="C774" i="8"/>
  <c r="E140" i="8"/>
  <c r="C141" i="8"/>
  <c r="C247" i="8"/>
  <c r="E246" i="8"/>
  <c r="C665" i="8"/>
  <c r="C39" i="8"/>
  <c r="E38" i="8"/>
  <c r="C350" i="8"/>
  <c r="E349" i="8"/>
  <c r="C560" i="8"/>
  <c r="C454" i="8"/>
  <c r="N380" i="8" l="1"/>
  <c r="D379" i="8"/>
  <c r="A379" i="8"/>
  <c r="N147" i="8"/>
  <c r="D146" i="8"/>
  <c r="A146" i="8"/>
  <c r="N1207" i="8"/>
  <c r="D1206" i="8"/>
  <c r="E1206" i="8" s="1"/>
  <c r="A1206" i="8"/>
  <c r="C1259" i="8"/>
  <c r="C1138" i="8"/>
  <c r="E1137" i="8"/>
  <c r="C880" i="8"/>
  <c r="C775" i="8"/>
  <c r="E141" i="8"/>
  <c r="C142" i="8"/>
  <c r="C455" i="8"/>
  <c r="C561" i="8"/>
  <c r="C666" i="8"/>
  <c r="C351" i="8"/>
  <c r="E350" i="8"/>
  <c r="E39" i="8"/>
  <c r="C40" i="8"/>
  <c r="E247" i="8"/>
  <c r="C248" i="8"/>
  <c r="N148" i="8" l="1"/>
  <c r="D147" i="8"/>
  <c r="A147" i="8"/>
  <c r="N1208" i="8"/>
  <c r="D1207" i="8"/>
  <c r="E1207" i="8" s="1"/>
  <c r="A1207" i="8"/>
  <c r="N381" i="8"/>
  <c r="D380" i="8"/>
  <c r="A380" i="8"/>
  <c r="C1260" i="8"/>
  <c r="C1139" i="8"/>
  <c r="E1138" i="8"/>
  <c r="C881" i="8"/>
  <c r="C776" i="8"/>
  <c r="C143" i="8"/>
  <c r="E142" i="8"/>
  <c r="C41" i="8"/>
  <c r="E40" i="8"/>
  <c r="C667" i="8"/>
  <c r="C456" i="8"/>
  <c r="E248" i="8"/>
  <c r="C249" i="8"/>
  <c r="C352" i="8"/>
  <c r="E351" i="8"/>
  <c r="C562" i="8"/>
  <c r="N1209" i="8" l="1"/>
  <c r="D1208" i="8"/>
  <c r="E1208" i="8" s="1"/>
  <c r="A1208" i="8"/>
  <c r="N382" i="8"/>
  <c r="D381" i="8"/>
  <c r="A381" i="8"/>
  <c r="N149" i="8"/>
  <c r="D148" i="8"/>
  <c r="A148" i="8"/>
  <c r="C1261" i="8"/>
  <c r="C1140" i="8"/>
  <c r="E1139" i="8"/>
  <c r="C882" i="8"/>
  <c r="C777" i="8"/>
  <c r="E143" i="8"/>
  <c r="C144" i="8"/>
  <c r="C250" i="8"/>
  <c r="E249" i="8"/>
  <c r="C668" i="8"/>
  <c r="E352" i="8"/>
  <c r="C353" i="8"/>
  <c r="C563" i="8"/>
  <c r="C457" i="8"/>
  <c r="E41" i="8"/>
  <c r="C42" i="8"/>
  <c r="N383" i="8" l="1"/>
  <c r="D382" i="8"/>
  <c r="A382" i="8"/>
  <c r="N150" i="8"/>
  <c r="D149" i="8"/>
  <c r="A149" i="8"/>
  <c r="N1210" i="8"/>
  <c r="D1209" i="8"/>
  <c r="E1209" i="8" s="1"/>
  <c r="A1209" i="8"/>
  <c r="C1262" i="8"/>
  <c r="C1141" i="8"/>
  <c r="E1140" i="8"/>
  <c r="C883" i="8"/>
  <c r="C778" i="8"/>
  <c r="E144" i="8"/>
  <c r="C145" i="8"/>
  <c r="E353" i="8"/>
  <c r="C354" i="8"/>
  <c r="C458" i="8"/>
  <c r="E42" i="8"/>
  <c r="C43" i="8"/>
  <c r="C564" i="8"/>
  <c r="C669" i="8"/>
  <c r="E250" i="8"/>
  <c r="C251" i="8"/>
  <c r="N151" i="8" l="1"/>
  <c r="D150" i="8"/>
  <c r="A150" i="8"/>
  <c r="N1211" i="8"/>
  <c r="D1210" i="8"/>
  <c r="E1210" i="8" s="1"/>
  <c r="A1210" i="8"/>
  <c r="N384" i="8"/>
  <c r="D383" i="8"/>
  <c r="A383" i="8"/>
  <c r="C1263" i="8"/>
  <c r="C1142" i="8"/>
  <c r="E1141" i="8"/>
  <c r="C884" i="8"/>
  <c r="C779" i="8"/>
  <c r="E145" i="8"/>
  <c r="C146" i="8"/>
  <c r="E43" i="8"/>
  <c r="C44" i="8"/>
  <c r="C670" i="8"/>
  <c r="C252" i="8"/>
  <c r="E251" i="8"/>
  <c r="C565" i="8"/>
  <c r="C355" i="8"/>
  <c r="E354" i="8"/>
  <c r="C459" i="8"/>
  <c r="N1212" i="8" l="1"/>
  <c r="D1211" i="8"/>
  <c r="E1211" i="8" s="1"/>
  <c r="A1211" i="8"/>
  <c r="N385" i="8"/>
  <c r="D384" i="8"/>
  <c r="A384" i="8"/>
  <c r="N152" i="8"/>
  <c r="D151" i="8"/>
  <c r="A151" i="8"/>
  <c r="C1264" i="8"/>
  <c r="C1143" i="8"/>
  <c r="E1142" i="8"/>
  <c r="C885" i="8"/>
  <c r="C780" i="8"/>
  <c r="E146" i="8"/>
  <c r="C147" i="8"/>
  <c r="C356" i="8"/>
  <c r="E355" i="8"/>
  <c r="C253" i="8"/>
  <c r="E252" i="8"/>
  <c r="C671" i="8"/>
  <c r="C460" i="8"/>
  <c r="E44" i="8"/>
  <c r="C45" i="8"/>
  <c r="C566" i="8"/>
  <c r="N386" i="8" l="1"/>
  <c r="D385" i="8"/>
  <c r="A385" i="8"/>
  <c r="N153" i="8"/>
  <c r="D152" i="8"/>
  <c r="A152" i="8"/>
  <c r="N1213" i="8"/>
  <c r="D1212" i="8"/>
  <c r="E1212" i="8" s="1"/>
  <c r="A1212" i="8"/>
  <c r="E1143" i="8"/>
  <c r="C1144" i="8"/>
  <c r="C886" i="8"/>
  <c r="C781" i="8"/>
  <c r="E147" i="8"/>
  <c r="C148" i="8"/>
  <c r="C567" i="8"/>
  <c r="C46" i="8"/>
  <c r="E45" i="8"/>
  <c r="C461" i="8"/>
  <c r="C254" i="8"/>
  <c r="E253" i="8"/>
  <c r="C672" i="8"/>
  <c r="C357" i="8"/>
  <c r="E356" i="8"/>
  <c r="N1214" i="8" l="1"/>
  <c r="D1213" i="8"/>
  <c r="E1213" i="8" s="1"/>
  <c r="A1213" i="8"/>
  <c r="N154" i="8"/>
  <c r="D153" i="8"/>
  <c r="A153" i="8"/>
  <c r="N387" i="8"/>
  <c r="D386" i="8"/>
  <c r="A386" i="8"/>
  <c r="E1144" i="8"/>
  <c r="C1145" i="8"/>
  <c r="C887" i="8"/>
  <c r="C782" i="8"/>
  <c r="E148" i="8"/>
  <c r="C149" i="8"/>
  <c r="C462" i="8"/>
  <c r="C568" i="8"/>
  <c r="C673" i="8"/>
  <c r="C358" i="8"/>
  <c r="E357" i="8"/>
  <c r="E254" i="8"/>
  <c r="C255" i="8"/>
  <c r="E46" i="8"/>
  <c r="C47" i="8"/>
  <c r="N155" i="8" l="1"/>
  <c r="D154" i="8"/>
  <c r="A154" i="8"/>
  <c r="N388" i="8"/>
  <c r="D387" i="8"/>
  <c r="A387" i="8"/>
  <c r="N1215" i="8"/>
  <c r="D1214" i="8"/>
  <c r="E1214" i="8" s="1"/>
  <c r="A1214" i="8"/>
  <c r="C1146" i="8"/>
  <c r="E1145" i="8"/>
  <c r="C888" i="8"/>
  <c r="C783" i="8"/>
  <c r="C150" i="8"/>
  <c r="E149" i="8"/>
  <c r="C569" i="8"/>
  <c r="C48" i="8"/>
  <c r="E47" i="8"/>
  <c r="C359" i="8"/>
  <c r="E358" i="8"/>
  <c r="E255" i="8"/>
  <c r="C256" i="8"/>
  <c r="C674" i="8"/>
  <c r="C463" i="8"/>
  <c r="N389" i="8" l="1"/>
  <c r="D388" i="8"/>
  <c r="A388" i="8"/>
  <c r="N1216" i="8"/>
  <c r="D1215" i="8"/>
  <c r="E1215" i="8" s="1"/>
  <c r="A1215" i="8"/>
  <c r="N156" i="8"/>
  <c r="D155" i="8"/>
  <c r="A155" i="8"/>
  <c r="E1146" i="8"/>
  <c r="C1147" i="8"/>
  <c r="C889" i="8"/>
  <c r="C784" i="8"/>
  <c r="C151" i="8"/>
  <c r="E150" i="8"/>
  <c r="C257" i="8"/>
  <c r="E256" i="8"/>
  <c r="C464" i="8"/>
  <c r="C675" i="8"/>
  <c r="C570" i="8"/>
  <c r="E48" i="8"/>
  <c r="C49" i="8"/>
  <c r="E359" i="8"/>
  <c r="C360" i="8"/>
  <c r="N1217" i="8" l="1"/>
  <c r="D1216" i="8"/>
  <c r="E1216" i="8" s="1"/>
  <c r="A1216" i="8"/>
  <c r="N157" i="8"/>
  <c r="D156" i="8"/>
  <c r="A156" i="8"/>
  <c r="N390" i="8"/>
  <c r="D389" i="8"/>
  <c r="A389" i="8"/>
  <c r="C1148" i="8"/>
  <c r="E1147" i="8"/>
  <c r="C890" i="8"/>
  <c r="C785" i="8"/>
  <c r="C152" i="8"/>
  <c r="E151" i="8"/>
  <c r="C50" i="8"/>
  <c r="E49" i="8"/>
  <c r="C465" i="8"/>
  <c r="E360" i="8"/>
  <c r="C361" i="8"/>
  <c r="C571" i="8"/>
  <c r="C676" i="8"/>
  <c r="C258" i="8"/>
  <c r="E257" i="8"/>
  <c r="N158" i="8" l="1"/>
  <c r="D157" i="8"/>
  <c r="A157" i="8"/>
  <c r="N391" i="8"/>
  <c r="D390" i="8"/>
  <c r="A390" i="8"/>
  <c r="N1218" i="8"/>
  <c r="D1217" i="8"/>
  <c r="E1217" i="8" s="1"/>
  <c r="A1217" i="8"/>
  <c r="C1149" i="8"/>
  <c r="E1148" i="8"/>
  <c r="C891" i="8"/>
  <c r="C786" i="8"/>
  <c r="E152" i="8"/>
  <c r="C153" i="8"/>
  <c r="C466" i="8"/>
  <c r="C362" i="8"/>
  <c r="E361" i="8"/>
  <c r="C677" i="8"/>
  <c r="C572" i="8"/>
  <c r="C259" i="8"/>
  <c r="E258" i="8"/>
  <c r="E50" i="8"/>
  <c r="C51" i="8"/>
  <c r="N392" i="8" l="1"/>
  <c r="D391" i="8"/>
  <c r="A391" i="8"/>
  <c r="N1219" i="8"/>
  <c r="D1218" i="8"/>
  <c r="E1218" i="8" s="1"/>
  <c r="A1218" i="8"/>
  <c r="N159" i="8"/>
  <c r="D158" i="8"/>
  <c r="A158" i="8"/>
  <c r="C1150" i="8"/>
  <c r="E1149" i="8"/>
  <c r="C892" i="8"/>
  <c r="C787" i="8"/>
  <c r="C154" i="8"/>
  <c r="E153" i="8"/>
  <c r="E259" i="8"/>
  <c r="C260" i="8"/>
  <c r="C573" i="8"/>
  <c r="E362" i="8"/>
  <c r="C363" i="8"/>
  <c r="C52" i="8"/>
  <c r="E51" i="8"/>
  <c r="C678" i="8"/>
  <c r="C467" i="8"/>
  <c r="N1220" i="8" l="1"/>
  <c r="D1219" i="8"/>
  <c r="E1219" i="8" s="1"/>
  <c r="A1219" i="8"/>
  <c r="N160" i="8"/>
  <c r="D159" i="8"/>
  <c r="A159" i="8"/>
  <c r="N393" i="8"/>
  <c r="D392" i="8"/>
  <c r="A392" i="8"/>
  <c r="E1150" i="8"/>
  <c r="C1151" i="8"/>
  <c r="C893" i="8"/>
  <c r="C788" i="8"/>
  <c r="E154" i="8"/>
  <c r="C155" i="8"/>
  <c r="C468" i="8"/>
  <c r="C53" i="8"/>
  <c r="E52" i="8"/>
  <c r="C574" i="8"/>
  <c r="C364" i="8"/>
  <c r="E363" i="8"/>
  <c r="C261" i="8"/>
  <c r="E260" i="8"/>
  <c r="C679" i="8"/>
  <c r="N161" i="8" l="1"/>
  <c r="D160" i="8"/>
  <c r="A160" i="8"/>
  <c r="N394" i="8"/>
  <c r="D393" i="8"/>
  <c r="A393" i="8"/>
  <c r="N1221" i="8"/>
  <c r="D1220" i="8"/>
  <c r="E1220" i="8" s="1"/>
  <c r="A1220" i="8"/>
  <c r="E1151" i="8"/>
  <c r="C1152" i="8"/>
  <c r="C894" i="8"/>
  <c r="C789" i="8"/>
  <c r="C156" i="8"/>
  <c r="E155" i="8"/>
  <c r="C365" i="8"/>
  <c r="E364" i="8"/>
  <c r="E53" i="8"/>
  <c r="C54" i="8"/>
  <c r="C469" i="8"/>
  <c r="C680" i="8"/>
  <c r="C262" i="8"/>
  <c r="E261" i="8"/>
  <c r="C575" i="8"/>
  <c r="N395" i="8" l="1"/>
  <c r="D394" i="8"/>
  <c r="A394" i="8"/>
  <c r="N1222" i="8"/>
  <c r="D1221" i="8"/>
  <c r="E1221" i="8" s="1"/>
  <c r="A1221" i="8"/>
  <c r="N162" i="8"/>
  <c r="D161" i="8"/>
  <c r="A161" i="8"/>
  <c r="E1152" i="8"/>
  <c r="C1153" i="8"/>
  <c r="C895" i="8"/>
  <c r="C790" i="8"/>
  <c r="C157" i="8"/>
  <c r="E156" i="8"/>
  <c r="E365" i="8"/>
  <c r="C366" i="8"/>
  <c r="C681" i="8"/>
  <c r="C55" i="8"/>
  <c r="E54" i="8"/>
  <c r="C470" i="8"/>
  <c r="E262" i="8"/>
  <c r="C263" i="8"/>
  <c r="C576" i="8"/>
  <c r="N1223" i="8" l="1"/>
  <c r="D1222" i="8"/>
  <c r="E1222" i="8" s="1"/>
  <c r="A1222" i="8"/>
  <c r="N163" i="8"/>
  <c r="D162" i="8"/>
  <c r="A162" i="8"/>
  <c r="N396" i="8"/>
  <c r="D395" i="8"/>
  <c r="A395" i="8"/>
  <c r="C1154" i="8"/>
  <c r="E1153" i="8"/>
  <c r="C896" i="8"/>
  <c r="C791" i="8"/>
  <c r="C158" i="8"/>
  <c r="E157" i="8"/>
  <c r="C682" i="8"/>
  <c r="C577" i="8"/>
  <c r="C471" i="8"/>
  <c r="E263" i="8"/>
  <c r="C264" i="8"/>
  <c r="C367" i="8"/>
  <c r="E366" i="8"/>
  <c r="C56" i="8"/>
  <c r="E55" i="8"/>
  <c r="N164" i="8" l="1"/>
  <c r="D163" i="8"/>
  <c r="A163" i="8"/>
  <c r="N397" i="8"/>
  <c r="D396" i="8"/>
  <c r="A396" i="8"/>
  <c r="N1224" i="8"/>
  <c r="D1223" i="8"/>
  <c r="E1223" i="8" s="1"/>
  <c r="A1223" i="8"/>
  <c r="E1154" i="8"/>
  <c r="C1155" i="8"/>
  <c r="E1155" i="8" s="1"/>
  <c r="C897" i="8"/>
  <c r="C792" i="8"/>
  <c r="C159" i="8"/>
  <c r="E158" i="8"/>
  <c r="C578" i="8"/>
  <c r="E367" i="8"/>
  <c r="C368" i="8"/>
  <c r="C265" i="8"/>
  <c r="E264" i="8"/>
  <c r="C472" i="8"/>
  <c r="E56" i="8"/>
  <c r="C57" i="8"/>
  <c r="C683" i="8"/>
  <c r="N398" i="8" l="1"/>
  <c r="D397" i="8"/>
  <c r="A397" i="8"/>
  <c r="N1225" i="8"/>
  <c r="D1224" i="8"/>
  <c r="E1224" i="8" s="1"/>
  <c r="A1224" i="8"/>
  <c r="N165" i="8"/>
  <c r="D164" i="8"/>
  <c r="A164" i="8"/>
  <c r="C898" i="8"/>
  <c r="C793" i="8"/>
  <c r="E159" i="8"/>
  <c r="C160" i="8"/>
  <c r="E57" i="8"/>
  <c r="C58" i="8"/>
  <c r="C266" i="8"/>
  <c r="E265" i="8"/>
  <c r="C579" i="8"/>
  <c r="C684" i="8"/>
  <c r="C369" i="8"/>
  <c r="E368" i="8"/>
  <c r="C473" i="8"/>
  <c r="N1226" i="8" l="1"/>
  <c r="D1225" i="8"/>
  <c r="E1225" i="8" s="1"/>
  <c r="A1225" i="8"/>
  <c r="N166" i="8"/>
  <c r="D165" i="8"/>
  <c r="A165" i="8"/>
  <c r="N399" i="8"/>
  <c r="D398" i="8"/>
  <c r="A398" i="8"/>
  <c r="C899" i="8"/>
  <c r="C794" i="8"/>
  <c r="E160" i="8"/>
  <c r="C161" i="8"/>
  <c r="C685" i="8"/>
  <c r="C370" i="8"/>
  <c r="E369" i="8"/>
  <c r="C474" i="8"/>
  <c r="C267" i="8"/>
  <c r="E266" i="8"/>
  <c r="C580" i="8"/>
  <c r="C59" i="8"/>
  <c r="E58" i="8"/>
  <c r="N167" i="8" l="1"/>
  <c r="D166" i="8"/>
  <c r="A166" i="8"/>
  <c r="N400" i="8"/>
  <c r="D399" i="8"/>
  <c r="A399" i="8"/>
  <c r="N1227" i="8"/>
  <c r="D1226" i="8"/>
  <c r="E1226" i="8" s="1"/>
  <c r="A1226" i="8"/>
  <c r="C900" i="8"/>
  <c r="C795" i="8"/>
  <c r="C162" i="8"/>
  <c r="E161" i="8"/>
  <c r="C475" i="8"/>
  <c r="C581" i="8"/>
  <c r="C268" i="8"/>
  <c r="E267" i="8"/>
  <c r="C371" i="8"/>
  <c r="E370" i="8"/>
  <c r="C686" i="8"/>
  <c r="C60" i="8"/>
  <c r="E59" i="8"/>
  <c r="N401" i="8" l="1"/>
  <c r="D400" i="8"/>
  <c r="A400" i="8"/>
  <c r="N1228" i="8"/>
  <c r="D1227" i="8"/>
  <c r="E1227" i="8" s="1"/>
  <c r="A1227" i="8"/>
  <c r="N168" i="8"/>
  <c r="D167" i="8"/>
  <c r="A167" i="8"/>
  <c r="C901" i="8"/>
  <c r="C796" i="8"/>
  <c r="E162" i="8"/>
  <c r="C163" i="8"/>
  <c r="C582" i="8"/>
  <c r="C687" i="8"/>
  <c r="C372" i="8"/>
  <c r="E371" i="8"/>
  <c r="E60" i="8"/>
  <c r="C61" i="8"/>
  <c r="E268" i="8"/>
  <c r="C269" i="8"/>
  <c r="C476" i="8"/>
  <c r="N1229" i="8" l="1"/>
  <c r="D1228" i="8"/>
  <c r="E1228" i="8" s="1"/>
  <c r="A1228" i="8"/>
  <c r="N169" i="8"/>
  <c r="D168" i="8"/>
  <c r="A168" i="8"/>
  <c r="N402" i="8"/>
  <c r="D401" i="8"/>
  <c r="A401" i="8"/>
  <c r="C902" i="8"/>
  <c r="C797" i="8"/>
  <c r="E163" i="8"/>
  <c r="C164" i="8"/>
  <c r="C270" i="8"/>
  <c r="E269" i="8"/>
  <c r="C62" i="8"/>
  <c r="E61" i="8"/>
  <c r="C688" i="8"/>
  <c r="C477" i="8"/>
  <c r="C373" i="8"/>
  <c r="E372" i="8"/>
  <c r="C583" i="8"/>
  <c r="N170" i="8" l="1"/>
  <c r="D169" i="8"/>
  <c r="A169" i="8"/>
  <c r="N403" i="8"/>
  <c r="D402" i="8"/>
  <c r="A402" i="8"/>
  <c r="N1230" i="8"/>
  <c r="D1229" i="8"/>
  <c r="E1229" i="8" s="1"/>
  <c r="A1229" i="8"/>
  <c r="C903" i="8"/>
  <c r="C798" i="8"/>
  <c r="C165" i="8"/>
  <c r="E164" i="8"/>
  <c r="C374" i="8"/>
  <c r="E373" i="8"/>
  <c r="C478" i="8"/>
  <c r="E62" i="8"/>
  <c r="C63" i="8"/>
  <c r="C689" i="8"/>
  <c r="C584" i="8"/>
  <c r="C271" i="8"/>
  <c r="E270" i="8"/>
  <c r="N404" i="8" l="1"/>
  <c r="D403" i="8"/>
  <c r="A403" i="8"/>
  <c r="N1231" i="8"/>
  <c r="D1230" i="8"/>
  <c r="E1230" i="8" s="1"/>
  <c r="A1230" i="8"/>
  <c r="N171" i="8"/>
  <c r="D170" i="8"/>
  <c r="A170" i="8"/>
  <c r="C904" i="8"/>
  <c r="C799" i="8"/>
  <c r="C166" i="8"/>
  <c r="E165" i="8"/>
  <c r="C272" i="8"/>
  <c r="E271" i="8"/>
  <c r="C690" i="8"/>
  <c r="C479" i="8"/>
  <c r="C585" i="8"/>
  <c r="E63" i="8"/>
  <c r="C64" i="8"/>
  <c r="E374" i="8"/>
  <c r="C375" i="8"/>
  <c r="N1232" i="8" l="1"/>
  <c r="D1231" i="8"/>
  <c r="E1231" i="8" s="1"/>
  <c r="A1231" i="8"/>
  <c r="N172" i="8"/>
  <c r="D171" i="8"/>
  <c r="A171" i="8"/>
  <c r="N405" i="8"/>
  <c r="D404" i="8"/>
  <c r="A404" i="8"/>
  <c r="C905" i="8"/>
  <c r="C800" i="8"/>
  <c r="C167" i="8"/>
  <c r="E166" i="8"/>
  <c r="E64" i="8"/>
  <c r="C65" i="8"/>
  <c r="C480" i="8"/>
  <c r="E375" i="8"/>
  <c r="C376" i="8"/>
  <c r="C586" i="8"/>
  <c r="C691" i="8"/>
  <c r="C273" i="8"/>
  <c r="E272" i="8"/>
  <c r="N173" i="8" l="1"/>
  <c r="D172" i="8"/>
  <c r="A172" i="8"/>
  <c r="N406" i="8"/>
  <c r="D405" i="8"/>
  <c r="A405" i="8"/>
  <c r="N1233" i="8"/>
  <c r="D1232" i="8"/>
  <c r="E1232" i="8" s="1"/>
  <c r="A1232" i="8"/>
  <c r="C906" i="8"/>
  <c r="C801" i="8"/>
  <c r="C168" i="8"/>
  <c r="E167" i="8"/>
  <c r="C481" i="8"/>
  <c r="E273" i="8"/>
  <c r="C274" i="8"/>
  <c r="E376" i="8"/>
  <c r="C377" i="8"/>
  <c r="C692" i="8"/>
  <c r="C587" i="8"/>
  <c r="E65" i="8"/>
  <c r="C66" i="8"/>
  <c r="N407" i="8" l="1"/>
  <c r="D406" i="8"/>
  <c r="A406" i="8"/>
  <c r="N1234" i="8"/>
  <c r="D1233" i="8"/>
  <c r="E1233" i="8" s="1"/>
  <c r="A1233" i="8"/>
  <c r="N174" i="8"/>
  <c r="D173" i="8"/>
  <c r="A173" i="8"/>
  <c r="C907" i="8"/>
  <c r="C802" i="8"/>
  <c r="C169" i="8"/>
  <c r="E168" i="8"/>
  <c r="C67" i="8"/>
  <c r="E66" i="8"/>
  <c r="C588" i="8"/>
  <c r="E377" i="8"/>
  <c r="C378" i="8"/>
  <c r="C275" i="8"/>
  <c r="E274" i="8"/>
  <c r="C693" i="8"/>
  <c r="C482" i="8"/>
  <c r="N1235" i="8" l="1"/>
  <c r="D1234" i="8"/>
  <c r="E1234" i="8" s="1"/>
  <c r="A1234" i="8"/>
  <c r="N175" i="8"/>
  <c r="D174" i="8"/>
  <c r="A174" i="8"/>
  <c r="N408" i="8"/>
  <c r="D407" i="8"/>
  <c r="A407" i="8"/>
  <c r="C908" i="8"/>
  <c r="C803" i="8"/>
  <c r="E169" i="8"/>
  <c r="C170" i="8"/>
  <c r="C694" i="8"/>
  <c r="E275" i="8"/>
  <c r="C276" i="8"/>
  <c r="C589" i="8"/>
  <c r="C379" i="8"/>
  <c r="E378" i="8"/>
  <c r="C483" i="8"/>
  <c r="C68" i="8"/>
  <c r="E67" i="8"/>
  <c r="N176" i="8" l="1"/>
  <c r="D175" i="8"/>
  <c r="A175" i="8"/>
  <c r="N409" i="8"/>
  <c r="D408" i="8"/>
  <c r="A408" i="8"/>
  <c r="N1236" i="8"/>
  <c r="D1235" i="8"/>
  <c r="E1235" i="8" s="1"/>
  <c r="A1235" i="8"/>
  <c r="C909" i="8"/>
  <c r="C804" i="8"/>
  <c r="C171" i="8"/>
  <c r="E170" i="8"/>
  <c r="C69" i="8"/>
  <c r="E68" i="8"/>
  <c r="E276" i="8"/>
  <c r="C277" i="8"/>
  <c r="E379" i="8"/>
  <c r="C380" i="8"/>
  <c r="C484" i="8"/>
  <c r="C590" i="8"/>
  <c r="C695" i="8"/>
  <c r="N410" i="8" l="1"/>
  <c r="D409" i="8"/>
  <c r="A409" i="8"/>
  <c r="N1237" i="8"/>
  <c r="D1236" i="8"/>
  <c r="E1236" i="8" s="1"/>
  <c r="A1236" i="8"/>
  <c r="N177" i="8"/>
  <c r="D176" i="8"/>
  <c r="A176" i="8"/>
  <c r="C910" i="8"/>
  <c r="C805" i="8"/>
  <c r="C172" i="8"/>
  <c r="E171" i="8"/>
  <c r="E380" i="8"/>
  <c r="C381" i="8"/>
  <c r="C591" i="8"/>
  <c r="C696" i="8"/>
  <c r="E277" i="8"/>
  <c r="C278" i="8"/>
  <c r="C485" i="8"/>
  <c r="E69" i="8"/>
  <c r="C70" i="8"/>
  <c r="N1238" i="8" l="1"/>
  <c r="D1237" i="8"/>
  <c r="E1237" i="8" s="1"/>
  <c r="A1237" i="8"/>
  <c r="N178" i="8"/>
  <c r="D177" i="8"/>
  <c r="A177" i="8"/>
  <c r="N411" i="8"/>
  <c r="D410" i="8"/>
  <c r="A410" i="8"/>
  <c r="C911" i="8"/>
  <c r="C806" i="8"/>
  <c r="E172" i="8"/>
  <c r="C173" i="8"/>
  <c r="C697" i="8"/>
  <c r="C486" i="8"/>
  <c r="C592" i="8"/>
  <c r="E70" i="8"/>
  <c r="C71" i="8"/>
  <c r="E278" i="8"/>
  <c r="C279" i="8"/>
  <c r="E381" i="8"/>
  <c r="C382" i="8"/>
  <c r="N179" i="8" l="1"/>
  <c r="D178" i="8"/>
  <c r="A178" i="8"/>
  <c r="D411" i="8"/>
  <c r="N412" i="8"/>
  <c r="A411" i="8"/>
  <c r="N1239" i="8"/>
  <c r="D1238" i="8"/>
  <c r="E1238" i="8" s="1"/>
  <c r="A1238" i="8"/>
  <c r="C912" i="8"/>
  <c r="C807" i="8"/>
  <c r="E173" i="8"/>
  <c r="C174" i="8"/>
  <c r="C280" i="8"/>
  <c r="E279" i="8"/>
  <c r="C593" i="8"/>
  <c r="C383" i="8"/>
  <c r="E382" i="8"/>
  <c r="E71" i="8"/>
  <c r="C72" i="8"/>
  <c r="C487" i="8"/>
  <c r="C698" i="8"/>
  <c r="N1240" i="8" l="1"/>
  <c r="D1239" i="8"/>
  <c r="E1239" i="8" s="1"/>
  <c r="A1239" i="8"/>
  <c r="N413" i="8"/>
  <c r="D412" i="8"/>
  <c r="A412" i="8"/>
  <c r="N180" i="8"/>
  <c r="D179" i="8"/>
  <c r="A179" i="8"/>
  <c r="C913" i="8"/>
  <c r="C808" i="8"/>
  <c r="E174" i="8"/>
  <c r="C175" i="8"/>
  <c r="C699" i="8"/>
  <c r="C488" i="8"/>
  <c r="E383" i="8"/>
  <c r="C384" i="8"/>
  <c r="E280" i="8"/>
  <c r="C281" i="8"/>
  <c r="C73" i="8"/>
  <c r="E72" i="8"/>
  <c r="C594" i="8"/>
  <c r="N414" i="8" l="1"/>
  <c r="D413" i="8"/>
  <c r="A413" i="8"/>
  <c r="N181" i="8"/>
  <c r="D180" i="8"/>
  <c r="A180" i="8"/>
  <c r="N1241" i="8"/>
  <c r="D1240" i="8"/>
  <c r="E1240" i="8" s="1"/>
  <c r="A1240" i="8"/>
  <c r="C914" i="8"/>
  <c r="C809" i="8"/>
  <c r="E175" i="8"/>
  <c r="C176" i="8"/>
  <c r="C282" i="8"/>
  <c r="E281" i="8"/>
  <c r="C489" i="8"/>
  <c r="C595" i="8"/>
  <c r="C385" i="8"/>
  <c r="E384" i="8"/>
  <c r="C700" i="8"/>
  <c r="E73" i="8"/>
  <c r="C74" i="8"/>
  <c r="N182" i="8" l="1"/>
  <c r="D181" i="8"/>
  <c r="A181" i="8"/>
  <c r="N1242" i="8"/>
  <c r="D1241" i="8"/>
  <c r="E1241" i="8" s="1"/>
  <c r="A1241" i="8"/>
  <c r="N415" i="8"/>
  <c r="D414" i="8"/>
  <c r="A414" i="8"/>
  <c r="C915" i="8"/>
  <c r="C810" i="8"/>
  <c r="E176" i="8"/>
  <c r="C177" i="8"/>
  <c r="C386" i="8"/>
  <c r="E385" i="8"/>
  <c r="C490" i="8"/>
  <c r="C75" i="8"/>
  <c r="E74" i="8"/>
  <c r="C701" i="8"/>
  <c r="C596" i="8"/>
  <c r="E282" i="8"/>
  <c r="C283" i="8"/>
  <c r="N1243" i="8" l="1"/>
  <c r="D1242" i="8"/>
  <c r="E1242" i="8" s="1"/>
  <c r="A1242" i="8"/>
  <c r="N416" i="8"/>
  <c r="D415" i="8"/>
  <c r="A415" i="8"/>
  <c r="N183" i="8"/>
  <c r="D182" i="8"/>
  <c r="A182" i="8"/>
  <c r="C916" i="8"/>
  <c r="C811" i="8"/>
  <c r="C178" i="8"/>
  <c r="E177" i="8"/>
  <c r="E75" i="8"/>
  <c r="C76" i="8"/>
  <c r="E386" i="8"/>
  <c r="C387" i="8"/>
  <c r="E283" i="8"/>
  <c r="C284" i="8"/>
  <c r="C597" i="8"/>
  <c r="C702" i="8"/>
  <c r="C491" i="8"/>
  <c r="N417" i="8" l="1"/>
  <c r="D416" i="8"/>
  <c r="A416" i="8"/>
  <c r="N184" i="8"/>
  <c r="D183" i="8"/>
  <c r="A183" i="8"/>
  <c r="N1244" i="8"/>
  <c r="D1243" i="8"/>
  <c r="E1243" i="8" s="1"/>
  <c r="A1243" i="8"/>
  <c r="C917" i="8"/>
  <c r="C812" i="8"/>
  <c r="E178" i="8"/>
  <c r="C179" i="8"/>
  <c r="C492" i="8"/>
  <c r="C388" i="8"/>
  <c r="E387" i="8"/>
  <c r="C285" i="8"/>
  <c r="E284" i="8"/>
  <c r="C77" i="8"/>
  <c r="E76" i="8"/>
  <c r="C598" i="8"/>
  <c r="C703" i="8"/>
  <c r="N185" i="8" l="1"/>
  <c r="D184" i="8"/>
  <c r="A184" i="8"/>
  <c r="N1245" i="8"/>
  <c r="D1244" i="8"/>
  <c r="E1244" i="8" s="1"/>
  <c r="A1244" i="8"/>
  <c r="N418" i="8"/>
  <c r="D417" i="8"/>
  <c r="A417" i="8"/>
  <c r="C918" i="8"/>
  <c r="C813" i="8"/>
  <c r="C180" i="8"/>
  <c r="E179" i="8"/>
  <c r="C78" i="8"/>
  <c r="E77" i="8"/>
  <c r="E388" i="8"/>
  <c r="C389" i="8"/>
  <c r="C493" i="8"/>
  <c r="C599" i="8"/>
  <c r="C704" i="8"/>
  <c r="E285" i="8"/>
  <c r="C286" i="8"/>
  <c r="N1246" i="8" l="1"/>
  <c r="D1245" i="8"/>
  <c r="E1245" i="8" s="1"/>
  <c r="A1245" i="8"/>
  <c r="N419" i="8"/>
  <c r="D418" i="8"/>
  <c r="E418" i="8" s="1"/>
  <c r="A418" i="8"/>
  <c r="N186" i="8"/>
  <c r="D185" i="8"/>
  <c r="A185" i="8"/>
  <c r="C919" i="8"/>
  <c r="C814" i="8"/>
  <c r="C181" i="8"/>
  <c r="E180" i="8"/>
  <c r="C494" i="8"/>
  <c r="E389" i="8"/>
  <c r="C390" i="8"/>
  <c r="C705" i="8"/>
  <c r="E286" i="8"/>
  <c r="C287" i="8"/>
  <c r="C600" i="8"/>
  <c r="C79" i="8"/>
  <c r="E78" i="8"/>
  <c r="N420" i="8" l="1"/>
  <c r="D419" i="8"/>
  <c r="E419" i="8" s="1"/>
  <c r="A419" i="8"/>
  <c r="N187" i="8"/>
  <c r="D186" i="8"/>
  <c r="A186" i="8"/>
  <c r="N1247" i="8"/>
  <c r="D1246" i="8"/>
  <c r="E1246" i="8" s="1"/>
  <c r="A1246" i="8"/>
  <c r="C920" i="8"/>
  <c r="C815" i="8"/>
  <c r="E181" i="8"/>
  <c r="C182" i="8"/>
  <c r="C288" i="8"/>
  <c r="E287" i="8"/>
  <c r="C391" i="8"/>
  <c r="E390" i="8"/>
  <c r="C706" i="8"/>
  <c r="C495" i="8"/>
  <c r="C80" i="8"/>
  <c r="E79" i="8"/>
  <c r="C601" i="8"/>
  <c r="N188" i="8" l="1"/>
  <c r="D187" i="8"/>
  <c r="A187" i="8"/>
  <c r="N1248" i="8"/>
  <c r="D1247" i="8"/>
  <c r="E1247" i="8" s="1"/>
  <c r="A1247" i="8"/>
  <c r="N421" i="8"/>
  <c r="D420" i="8"/>
  <c r="E420" i="8" s="1"/>
  <c r="A420" i="8"/>
  <c r="C921" i="8"/>
  <c r="C816" i="8"/>
  <c r="C183" i="8"/>
  <c r="E182" i="8"/>
  <c r="E80" i="8"/>
  <c r="C81" i="8"/>
  <c r="C707" i="8"/>
  <c r="E288" i="8"/>
  <c r="C289" i="8"/>
  <c r="C602" i="8"/>
  <c r="C496" i="8"/>
  <c r="C392" i="8"/>
  <c r="E391" i="8"/>
  <c r="N1249" i="8" l="1"/>
  <c r="D1248" i="8"/>
  <c r="E1248" i="8" s="1"/>
  <c r="A1248" i="8"/>
  <c r="N422" i="8"/>
  <c r="D421" i="8"/>
  <c r="E421" i="8" s="1"/>
  <c r="A421" i="8"/>
  <c r="N189" i="8"/>
  <c r="D188" i="8"/>
  <c r="A188" i="8"/>
  <c r="C922" i="8"/>
  <c r="C817" i="8"/>
  <c r="E183" i="8"/>
  <c r="C184" i="8"/>
  <c r="C497" i="8"/>
  <c r="C393" i="8"/>
  <c r="E392" i="8"/>
  <c r="C708" i="8"/>
  <c r="C603" i="8"/>
  <c r="E289" i="8"/>
  <c r="C290" i="8"/>
  <c r="C82" i="8"/>
  <c r="E81" i="8"/>
  <c r="N423" i="8" l="1"/>
  <c r="D422" i="8"/>
  <c r="E422" i="8" s="1"/>
  <c r="A422" i="8"/>
  <c r="N190" i="8"/>
  <c r="D189" i="8"/>
  <c r="A189" i="8"/>
  <c r="N1250" i="8"/>
  <c r="D1249" i="8"/>
  <c r="E1249" i="8" s="1"/>
  <c r="A1249" i="8"/>
  <c r="C923" i="8"/>
  <c r="C818" i="8"/>
  <c r="E184" i="8"/>
  <c r="C185" i="8"/>
  <c r="E290" i="8"/>
  <c r="C291" i="8"/>
  <c r="E393" i="8"/>
  <c r="C394" i="8"/>
  <c r="C709" i="8"/>
  <c r="C604" i="8"/>
  <c r="C83" i="8"/>
  <c r="E82" i="8"/>
  <c r="C498" i="8"/>
  <c r="N191" i="8" l="1"/>
  <c r="D190" i="8"/>
  <c r="A190" i="8"/>
  <c r="N1251" i="8"/>
  <c r="D1250" i="8"/>
  <c r="E1250" i="8" s="1"/>
  <c r="A1250" i="8"/>
  <c r="N424" i="8"/>
  <c r="D423" i="8"/>
  <c r="E423" i="8" s="1"/>
  <c r="A423" i="8"/>
  <c r="C924" i="8"/>
  <c r="C819" i="8"/>
  <c r="C186" i="8"/>
  <c r="E185" i="8"/>
  <c r="C84" i="8"/>
  <c r="E83" i="8"/>
  <c r="C605" i="8"/>
  <c r="C395" i="8"/>
  <c r="E394" i="8"/>
  <c r="C499" i="8"/>
  <c r="E291" i="8"/>
  <c r="C292" i="8"/>
  <c r="C710" i="8"/>
  <c r="N1252" i="8" l="1"/>
  <c r="D1251" i="8"/>
  <c r="E1251" i="8" s="1"/>
  <c r="A1251" i="8"/>
  <c r="N425" i="8"/>
  <c r="D424" i="8"/>
  <c r="E424" i="8" s="1"/>
  <c r="A424" i="8"/>
  <c r="N192" i="8"/>
  <c r="D191" i="8"/>
  <c r="A191" i="8"/>
  <c r="C925" i="8"/>
  <c r="C820" i="8"/>
  <c r="E186" i="8"/>
  <c r="C187" i="8"/>
  <c r="C500" i="8"/>
  <c r="E292" i="8"/>
  <c r="C293" i="8"/>
  <c r="C606" i="8"/>
  <c r="C711" i="8"/>
  <c r="C396" i="8"/>
  <c r="E395" i="8"/>
  <c r="E84" i="8"/>
  <c r="C85" i="8"/>
  <c r="N426" i="8" l="1"/>
  <c r="D425" i="8"/>
  <c r="E425" i="8" s="1"/>
  <c r="A425" i="8"/>
  <c r="N193" i="8"/>
  <c r="D192" i="8"/>
  <c r="A192" i="8"/>
  <c r="N1253" i="8"/>
  <c r="D1252" i="8"/>
  <c r="E1252" i="8" s="1"/>
  <c r="A1252" i="8"/>
  <c r="C926" i="8"/>
  <c r="C821" i="8"/>
  <c r="C188" i="8"/>
  <c r="E187" i="8"/>
  <c r="E293" i="8"/>
  <c r="C294" i="8"/>
  <c r="E396" i="8"/>
  <c r="C397" i="8"/>
  <c r="C712" i="8"/>
  <c r="C501" i="8"/>
  <c r="C86" i="8"/>
  <c r="E85" i="8"/>
  <c r="C607" i="8"/>
  <c r="N194" i="8" l="1"/>
  <c r="D193" i="8"/>
  <c r="A193" i="8"/>
  <c r="N1254" i="8"/>
  <c r="D1253" i="8"/>
  <c r="E1253" i="8" s="1"/>
  <c r="A1253" i="8"/>
  <c r="N427" i="8"/>
  <c r="D426" i="8"/>
  <c r="E426" i="8" s="1"/>
  <c r="A426" i="8"/>
  <c r="C927" i="8"/>
  <c r="C822" i="8"/>
  <c r="C189" i="8"/>
  <c r="E188" i="8"/>
  <c r="E397" i="8"/>
  <c r="C398" i="8"/>
  <c r="C502" i="8"/>
  <c r="C295" i="8"/>
  <c r="E294" i="8"/>
  <c r="C608" i="8"/>
  <c r="E86" i="8"/>
  <c r="C87" i="8"/>
  <c r="C713" i="8"/>
  <c r="N1255" i="8" l="1"/>
  <c r="D1254" i="8"/>
  <c r="E1254" i="8" s="1"/>
  <c r="A1254" i="8"/>
  <c r="N428" i="8"/>
  <c r="D427" i="8"/>
  <c r="E427" i="8" s="1"/>
  <c r="A427" i="8"/>
  <c r="N195" i="8"/>
  <c r="D194" i="8"/>
  <c r="A194" i="8"/>
  <c r="C928" i="8"/>
  <c r="C823" i="8"/>
  <c r="E189" i="8"/>
  <c r="C190" i="8"/>
  <c r="C88" i="8"/>
  <c r="E87" i="8"/>
  <c r="E295" i="8"/>
  <c r="C296" i="8"/>
  <c r="C503" i="8"/>
  <c r="C714" i="8"/>
  <c r="E398" i="8"/>
  <c r="C399" i="8"/>
  <c r="C609" i="8"/>
  <c r="N429" i="8" l="1"/>
  <c r="D428" i="8"/>
  <c r="E428" i="8" s="1"/>
  <c r="A428" i="8"/>
  <c r="N196" i="8"/>
  <c r="D195" i="8"/>
  <c r="A195" i="8"/>
  <c r="N1256" i="8"/>
  <c r="D1255" i="8"/>
  <c r="E1255" i="8" s="1"/>
  <c r="A1255" i="8"/>
  <c r="C929" i="8"/>
  <c r="C824" i="8"/>
  <c r="E190" i="8"/>
  <c r="C191" i="8"/>
  <c r="E399" i="8"/>
  <c r="C400" i="8"/>
  <c r="E296" i="8"/>
  <c r="C297" i="8"/>
  <c r="C715" i="8"/>
  <c r="C610" i="8"/>
  <c r="C504" i="8"/>
  <c r="C89" i="8"/>
  <c r="E88" i="8"/>
  <c r="N197" i="8" l="1"/>
  <c r="D196" i="8"/>
  <c r="A196" i="8"/>
  <c r="N1257" i="8"/>
  <c r="D1256" i="8"/>
  <c r="E1256" i="8" s="1"/>
  <c r="A1256" i="8"/>
  <c r="N430" i="8"/>
  <c r="D429" i="8"/>
  <c r="E429" i="8" s="1"/>
  <c r="A429" i="8"/>
  <c r="C930" i="8"/>
  <c r="C825" i="8"/>
  <c r="C192" i="8"/>
  <c r="E191" i="8"/>
  <c r="C90" i="8"/>
  <c r="E89" i="8"/>
  <c r="C716" i="8"/>
  <c r="E297" i="8"/>
  <c r="C298" i="8"/>
  <c r="C505" i="8"/>
  <c r="C611" i="8"/>
  <c r="C401" i="8"/>
  <c r="E400" i="8"/>
  <c r="N1258" i="8" l="1"/>
  <c r="D1257" i="8"/>
  <c r="E1257" i="8" s="1"/>
  <c r="A1257" i="8"/>
  <c r="N431" i="8"/>
  <c r="D430" i="8"/>
  <c r="E430" i="8" s="1"/>
  <c r="A430" i="8"/>
  <c r="N198" i="8"/>
  <c r="D197" i="8"/>
  <c r="A197" i="8"/>
  <c r="C931" i="8"/>
  <c r="C826" i="8"/>
  <c r="E192" i="8"/>
  <c r="C193" i="8"/>
  <c r="C717" i="8"/>
  <c r="C506" i="8"/>
  <c r="C299" i="8"/>
  <c r="E298" i="8"/>
  <c r="C402" i="8"/>
  <c r="E401" i="8"/>
  <c r="C612" i="8"/>
  <c r="E90" i="8"/>
  <c r="C91" i="8"/>
  <c r="D431" i="8" l="1"/>
  <c r="E431" i="8" s="1"/>
  <c r="N432" i="8"/>
  <c r="A431" i="8"/>
  <c r="N199" i="8"/>
  <c r="D198" i="8"/>
  <c r="A198" i="8"/>
  <c r="N1259" i="8"/>
  <c r="D1258" i="8"/>
  <c r="E1258" i="8" s="1"/>
  <c r="A1258" i="8"/>
  <c r="C932" i="8"/>
  <c r="C827" i="8"/>
  <c r="E193" i="8"/>
  <c r="C194" i="8"/>
  <c r="C613" i="8"/>
  <c r="E299" i="8"/>
  <c r="C300" i="8"/>
  <c r="C718" i="8"/>
  <c r="E91" i="8"/>
  <c r="C92" i="8"/>
  <c r="C403" i="8"/>
  <c r="E402" i="8"/>
  <c r="C507" i="8"/>
  <c r="N200" i="8" l="1"/>
  <c r="D199" i="8"/>
  <c r="A199" i="8"/>
  <c r="N1260" i="8"/>
  <c r="D1259" i="8"/>
  <c r="E1259" i="8" s="1"/>
  <c r="A1259" i="8"/>
  <c r="N433" i="8"/>
  <c r="D432" i="8"/>
  <c r="E432" i="8" s="1"/>
  <c r="A432" i="8"/>
  <c r="C933" i="8"/>
  <c r="C828" i="8"/>
  <c r="C195" i="8"/>
  <c r="E194" i="8"/>
  <c r="C719" i="8"/>
  <c r="E300" i="8"/>
  <c r="C301" i="8"/>
  <c r="E403" i="8"/>
  <c r="C404" i="8"/>
  <c r="C508" i="8"/>
  <c r="C93" i="8"/>
  <c r="E92" i="8"/>
  <c r="C614" i="8"/>
  <c r="N1261" i="8" l="1"/>
  <c r="D1260" i="8"/>
  <c r="E1260" i="8" s="1"/>
  <c r="A1260" i="8"/>
  <c r="N434" i="8"/>
  <c r="D433" i="8"/>
  <c r="E433" i="8" s="1"/>
  <c r="A433" i="8"/>
  <c r="N201" i="8"/>
  <c r="D200" i="8"/>
  <c r="A200" i="8"/>
  <c r="C934" i="8"/>
  <c r="C829" i="8"/>
  <c r="C196" i="8"/>
  <c r="E195" i="8"/>
  <c r="E301" i="8"/>
  <c r="C302" i="8"/>
  <c r="C509" i="8"/>
  <c r="E404" i="8"/>
  <c r="C405" i="8"/>
  <c r="C615" i="8"/>
  <c r="E93" i="8"/>
  <c r="C94" i="8"/>
  <c r="C720" i="8"/>
  <c r="N202" i="8" l="1"/>
  <c r="D201" i="8"/>
  <c r="A201" i="8"/>
  <c r="N435" i="8"/>
  <c r="D434" i="8"/>
  <c r="E434" i="8" s="1"/>
  <c r="A434" i="8"/>
  <c r="N1262" i="8"/>
  <c r="D1261" i="8"/>
  <c r="E1261" i="8" s="1"/>
  <c r="A1261" i="8"/>
  <c r="C935" i="8"/>
  <c r="C830" i="8"/>
  <c r="E196" i="8"/>
  <c r="C197" i="8"/>
  <c r="C95" i="8"/>
  <c r="E94" i="8"/>
  <c r="E405" i="8"/>
  <c r="C406" i="8"/>
  <c r="E302" i="8"/>
  <c r="C303" i="8"/>
  <c r="C721" i="8"/>
  <c r="C616" i="8"/>
  <c r="C510" i="8"/>
  <c r="N1263" i="8" l="1"/>
  <c r="D1262" i="8"/>
  <c r="E1262" i="8" s="1"/>
  <c r="A1262" i="8"/>
  <c r="N203" i="8"/>
  <c r="D202" i="8"/>
  <c r="A202" i="8"/>
  <c r="N436" i="8"/>
  <c r="D435" i="8"/>
  <c r="E435" i="8" s="1"/>
  <c r="A435" i="8"/>
  <c r="C936" i="8"/>
  <c r="C831" i="8"/>
  <c r="E197" i="8"/>
  <c r="C198" i="8"/>
  <c r="C722" i="8"/>
  <c r="C617" i="8"/>
  <c r="E303" i="8"/>
  <c r="C304" i="8"/>
  <c r="C511" i="8"/>
  <c r="E406" i="8"/>
  <c r="C407" i="8"/>
  <c r="E95" i="8"/>
  <c r="C96" i="8"/>
  <c r="N204" i="8" l="1"/>
  <c r="D203" i="8"/>
  <c r="A203" i="8"/>
  <c r="N437" i="8"/>
  <c r="D436" i="8"/>
  <c r="E436" i="8" s="1"/>
  <c r="A436" i="8"/>
  <c r="D1263" i="8"/>
  <c r="E1263" i="8" s="1"/>
  <c r="A1263" i="8"/>
  <c r="N1264" i="8"/>
  <c r="C937" i="8"/>
  <c r="C832" i="8"/>
  <c r="E198" i="8"/>
  <c r="C199" i="8"/>
  <c r="C512" i="8"/>
  <c r="C618" i="8"/>
  <c r="C97" i="8"/>
  <c r="E96" i="8"/>
  <c r="E407" i="8"/>
  <c r="C408" i="8"/>
  <c r="E304" i="8"/>
  <c r="C305" i="8"/>
  <c r="C723" i="8"/>
  <c r="N1289" i="8" l="1"/>
  <c r="D1264" i="8"/>
  <c r="E1264" i="8" s="1"/>
  <c r="N1265" i="8"/>
  <c r="A1264" i="8"/>
  <c r="N438" i="8"/>
  <c r="D437" i="8"/>
  <c r="E437" i="8" s="1"/>
  <c r="A437" i="8"/>
  <c r="N205" i="8"/>
  <c r="D204" i="8"/>
  <c r="A204" i="8"/>
  <c r="C938" i="8"/>
  <c r="C833" i="8"/>
  <c r="C200" i="8"/>
  <c r="E199" i="8"/>
  <c r="E305" i="8"/>
  <c r="C306" i="8"/>
  <c r="E97" i="8"/>
  <c r="C98" i="8"/>
  <c r="C513" i="8"/>
  <c r="C409" i="8"/>
  <c r="E408" i="8"/>
  <c r="C619" i="8"/>
  <c r="C724" i="8"/>
  <c r="N206" i="8" l="1"/>
  <c r="D205" i="8"/>
  <c r="A205" i="8"/>
  <c r="N1266" i="8"/>
  <c r="D1265" i="8"/>
  <c r="E1265" i="8" s="1"/>
  <c r="A1265" i="8"/>
  <c r="N439" i="8"/>
  <c r="D438" i="8"/>
  <c r="E438" i="8" s="1"/>
  <c r="A438" i="8"/>
  <c r="N1290" i="8"/>
  <c r="D1289" i="8"/>
  <c r="E1289" i="8" s="1"/>
  <c r="A1289" i="8"/>
  <c r="C939" i="8"/>
  <c r="C834" i="8"/>
  <c r="C201" i="8"/>
  <c r="E200" i="8"/>
  <c r="E98" i="8"/>
  <c r="C99" i="8"/>
  <c r="C725" i="8"/>
  <c r="E409" i="8"/>
  <c r="C410" i="8"/>
  <c r="C620" i="8"/>
  <c r="C307" i="8"/>
  <c r="E306" i="8"/>
  <c r="C514" i="8"/>
  <c r="N1267" i="8" l="1"/>
  <c r="D1266" i="8"/>
  <c r="E1266" i="8" s="1"/>
  <c r="A1266" i="8"/>
  <c r="N440" i="8"/>
  <c r="D439" i="8"/>
  <c r="E439" i="8" s="1"/>
  <c r="A439" i="8"/>
  <c r="N1291" i="8"/>
  <c r="D1290" i="8"/>
  <c r="E1290" i="8" s="1"/>
  <c r="A1290" i="8"/>
  <c r="N207" i="8"/>
  <c r="D206" i="8"/>
  <c r="A206" i="8"/>
  <c r="C940" i="8"/>
  <c r="C835" i="8"/>
  <c r="C202" i="8"/>
  <c r="E201" i="8"/>
  <c r="C621" i="8"/>
  <c r="C726" i="8"/>
  <c r="C515" i="8"/>
  <c r="C411" i="8"/>
  <c r="E410" i="8"/>
  <c r="C100" i="8"/>
  <c r="E99" i="8"/>
  <c r="E307" i="8"/>
  <c r="C308" i="8"/>
  <c r="N441" i="8" l="1"/>
  <c r="D440" i="8"/>
  <c r="E440" i="8" s="1"/>
  <c r="A440" i="8"/>
  <c r="N1292" i="8"/>
  <c r="D1291" i="8"/>
  <c r="E1291" i="8" s="1"/>
  <c r="A1291" i="8"/>
  <c r="N208" i="8"/>
  <c r="D207" i="8"/>
  <c r="A207" i="8"/>
  <c r="N1268" i="8"/>
  <c r="D1267" i="8"/>
  <c r="E1267" i="8" s="1"/>
  <c r="A1267" i="8"/>
  <c r="C941" i="8"/>
  <c r="E202" i="8"/>
  <c r="C203" i="8"/>
  <c r="C516" i="8"/>
  <c r="C727" i="8"/>
  <c r="E100" i="8"/>
  <c r="C101" i="8"/>
  <c r="C309" i="8"/>
  <c r="E308" i="8"/>
  <c r="C622" i="8"/>
  <c r="C412" i="8"/>
  <c r="E411" i="8"/>
  <c r="N209" i="8" l="1"/>
  <c r="D208" i="8"/>
  <c r="A208" i="8"/>
  <c r="N1269" i="8"/>
  <c r="D1268" i="8"/>
  <c r="E1268" i="8" s="1"/>
  <c r="A1268" i="8"/>
  <c r="N442" i="8"/>
  <c r="D441" i="8"/>
  <c r="E441" i="8" s="1"/>
  <c r="A441" i="8"/>
  <c r="N1293" i="8"/>
  <c r="D1292" i="8"/>
  <c r="E1292" i="8" s="1"/>
  <c r="A1292" i="8"/>
  <c r="C942" i="8"/>
  <c r="E203" i="8"/>
  <c r="C204" i="8"/>
  <c r="C623" i="8"/>
  <c r="E309" i="8"/>
  <c r="C310" i="8"/>
  <c r="C728" i="8"/>
  <c r="C102" i="8"/>
  <c r="E101" i="8"/>
  <c r="C517" i="8"/>
  <c r="E412" i="8"/>
  <c r="C413" i="8"/>
  <c r="N1270" i="8" l="1"/>
  <c r="D1269" i="8"/>
  <c r="E1269" i="8" s="1"/>
  <c r="A1269" i="8"/>
  <c r="N443" i="8"/>
  <c r="D442" i="8"/>
  <c r="E442" i="8" s="1"/>
  <c r="A442" i="8"/>
  <c r="N1294" i="8"/>
  <c r="D1293" i="8"/>
  <c r="E1293" i="8" s="1"/>
  <c r="A1293" i="8"/>
  <c r="N210" i="8"/>
  <c r="D209" i="8"/>
  <c r="A209" i="8"/>
  <c r="C943" i="8"/>
  <c r="C205" i="8"/>
  <c r="E204" i="8"/>
  <c r="C414" i="8"/>
  <c r="E413" i="8"/>
  <c r="C311" i="8"/>
  <c r="E310" i="8"/>
  <c r="C103" i="8"/>
  <c r="E102" i="8"/>
  <c r="C518" i="8"/>
  <c r="C624" i="8"/>
  <c r="C729" i="8"/>
  <c r="N444" i="8" l="1"/>
  <c r="D443" i="8"/>
  <c r="E443" i="8" s="1"/>
  <c r="A443" i="8"/>
  <c r="N1295" i="8"/>
  <c r="D1294" i="8"/>
  <c r="E1294" i="8" s="1"/>
  <c r="A1294" i="8"/>
  <c r="N211" i="8"/>
  <c r="D210" i="8"/>
  <c r="E210" i="8" s="1"/>
  <c r="A210" i="8"/>
  <c r="N1271" i="8"/>
  <c r="D1270" i="8"/>
  <c r="E1270" i="8" s="1"/>
  <c r="A1270" i="8"/>
  <c r="C944" i="8"/>
  <c r="C206" i="8"/>
  <c r="E205" i="8"/>
  <c r="C519" i="8"/>
  <c r="C312" i="8"/>
  <c r="E311" i="8"/>
  <c r="C730" i="8"/>
  <c r="C625" i="8"/>
  <c r="C104" i="8"/>
  <c r="E103" i="8"/>
  <c r="E414" i="8"/>
  <c r="C415" i="8"/>
  <c r="N1296" i="8" l="1"/>
  <c r="D1295" i="8"/>
  <c r="E1295" i="8" s="1"/>
  <c r="A1295" i="8"/>
  <c r="N212" i="8"/>
  <c r="D211" i="8"/>
  <c r="E211" i="8" s="1"/>
  <c r="A211" i="8"/>
  <c r="N1272" i="8"/>
  <c r="D1271" i="8"/>
  <c r="E1271" i="8" s="1"/>
  <c r="A1271" i="8"/>
  <c r="N445" i="8"/>
  <c r="D444" i="8"/>
  <c r="E444" i="8" s="1"/>
  <c r="A444" i="8"/>
  <c r="C945" i="8"/>
  <c r="E206" i="8"/>
  <c r="C207" i="8"/>
  <c r="E104" i="8"/>
  <c r="C105" i="8"/>
  <c r="E105" i="8" s="1"/>
  <c r="C731" i="8"/>
  <c r="C313" i="8"/>
  <c r="E313" i="8" s="1"/>
  <c r="E312" i="8"/>
  <c r="E415" i="8"/>
  <c r="C416" i="8"/>
  <c r="C626" i="8"/>
  <c r="C520" i="8"/>
  <c r="N213" i="8" l="1"/>
  <c r="D212" i="8"/>
  <c r="E212" i="8" s="1"/>
  <c r="A212" i="8"/>
  <c r="N1273" i="8"/>
  <c r="D1272" i="8"/>
  <c r="E1272" i="8" s="1"/>
  <c r="A1272" i="8"/>
  <c r="N446" i="8"/>
  <c r="D445" i="8"/>
  <c r="E445" i="8" s="1"/>
  <c r="A445" i="8"/>
  <c r="N1297" i="8"/>
  <c r="D1296" i="8"/>
  <c r="E1296" i="8" s="1"/>
  <c r="A1296" i="8"/>
  <c r="C946" i="8"/>
  <c r="C208" i="8"/>
  <c r="E207" i="8"/>
  <c r="C521" i="8"/>
  <c r="C417" i="8"/>
  <c r="E417" i="8" s="1"/>
  <c r="E416" i="8"/>
  <c r="N1298" i="8" l="1"/>
  <c r="D1297" i="8"/>
  <c r="E1297" i="8" s="1"/>
  <c r="A1297" i="8"/>
  <c r="N447" i="8"/>
  <c r="D446" i="8"/>
  <c r="E446" i="8" s="1"/>
  <c r="A446" i="8"/>
  <c r="D213" i="8"/>
  <c r="E213" i="8" s="1"/>
  <c r="N214" i="8"/>
  <c r="A213" i="8"/>
  <c r="N1274" i="8"/>
  <c r="D1273" i="8"/>
  <c r="E1273" i="8" s="1"/>
  <c r="A1273" i="8"/>
  <c r="C947" i="8"/>
  <c r="C209" i="8"/>
  <c r="E209" i="8" s="1"/>
  <c r="E208" i="8"/>
  <c r="C522" i="8"/>
  <c r="N1275" i="8" l="1"/>
  <c r="D1274" i="8"/>
  <c r="E1274" i="8" s="1"/>
  <c r="A1274" i="8"/>
  <c r="N215" i="8"/>
  <c r="D214" i="8"/>
  <c r="E214" i="8" s="1"/>
  <c r="A214" i="8"/>
  <c r="N448" i="8"/>
  <c r="D447" i="8"/>
  <c r="E447" i="8" s="1"/>
  <c r="A447" i="8"/>
  <c r="N1299" i="8"/>
  <c r="D1298" i="8"/>
  <c r="E1298" i="8" s="1"/>
  <c r="A1298" i="8"/>
  <c r="C948" i="8"/>
  <c r="N449" i="8" l="1"/>
  <c r="D448" i="8"/>
  <c r="E448" i="8" s="1"/>
  <c r="A448" i="8"/>
  <c r="N1300" i="8"/>
  <c r="D1299" i="8"/>
  <c r="E1299" i="8" s="1"/>
  <c r="A1299" i="8"/>
  <c r="N216" i="8"/>
  <c r="D215" i="8"/>
  <c r="E215" i="8" s="1"/>
  <c r="A215" i="8"/>
  <c r="D1275" i="8"/>
  <c r="E1275" i="8" s="1"/>
  <c r="N1276" i="8"/>
  <c r="A1275" i="8"/>
  <c r="C949" i="8"/>
  <c r="N1301" i="8" l="1"/>
  <c r="D1300" i="8"/>
  <c r="E1300" i="8" s="1"/>
  <c r="A1300" i="8"/>
  <c r="D1276" i="8"/>
  <c r="E1276" i="8" s="1"/>
  <c r="N1277" i="8"/>
  <c r="A1276" i="8"/>
  <c r="N217" i="8"/>
  <c r="D216" i="8"/>
  <c r="E216" i="8" s="1"/>
  <c r="A216" i="8"/>
  <c r="N450" i="8"/>
  <c r="D449" i="8"/>
  <c r="E449" i="8" s="1"/>
  <c r="A449" i="8"/>
  <c r="C950" i="8"/>
  <c r="N218" i="8" l="1"/>
  <c r="D217" i="8"/>
  <c r="E217" i="8" s="1"/>
  <c r="A217" i="8"/>
  <c r="N451" i="8"/>
  <c r="D450" i="8"/>
  <c r="E450" i="8" s="1"/>
  <c r="A450" i="8"/>
  <c r="N1278" i="8"/>
  <c r="D1277" i="8"/>
  <c r="E1277" i="8" s="1"/>
  <c r="A1277" i="8"/>
  <c r="N1302" i="8"/>
  <c r="D1301" i="8"/>
  <c r="E1301" i="8" s="1"/>
  <c r="A1301" i="8"/>
  <c r="C951" i="8"/>
  <c r="N452" i="8" l="1"/>
  <c r="D451" i="8"/>
  <c r="E451" i="8" s="1"/>
  <c r="A451" i="8"/>
  <c r="D1278" i="8"/>
  <c r="E1278" i="8" s="1"/>
  <c r="N1279" i="8"/>
  <c r="A1278" i="8"/>
  <c r="N1303" i="8"/>
  <c r="D1302" i="8"/>
  <c r="E1302" i="8" s="1"/>
  <c r="A1302" i="8"/>
  <c r="N219" i="8"/>
  <c r="D218" i="8"/>
  <c r="E218" i="8" s="1"/>
  <c r="A218" i="8"/>
  <c r="C952" i="8"/>
  <c r="N1304" i="8" l="1"/>
  <c r="D1303" i="8"/>
  <c r="E1303" i="8" s="1"/>
  <c r="A1303" i="8"/>
  <c r="N220" i="8"/>
  <c r="D219" i="8"/>
  <c r="E219" i="8" s="1"/>
  <c r="A219" i="8"/>
  <c r="D1279" i="8"/>
  <c r="E1279" i="8" s="1"/>
  <c r="N1280" i="8"/>
  <c r="A1279" i="8"/>
  <c r="N453" i="8"/>
  <c r="D452" i="8"/>
  <c r="E452" i="8" s="1"/>
  <c r="A452" i="8"/>
  <c r="C953" i="8"/>
  <c r="E952" i="8"/>
  <c r="N454" i="8" l="1"/>
  <c r="D453" i="8"/>
  <c r="E453" i="8" s="1"/>
  <c r="A453" i="8"/>
  <c r="D1280" i="8"/>
  <c r="E1280" i="8" s="1"/>
  <c r="N1281" i="8"/>
  <c r="A1280" i="8"/>
  <c r="N221" i="8"/>
  <c r="D220" i="8"/>
  <c r="E220" i="8" s="1"/>
  <c r="A220" i="8"/>
  <c r="N1305" i="8"/>
  <c r="D1304" i="8"/>
  <c r="E1304" i="8" s="1"/>
  <c r="A1304" i="8"/>
  <c r="C954" i="8"/>
  <c r="E953" i="8"/>
  <c r="N222" i="8" l="1"/>
  <c r="D221" i="8"/>
  <c r="E221" i="8" s="1"/>
  <c r="A221" i="8"/>
  <c r="N1306" i="8"/>
  <c r="D1305" i="8"/>
  <c r="E1305" i="8" s="1"/>
  <c r="A1305" i="8"/>
  <c r="D1281" i="8"/>
  <c r="E1281" i="8" s="1"/>
  <c r="N1282" i="8"/>
  <c r="A1281" i="8"/>
  <c r="N455" i="8"/>
  <c r="D454" i="8"/>
  <c r="E454" i="8" s="1"/>
  <c r="A454" i="8"/>
  <c r="C955" i="8"/>
  <c r="E954" i="8"/>
  <c r="N456" i="8" l="1"/>
  <c r="D455" i="8"/>
  <c r="E455" i="8" s="1"/>
  <c r="A455" i="8"/>
  <c r="D1282" i="8"/>
  <c r="E1282" i="8" s="1"/>
  <c r="N1283" i="8"/>
  <c r="A1282" i="8"/>
  <c r="N1307" i="8"/>
  <c r="D1306" i="8"/>
  <c r="E1306" i="8" s="1"/>
  <c r="A1306" i="8"/>
  <c r="N223" i="8"/>
  <c r="D222" i="8"/>
  <c r="E222" i="8" s="1"/>
  <c r="A222" i="8"/>
  <c r="C956" i="8"/>
  <c r="E955" i="8"/>
  <c r="N1308" i="8" l="1"/>
  <c r="D1307" i="8"/>
  <c r="E1307" i="8" s="1"/>
  <c r="A1307" i="8"/>
  <c r="N224" i="8"/>
  <c r="D223" i="8"/>
  <c r="E223" i="8" s="1"/>
  <c r="A223" i="8"/>
  <c r="D1283" i="8"/>
  <c r="E1283" i="8" s="1"/>
  <c r="A1283" i="8"/>
  <c r="N457" i="8"/>
  <c r="D456" i="8"/>
  <c r="E456" i="8" s="1"/>
  <c r="A456" i="8"/>
  <c r="C957" i="8"/>
  <c r="E956" i="8"/>
  <c r="N458" i="8" l="1"/>
  <c r="D457" i="8"/>
  <c r="E457" i="8" s="1"/>
  <c r="A457" i="8"/>
  <c r="N225" i="8"/>
  <c r="D224" i="8"/>
  <c r="E224" i="8" s="1"/>
  <c r="A224" i="8"/>
  <c r="N1309" i="8"/>
  <c r="D1308" i="8"/>
  <c r="E1308" i="8" s="1"/>
  <c r="A1308" i="8"/>
  <c r="C958" i="8"/>
  <c r="E957" i="8"/>
  <c r="N226" i="8" l="1"/>
  <c r="D225" i="8"/>
  <c r="E225" i="8" s="1"/>
  <c r="A225" i="8"/>
  <c r="N1310" i="8"/>
  <c r="D1309" i="8"/>
  <c r="E1309" i="8" s="1"/>
  <c r="A1309" i="8"/>
  <c r="N459" i="8"/>
  <c r="D458" i="8"/>
  <c r="E458" i="8" s="1"/>
  <c r="A458" i="8"/>
  <c r="C959" i="8"/>
  <c r="E958" i="8"/>
  <c r="N1311" i="8" l="1"/>
  <c r="D1310" i="8"/>
  <c r="E1310" i="8" s="1"/>
  <c r="A1310" i="8"/>
  <c r="N460" i="8"/>
  <c r="D459" i="8"/>
  <c r="E459" i="8" s="1"/>
  <c r="A459" i="8"/>
  <c r="N227" i="8"/>
  <c r="D226" i="8"/>
  <c r="E226" i="8" s="1"/>
  <c r="A226" i="8"/>
  <c r="C960" i="8"/>
  <c r="E959" i="8"/>
  <c r="N228" i="8" l="1"/>
  <c r="D227" i="8"/>
  <c r="E227" i="8" s="1"/>
  <c r="A227" i="8"/>
  <c r="N461" i="8"/>
  <c r="D460" i="8"/>
  <c r="E460" i="8" s="1"/>
  <c r="A460" i="8"/>
  <c r="N1312" i="8"/>
  <c r="D1311" i="8"/>
  <c r="E1311" i="8" s="1"/>
  <c r="A1311" i="8"/>
  <c r="C961" i="8"/>
  <c r="E960" i="8"/>
  <c r="N462" i="8" l="1"/>
  <c r="D461" i="8"/>
  <c r="E461" i="8" s="1"/>
  <c r="A461" i="8"/>
  <c r="N1313" i="8"/>
  <c r="D1312" i="8"/>
  <c r="E1312" i="8" s="1"/>
  <c r="A1312" i="8"/>
  <c r="N229" i="8"/>
  <c r="D228" i="8"/>
  <c r="E228" i="8" s="1"/>
  <c r="A228" i="8"/>
  <c r="C962" i="8"/>
  <c r="E961" i="8"/>
  <c r="N230" i="8" l="1"/>
  <c r="D229" i="8"/>
  <c r="E229" i="8" s="1"/>
  <c r="A229" i="8"/>
  <c r="N1314" i="8"/>
  <c r="D1313" i="8"/>
  <c r="E1313" i="8" s="1"/>
  <c r="A1313" i="8"/>
  <c r="N463" i="8"/>
  <c r="D462" i="8"/>
  <c r="E462" i="8" s="1"/>
  <c r="A462" i="8"/>
  <c r="C963" i="8"/>
  <c r="E962" i="8"/>
  <c r="N1315" i="8" l="1"/>
  <c r="D1314" i="8"/>
  <c r="E1314" i="8" s="1"/>
  <c r="A1314" i="8"/>
  <c r="N231" i="8"/>
  <c r="D230" i="8"/>
  <c r="E230" i="8" s="1"/>
  <c r="A230" i="8"/>
  <c r="N464" i="8"/>
  <c r="D463" i="8"/>
  <c r="E463" i="8" s="1"/>
  <c r="A463" i="8"/>
  <c r="C964" i="8"/>
  <c r="E963" i="8"/>
  <c r="N232" i="8" l="1"/>
  <c r="D231" i="8"/>
  <c r="E231" i="8" s="1"/>
  <c r="A231" i="8"/>
  <c r="N465" i="8"/>
  <c r="D464" i="8"/>
  <c r="E464" i="8" s="1"/>
  <c r="A464" i="8"/>
  <c r="N1316" i="8"/>
  <c r="D1315" i="8"/>
  <c r="E1315" i="8" s="1"/>
  <c r="A1315" i="8"/>
  <c r="C965" i="8"/>
  <c r="E964" i="8"/>
  <c r="N1317" i="8" l="1"/>
  <c r="D1316" i="8"/>
  <c r="E1316" i="8" s="1"/>
  <c r="A1316" i="8"/>
  <c r="N466" i="8"/>
  <c r="D465" i="8"/>
  <c r="E465" i="8" s="1"/>
  <c r="A465" i="8"/>
  <c r="N233" i="8"/>
  <c r="D232" i="8"/>
  <c r="E232" i="8" s="1"/>
  <c r="A232" i="8"/>
  <c r="C966" i="8"/>
  <c r="E965" i="8"/>
  <c r="N467" i="8" l="1"/>
  <c r="D466" i="8"/>
  <c r="E466" i="8" s="1"/>
  <c r="A466" i="8"/>
  <c r="D233" i="8"/>
  <c r="E233" i="8" s="1"/>
  <c r="A233" i="8"/>
  <c r="N1318" i="8"/>
  <c r="D1317" i="8"/>
  <c r="E1317" i="8" s="1"/>
  <c r="A1317" i="8"/>
  <c r="C967" i="8"/>
  <c r="E966" i="8"/>
  <c r="N1319" i="8" l="1"/>
  <c r="D1318" i="8"/>
  <c r="E1318" i="8" s="1"/>
  <c r="A1318" i="8"/>
  <c r="N468" i="8"/>
  <c r="D467" i="8"/>
  <c r="E467" i="8" s="1"/>
  <c r="A467" i="8"/>
  <c r="C968" i="8"/>
  <c r="E967" i="8"/>
  <c r="N469" i="8" l="1"/>
  <c r="D468" i="8"/>
  <c r="E468" i="8" s="1"/>
  <c r="A468" i="8"/>
  <c r="N1320" i="8"/>
  <c r="D1319" i="8"/>
  <c r="E1319" i="8" s="1"/>
  <c r="A1319" i="8"/>
  <c r="C969" i="8"/>
  <c r="E968" i="8"/>
  <c r="N1321" i="8" l="1"/>
  <c r="D1320" i="8"/>
  <c r="E1320" i="8" s="1"/>
  <c r="A1320" i="8"/>
  <c r="N470" i="8"/>
  <c r="D469" i="8"/>
  <c r="E469" i="8" s="1"/>
  <c r="A469" i="8"/>
  <c r="C970" i="8"/>
  <c r="E969" i="8"/>
  <c r="N471" i="8" l="1"/>
  <c r="D470" i="8"/>
  <c r="E470" i="8" s="1"/>
  <c r="A470" i="8"/>
  <c r="N1322" i="8"/>
  <c r="D1321" i="8"/>
  <c r="E1321" i="8" s="1"/>
  <c r="A1321" i="8"/>
  <c r="C971" i="8"/>
  <c r="E970" i="8"/>
  <c r="N1323" i="8" l="1"/>
  <c r="D1322" i="8"/>
  <c r="E1322" i="8" s="1"/>
  <c r="A1322" i="8"/>
  <c r="N472" i="8"/>
  <c r="D471" i="8"/>
  <c r="E471" i="8" s="1"/>
  <c r="A471" i="8"/>
  <c r="C972" i="8"/>
  <c r="E971" i="8"/>
  <c r="N473" i="8" l="1"/>
  <c r="D472" i="8"/>
  <c r="E472" i="8" s="1"/>
  <c r="A472" i="8"/>
  <c r="N1324" i="8"/>
  <c r="D1323" i="8"/>
  <c r="E1323" i="8" s="1"/>
  <c r="A1323" i="8"/>
  <c r="C973" i="8"/>
  <c r="E972" i="8"/>
  <c r="N1325" i="8" l="1"/>
  <c r="D1324" i="8"/>
  <c r="E1324" i="8" s="1"/>
  <c r="A1324" i="8"/>
  <c r="N474" i="8"/>
  <c r="D473" i="8"/>
  <c r="E473" i="8" s="1"/>
  <c r="A473" i="8"/>
  <c r="C974" i="8"/>
  <c r="E973" i="8"/>
  <c r="N475" i="8" l="1"/>
  <c r="D474" i="8"/>
  <c r="E474" i="8" s="1"/>
  <c r="A474" i="8"/>
  <c r="N1326" i="8"/>
  <c r="D1325" i="8"/>
  <c r="E1325" i="8" s="1"/>
  <c r="A1325" i="8"/>
  <c r="C975" i="8"/>
  <c r="E974" i="8"/>
  <c r="N1327" i="8" l="1"/>
  <c r="D1326" i="8"/>
  <c r="E1326" i="8" s="1"/>
  <c r="A1326" i="8"/>
  <c r="N476" i="8"/>
  <c r="D475" i="8"/>
  <c r="E475" i="8" s="1"/>
  <c r="A475" i="8"/>
  <c r="C976" i="8"/>
  <c r="E975" i="8"/>
  <c r="N477" i="8" l="1"/>
  <c r="D476" i="8"/>
  <c r="E476" i="8" s="1"/>
  <c r="A476" i="8"/>
  <c r="N1328" i="8"/>
  <c r="D1327" i="8"/>
  <c r="E1327" i="8" s="1"/>
  <c r="A1327" i="8"/>
  <c r="C977" i="8"/>
  <c r="E976" i="8"/>
  <c r="N1329" i="8" l="1"/>
  <c r="D1328" i="8"/>
  <c r="E1328" i="8" s="1"/>
  <c r="A1328" i="8"/>
  <c r="N478" i="8"/>
  <c r="D477" i="8"/>
  <c r="E477" i="8" s="1"/>
  <c r="A477" i="8"/>
  <c r="C978" i="8"/>
  <c r="E977" i="8"/>
  <c r="N479" i="8" l="1"/>
  <c r="D478" i="8"/>
  <c r="E478" i="8" s="1"/>
  <c r="A478" i="8"/>
  <c r="N1330" i="8"/>
  <c r="D1329" i="8"/>
  <c r="E1329" i="8" s="1"/>
  <c r="A1329" i="8"/>
  <c r="C979" i="8"/>
  <c r="E978" i="8"/>
  <c r="N1331" i="8" l="1"/>
  <c r="D1330" i="8"/>
  <c r="E1330" i="8" s="1"/>
  <c r="A1330" i="8"/>
  <c r="N480" i="8"/>
  <c r="D479" i="8"/>
  <c r="E479" i="8" s="1"/>
  <c r="A479" i="8"/>
  <c r="C980" i="8"/>
  <c r="E979" i="8"/>
  <c r="N481" i="8" l="1"/>
  <c r="D480" i="8"/>
  <c r="E480" i="8" s="1"/>
  <c r="A480" i="8"/>
  <c r="N1332" i="8"/>
  <c r="D1331" i="8"/>
  <c r="E1331" i="8" s="1"/>
  <c r="A1331" i="8"/>
  <c r="C981" i="8"/>
  <c r="E980" i="8"/>
  <c r="N1333" i="8" l="1"/>
  <c r="D1332" i="8"/>
  <c r="E1332" i="8" s="1"/>
  <c r="A1332" i="8"/>
  <c r="N482" i="8"/>
  <c r="D481" i="8"/>
  <c r="E481" i="8" s="1"/>
  <c r="A481" i="8"/>
  <c r="E981" i="8"/>
  <c r="C982" i="8"/>
  <c r="N483" i="8" l="1"/>
  <c r="D482" i="8"/>
  <c r="E482" i="8" s="1"/>
  <c r="A482" i="8"/>
  <c r="N1334" i="8"/>
  <c r="D1333" i="8"/>
  <c r="E1333" i="8" s="1"/>
  <c r="A1333" i="8"/>
  <c r="E982" i="8"/>
  <c r="C983" i="8"/>
  <c r="N1335" i="8" l="1"/>
  <c r="D1334" i="8"/>
  <c r="E1334" i="8" s="1"/>
  <c r="A1334" i="8"/>
  <c r="N484" i="8"/>
  <c r="D483" i="8"/>
  <c r="E483" i="8" s="1"/>
  <c r="A483" i="8"/>
  <c r="C984" i="8"/>
  <c r="E983" i="8"/>
  <c r="N485" i="8" l="1"/>
  <c r="D484" i="8"/>
  <c r="E484" i="8" s="1"/>
  <c r="A484" i="8"/>
  <c r="N1336" i="8"/>
  <c r="D1335" i="8"/>
  <c r="E1335" i="8" s="1"/>
  <c r="A1335" i="8"/>
  <c r="C985" i="8"/>
  <c r="E984" i="8"/>
  <c r="N1337" i="8" l="1"/>
  <c r="D1336" i="8"/>
  <c r="E1336" i="8" s="1"/>
  <c r="A1336" i="8"/>
  <c r="N486" i="8"/>
  <c r="D485" i="8"/>
  <c r="E485" i="8" s="1"/>
  <c r="A485" i="8"/>
  <c r="C986" i="8"/>
  <c r="E985" i="8"/>
  <c r="N487" i="8" l="1"/>
  <c r="D486" i="8"/>
  <c r="E486" i="8" s="1"/>
  <c r="A486" i="8"/>
  <c r="N1338" i="8"/>
  <c r="D1337" i="8"/>
  <c r="E1337" i="8" s="1"/>
  <c r="A1337" i="8"/>
  <c r="C987" i="8"/>
  <c r="E986" i="8"/>
  <c r="N1339" i="8" l="1"/>
  <c r="D1338" i="8"/>
  <c r="E1338" i="8" s="1"/>
  <c r="A1338" i="8"/>
  <c r="N488" i="8"/>
  <c r="D487" i="8"/>
  <c r="E487" i="8" s="1"/>
  <c r="A487" i="8"/>
  <c r="C988" i="8"/>
  <c r="E987" i="8"/>
  <c r="N489" i="8" l="1"/>
  <c r="D488" i="8"/>
  <c r="E488" i="8" s="1"/>
  <c r="A488" i="8"/>
  <c r="N1340" i="8"/>
  <c r="D1339" i="8"/>
  <c r="E1339" i="8" s="1"/>
  <c r="A1339" i="8"/>
  <c r="C989" i="8"/>
  <c r="E988" i="8"/>
  <c r="N1341" i="8" l="1"/>
  <c r="D1340" i="8"/>
  <c r="E1340" i="8" s="1"/>
  <c r="A1340" i="8"/>
  <c r="N490" i="8"/>
  <c r="D489" i="8"/>
  <c r="E489" i="8" s="1"/>
  <c r="A489" i="8"/>
  <c r="C990" i="8"/>
  <c r="E989" i="8"/>
  <c r="N491" i="8" l="1"/>
  <c r="D490" i="8"/>
  <c r="E490" i="8" s="1"/>
  <c r="A490" i="8"/>
  <c r="N1342" i="8"/>
  <c r="D1341" i="8"/>
  <c r="E1341" i="8" s="1"/>
  <c r="A1341" i="8"/>
  <c r="C991" i="8"/>
  <c r="E990" i="8"/>
  <c r="N1343" i="8" l="1"/>
  <c r="D1342" i="8"/>
  <c r="E1342" i="8" s="1"/>
  <c r="A1342" i="8"/>
  <c r="N492" i="8"/>
  <c r="D491" i="8"/>
  <c r="E491" i="8" s="1"/>
  <c r="A491" i="8"/>
  <c r="C992" i="8"/>
  <c r="E991" i="8"/>
  <c r="N493" i="8" l="1"/>
  <c r="D492" i="8"/>
  <c r="E492" i="8" s="1"/>
  <c r="A492" i="8"/>
  <c r="N1344" i="8"/>
  <c r="D1343" i="8"/>
  <c r="E1343" i="8" s="1"/>
  <c r="A1343" i="8"/>
  <c r="C993" i="8"/>
  <c r="E992" i="8"/>
  <c r="N1345" i="8" l="1"/>
  <c r="D1344" i="8"/>
  <c r="E1344" i="8" s="1"/>
  <c r="A1344" i="8"/>
  <c r="N494" i="8"/>
  <c r="D493" i="8"/>
  <c r="E493" i="8" s="1"/>
  <c r="A493" i="8"/>
  <c r="C994" i="8"/>
  <c r="E993" i="8"/>
  <c r="N495" i="8" l="1"/>
  <c r="D494" i="8"/>
  <c r="E494" i="8" s="1"/>
  <c r="A494" i="8"/>
  <c r="N1346" i="8"/>
  <c r="D1345" i="8"/>
  <c r="E1345" i="8" s="1"/>
  <c r="A1345" i="8"/>
  <c r="C995" i="8"/>
  <c r="E994" i="8"/>
  <c r="N1347" i="8" l="1"/>
  <c r="D1346" i="8"/>
  <c r="E1346" i="8" s="1"/>
  <c r="A1346" i="8"/>
  <c r="N496" i="8"/>
  <c r="D495" i="8"/>
  <c r="E495" i="8" s="1"/>
  <c r="A495" i="8"/>
  <c r="C996" i="8"/>
  <c r="E995" i="8"/>
  <c r="N497" i="8" l="1"/>
  <c r="D496" i="8"/>
  <c r="E496" i="8" s="1"/>
  <c r="A496" i="8"/>
  <c r="N1348" i="8"/>
  <c r="D1347" i="8"/>
  <c r="E1347" i="8" s="1"/>
  <c r="A1347" i="8"/>
  <c r="C997" i="8"/>
  <c r="E996" i="8"/>
  <c r="N1349" i="8" l="1"/>
  <c r="D1348" i="8"/>
  <c r="E1348" i="8" s="1"/>
  <c r="A1348" i="8"/>
  <c r="N498" i="8"/>
  <c r="D497" i="8"/>
  <c r="E497" i="8" s="1"/>
  <c r="A497" i="8"/>
  <c r="C998" i="8"/>
  <c r="E997" i="8"/>
  <c r="N499" i="8" l="1"/>
  <c r="D498" i="8"/>
  <c r="E498" i="8" s="1"/>
  <c r="A498" i="8"/>
  <c r="N1350" i="8"/>
  <c r="D1349" i="8"/>
  <c r="E1349" i="8" s="1"/>
  <c r="A1349" i="8"/>
  <c r="C999" i="8"/>
  <c r="E998" i="8"/>
  <c r="N1351" i="8" l="1"/>
  <c r="D1350" i="8"/>
  <c r="E1350" i="8" s="1"/>
  <c r="A1350" i="8"/>
  <c r="N500" i="8"/>
  <c r="D499" i="8"/>
  <c r="E499" i="8" s="1"/>
  <c r="A499" i="8"/>
  <c r="C1000" i="8"/>
  <c r="E999" i="8"/>
  <c r="N501" i="8" l="1"/>
  <c r="D500" i="8"/>
  <c r="E500" i="8" s="1"/>
  <c r="A500" i="8"/>
  <c r="N1352" i="8"/>
  <c r="D1351" i="8"/>
  <c r="E1351" i="8" s="1"/>
  <c r="A1351" i="8"/>
  <c r="C1001" i="8"/>
  <c r="E1000" i="8"/>
  <c r="N1353" i="8" l="1"/>
  <c r="D1352" i="8"/>
  <c r="E1352" i="8" s="1"/>
  <c r="A1352" i="8"/>
  <c r="N502" i="8"/>
  <c r="D501" i="8"/>
  <c r="E501" i="8" s="1"/>
  <c r="A501" i="8"/>
  <c r="C1002" i="8"/>
  <c r="E1001" i="8"/>
  <c r="N503" i="8" l="1"/>
  <c r="D502" i="8"/>
  <c r="E502" i="8" s="1"/>
  <c r="A502" i="8"/>
  <c r="N1354" i="8"/>
  <c r="D1353" i="8"/>
  <c r="E1353" i="8" s="1"/>
  <c r="A1353" i="8"/>
  <c r="C1003" i="8"/>
  <c r="E1002" i="8"/>
  <c r="N1355" i="8" l="1"/>
  <c r="D1354" i="8"/>
  <c r="E1354" i="8" s="1"/>
  <c r="A1354" i="8"/>
  <c r="N504" i="8"/>
  <c r="D503" i="8"/>
  <c r="E503" i="8" s="1"/>
  <c r="A503" i="8"/>
  <c r="C1004" i="8"/>
  <c r="E1003" i="8"/>
  <c r="N505" i="8" l="1"/>
  <c r="D504" i="8"/>
  <c r="E504" i="8" s="1"/>
  <c r="A504" i="8"/>
  <c r="N1356" i="8"/>
  <c r="D1355" i="8"/>
  <c r="E1355" i="8" s="1"/>
  <c r="A1355" i="8"/>
  <c r="C1005" i="8"/>
  <c r="E1004" i="8"/>
  <c r="N1357" i="8" l="1"/>
  <c r="D1356" i="8"/>
  <c r="E1356" i="8" s="1"/>
  <c r="A1356" i="8"/>
  <c r="N506" i="8"/>
  <c r="D505" i="8"/>
  <c r="E505" i="8" s="1"/>
  <c r="A505" i="8"/>
  <c r="C1006" i="8"/>
  <c r="E1005" i="8"/>
  <c r="N507" i="8" l="1"/>
  <c r="D506" i="8"/>
  <c r="E506" i="8" s="1"/>
  <c r="A506" i="8"/>
  <c r="N1358" i="8"/>
  <c r="D1357" i="8"/>
  <c r="E1357" i="8" s="1"/>
  <c r="A1357" i="8"/>
  <c r="C1007" i="8"/>
  <c r="E1006" i="8"/>
  <c r="N1359" i="8" l="1"/>
  <c r="D1358" i="8"/>
  <c r="E1358" i="8" s="1"/>
  <c r="A1358" i="8"/>
  <c r="N508" i="8"/>
  <c r="D507" i="8"/>
  <c r="E507" i="8" s="1"/>
  <c r="A507" i="8"/>
  <c r="C1008" i="8"/>
  <c r="E1007" i="8"/>
  <c r="N509" i="8" l="1"/>
  <c r="D508" i="8"/>
  <c r="E508" i="8" s="1"/>
  <c r="A508" i="8"/>
  <c r="N1360" i="8"/>
  <c r="D1359" i="8"/>
  <c r="E1359" i="8" s="1"/>
  <c r="A1359" i="8"/>
  <c r="C1009" i="8"/>
  <c r="E1008" i="8"/>
  <c r="N1361" i="8" l="1"/>
  <c r="D1360" i="8"/>
  <c r="E1360" i="8" s="1"/>
  <c r="A1360" i="8"/>
  <c r="N510" i="8"/>
  <c r="D509" i="8"/>
  <c r="E509" i="8" s="1"/>
  <c r="A509" i="8"/>
  <c r="C1010" i="8"/>
  <c r="E1009" i="8"/>
  <c r="N511" i="8" l="1"/>
  <c r="D510" i="8"/>
  <c r="E510" i="8" s="1"/>
  <c r="A510" i="8"/>
  <c r="N1362" i="8"/>
  <c r="D1361" i="8"/>
  <c r="E1361" i="8" s="1"/>
  <c r="A1361" i="8"/>
  <c r="C1011" i="8"/>
  <c r="E1010" i="8"/>
  <c r="N1363" i="8" l="1"/>
  <c r="D1362" i="8"/>
  <c r="E1362" i="8" s="1"/>
  <c r="A1362" i="8"/>
  <c r="N512" i="8"/>
  <c r="D511" i="8"/>
  <c r="E511" i="8" s="1"/>
  <c r="A511" i="8"/>
  <c r="C1012" i="8"/>
  <c r="E1011" i="8"/>
  <c r="N513" i="8" l="1"/>
  <c r="D512" i="8"/>
  <c r="E512" i="8" s="1"/>
  <c r="A512" i="8"/>
  <c r="N1364" i="8"/>
  <c r="D1363" i="8"/>
  <c r="E1363" i="8" s="1"/>
  <c r="A1363" i="8"/>
  <c r="C1013" i="8"/>
  <c r="E1012" i="8"/>
  <c r="N1365" i="8" l="1"/>
  <c r="D1364" i="8"/>
  <c r="E1364" i="8" s="1"/>
  <c r="A1364" i="8"/>
  <c r="N514" i="8"/>
  <c r="D513" i="8"/>
  <c r="E513" i="8" s="1"/>
  <c r="A513" i="8"/>
  <c r="C1014" i="8"/>
  <c r="E1013" i="8"/>
  <c r="N515" i="8" l="1"/>
  <c r="D514" i="8"/>
  <c r="E514" i="8" s="1"/>
  <c r="A514" i="8"/>
  <c r="N1366" i="8"/>
  <c r="D1365" i="8"/>
  <c r="E1365" i="8" s="1"/>
  <c r="A1365" i="8"/>
  <c r="C1015" i="8"/>
  <c r="E1014" i="8"/>
  <c r="N1367" i="8" l="1"/>
  <c r="D1366" i="8"/>
  <c r="E1366" i="8" s="1"/>
  <c r="A1366" i="8"/>
  <c r="N516" i="8"/>
  <c r="D515" i="8"/>
  <c r="E515" i="8" s="1"/>
  <c r="A515" i="8"/>
  <c r="C1016" i="8"/>
  <c r="E1015" i="8"/>
  <c r="N517" i="8" l="1"/>
  <c r="D516" i="8"/>
  <c r="E516" i="8" s="1"/>
  <c r="A516" i="8"/>
  <c r="N1368" i="8"/>
  <c r="D1367" i="8"/>
  <c r="E1367" i="8" s="1"/>
  <c r="A1367" i="8"/>
  <c r="C1017" i="8"/>
  <c r="E1016" i="8"/>
  <c r="N1369" i="8" l="1"/>
  <c r="D1368" i="8"/>
  <c r="E1368" i="8" s="1"/>
  <c r="A1368" i="8"/>
  <c r="N518" i="8"/>
  <c r="D517" i="8"/>
  <c r="E517" i="8" s="1"/>
  <c r="A517" i="8"/>
  <c r="C1018" i="8"/>
  <c r="E1017" i="8"/>
  <c r="N519" i="8" l="1"/>
  <c r="D518" i="8"/>
  <c r="E518" i="8" s="1"/>
  <c r="A518" i="8"/>
  <c r="N1370" i="8"/>
  <c r="D1369" i="8"/>
  <c r="E1369" i="8" s="1"/>
  <c r="A1369" i="8"/>
  <c r="C1019" i="8"/>
  <c r="E1018" i="8"/>
  <c r="N1371" i="8" l="1"/>
  <c r="D1370" i="8"/>
  <c r="E1370" i="8" s="1"/>
  <c r="A1370" i="8"/>
  <c r="N520" i="8"/>
  <c r="D519" i="8"/>
  <c r="E519" i="8" s="1"/>
  <c r="A519" i="8"/>
  <c r="C1020" i="8"/>
  <c r="E1019" i="8"/>
  <c r="N521" i="8" l="1"/>
  <c r="D520" i="8"/>
  <c r="E520" i="8" s="1"/>
  <c r="A520" i="8"/>
  <c r="N1372" i="8"/>
  <c r="D1371" i="8"/>
  <c r="E1371" i="8" s="1"/>
  <c r="A1371" i="8"/>
  <c r="C1021" i="8"/>
  <c r="E1020" i="8"/>
  <c r="N1373" i="8" l="1"/>
  <c r="D1372" i="8"/>
  <c r="E1372" i="8" s="1"/>
  <c r="A1372" i="8"/>
  <c r="N522" i="8"/>
  <c r="D521" i="8"/>
  <c r="E521" i="8" s="1"/>
  <c r="A521" i="8"/>
  <c r="C1022" i="8"/>
  <c r="E1021" i="8"/>
  <c r="N523" i="8" l="1"/>
  <c r="D522" i="8"/>
  <c r="E522" i="8" s="1"/>
  <c r="A522" i="8"/>
  <c r="N1374" i="8"/>
  <c r="D1373" i="8"/>
  <c r="E1373" i="8" s="1"/>
  <c r="A1373" i="8"/>
  <c r="C1023" i="8"/>
  <c r="E1022" i="8"/>
  <c r="N1375" i="8" l="1"/>
  <c r="D1374" i="8"/>
  <c r="E1374" i="8" s="1"/>
  <c r="A1374" i="8"/>
  <c r="N524" i="8"/>
  <c r="D523" i="8"/>
  <c r="E523" i="8" s="1"/>
  <c r="A523" i="8"/>
  <c r="C1024" i="8"/>
  <c r="E1023" i="8"/>
  <c r="N525" i="8" l="1"/>
  <c r="D524" i="8"/>
  <c r="E524" i="8" s="1"/>
  <c r="A524" i="8"/>
  <c r="N1376" i="8"/>
  <c r="D1375" i="8"/>
  <c r="E1375" i="8" s="1"/>
  <c r="A1375" i="8"/>
  <c r="C1025" i="8"/>
  <c r="E1024" i="8"/>
  <c r="N1377" i="8" l="1"/>
  <c r="D1376" i="8"/>
  <c r="E1376" i="8" s="1"/>
  <c r="A1376" i="8"/>
  <c r="N526" i="8"/>
  <c r="D525" i="8"/>
  <c r="E525" i="8" s="1"/>
  <c r="A525" i="8"/>
  <c r="C1026" i="8"/>
  <c r="E1025" i="8"/>
  <c r="N527" i="8" l="1"/>
  <c r="D526" i="8"/>
  <c r="E526" i="8" s="1"/>
  <c r="A526" i="8"/>
  <c r="N1378" i="8"/>
  <c r="D1377" i="8"/>
  <c r="E1377" i="8" s="1"/>
  <c r="A1377" i="8"/>
  <c r="C1027" i="8"/>
  <c r="E1026" i="8"/>
  <c r="N1379" i="8" l="1"/>
  <c r="D1378" i="8"/>
  <c r="E1378" i="8" s="1"/>
  <c r="A1378" i="8"/>
  <c r="N528" i="8"/>
  <c r="D527" i="8"/>
  <c r="E527" i="8" s="1"/>
  <c r="A527" i="8"/>
  <c r="C1028" i="8"/>
  <c r="E1027" i="8"/>
  <c r="N529" i="8" l="1"/>
  <c r="D528" i="8"/>
  <c r="E528" i="8" s="1"/>
  <c r="A528" i="8"/>
  <c r="N1380" i="8"/>
  <c r="D1379" i="8"/>
  <c r="E1379" i="8" s="1"/>
  <c r="A1379" i="8"/>
  <c r="C1029" i="8"/>
  <c r="E1028" i="8"/>
  <c r="N1381" i="8" l="1"/>
  <c r="D1380" i="8"/>
  <c r="E1380" i="8" s="1"/>
  <c r="A1380" i="8"/>
  <c r="N530" i="8"/>
  <c r="D529" i="8"/>
  <c r="E529" i="8" s="1"/>
  <c r="A529" i="8"/>
  <c r="C1030" i="8"/>
  <c r="E1029" i="8"/>
  <c r="N531" i="8" l="1"/>
  <c r="D530" i="8"/>
  <c r="E530" i="8" s="1"/>
  <c r="A530" i="8"/>
  <c r="N1382" i="8"/>
  <c r="D1381" i="8"/>
  <c r="E1381" i="8" s="1"/>
  <c r="A1381" i="8"/>
  <c r="C1031" i="8"/>
  <c r="E1030" i="8"/>
  <c r="N1383" i="8" l="1"/>
  <c r="D1382" i="8"/>
  <c r="E1382" i="8" s="1"/>
  <c r="A1382" i="8"/>
  <c r="N532" i="8"/>
  <c r="D531" i="8"/>
  <c r="E531" i="8" s="1"/>
  <c r="A531" i="8"/>
  <c r="C1032" i="8"/>
  <c r="E1031" i="8"/>
  <c r="N533" i="8" l="1"/>
  <c r="D532" i="8"/>
  <c r="E532" i="8" s="1"/>
  <c r="A532" i="8"/>
  <c r="D1383" i="8"/>
  <c r="E1383" i="8" s="1"/>
  <c r="N1384" i="8"/>
  <c r="A1383" i="8"/>
  <c r="C1033" i="8"/>
  <c r="E1032" i="8"/>
  <c r="D1384" i="8" l="1"/>
  <c r="E1384" i="8" s="1"/>
  <c r="N1385" i="8"/>
  <c r="A1384" i="8"/>
  <c r="N534" i="8"/>
  <c r="D533" i="8"/>
  <c r="E533" i="8" s="1"/>
  <c r="A533" i="8"/>
  <c r="C1034" i="8"/>
  <c r="E1033" i="8"/>
  <c r="N535" i="8" l="1"/>
  <c r="D534" i="8"/>
  <c r="E534" i="8" s="1"/>
  <c r="A534" i="8"/>
  <c r="D1385" i="8"/>
  <c r="E1385" i="8" s="1"/>
  <c r="N1386" i="8"/>
  <c r="A1385" i="8"/>
  <c r="C1035" i="8"/>
  <c r="E1034" i="8"/>
  <c r="D1386" i="8" l="1"/>
  <c r="E1386" i="8" s="1"/>
  <c r="N1387" i="8"/>
  <c r="A1386" i="8"/>
  <c r="N536" i="8"/>
  <c r="D535" i="8"/>
  <c r="E535" i="8" s="1"/>
  <c r="A535" i="8"/>
  <c r="C1036" i="8"/>
  <c r="E1035" i="8"/>
  <c r="N537" i="8" l="1"/>
  <c r="D536" i="8"/>
  <c r="E536" i="8" s="1"/>
  <c r="A536" i="8"/>
  <c r="D1387" i="8"/>
  <c r="E1387" i="8" s="1"/>
  <c r="N1388" i="8"/>
  <c r="A1387" i="8"/>
  <c r="E1036" i="8"/>
  <c r="C1037" i="8"/>
  <c r="D1388" i="8" l="1"/>
  <c r="E1388" i="8" s="1"/>
  <c r="N1389" i="8"/>
  <c r="A1388" i="8"/>
  <c r="N538" i="8"/>
  <c r="D537" i="8"/>
  <c r="E537" i="8" s="1"/>
  <c r="A537" i="8"/>
  <c r="C1038" i="8"/>
  <c r="E1037" i="8"/>
  <c r="N539" i="8" l="1"/>
  <c r="D538" i="8"/>
  <c r="E538" i="8" s="1"/>
  <c r="A538" i="8"/>
  <c r="D1389" i="8"/>
  <c r="E1389" i="8" s="1"/>
  <c r="A1389" i="8"/>
  <c r="N1390" i="8"/>
  <c r="C1039" i="8"/>
  <c r="E1038" i="8"/>
  <c r="N1391" i="8" l="1"/>
  <c r="D1390" i="8"/>
  <c r="E1390" i="8" s="1"/>
  <c r="A1390" i="8"/>
  <c r="N540" i="8"/>
  <c r="D539" i="8"/>
  <c r="E539" i="8" s="1"/>
  <c r="A539" i="8"/>
  <c r="C1040" i="8"/>
  <c r="E1039" i="8"/>
  <c r="N541" i="8" l="1"/>
  <c r="D540" i="8"/>
  <c r="E540" i="8" s="1"/>
  <c r="A540" i="8"/>
  <c r="N1392" i="8"/>
  <c r="D1391" i="8"/>
  <c r="E1391" i="8" s="1"/>
  <c r="A1391" i="8"/>
  <c r="C1041" i="8"/>
  <c r="E1040" i="8"/>
  <c r="N1393" i="8" l="1"/>
  <c r="D1392" i="8"/>
  <c r="E1392" i="8" s="1"/>
  <c r="A1392" i="8"/>
  <c r="D541" i="8"/>
  <c r="E541" i="8" s="1"/>
  <c r="N542" i="8"/>
  <c r="A541" i="8"/>
  <c r="E1041" i="8"/>
  <c r="C1042" i="8"/>
  <c r="N543" i="8" l="1"/>
  <c r="D542" i="8"/>
  <c r="E542" i="8" s="1"/>
  <c r="A542" i="8"/>
  <c r="N1394" i="8"/>
  <c r="D1393" i="8"/>
  <c r="E1393" i="8" s="1"/>
  <c r="A1393" i="8"/>
  <c r="C1043" i="8"/>
  <c r="E1042" i="8"/>
  <c r="N1395" i="8" l="1"/>
  <c r="D1394" i="8"/>
  <c r="E1394" i="8" s="1"/>
  <c r="A1394" i="8"/>
  <c r="N544" i="8"/>
  <c r="D543" i="8"/>
  <c r="E543" i="8" s="1"/>
  <c r="A543" i="8"/>
  <c r="C1044" i="8"/>
  <c r="E1043" i="8"/>
  <c r="N545" i="8" l="1"/>
  <c r="D544" i="8"/>
  <c r="E544" i="8" s="1"/>
  <c r="A544" i="8"/>
  <c r="N1396" i="8"/>
  <c r="D1395" i="8"/>
  <c r="E1395" i="8" s="1"/>
  <c r="A1395" i="8"/>
  <c r="C1045" i="8"/>
  <c r="E1044" i="8"/>
  <c r="N1397" i="8" l="1"/>
  <c r="D1396" i="8"/>
  <c r="E1396" i="8" s="1"/>
  <c r="A1396" i="8"/>
  <c r="N546" i="8"/>
  <c r="D545" i="8"/>
  <c r="E545" i="8" s="1"/>
  <c r="A545" i="8"/>
  <c r="C1046" i="8"/>
  <c r="E1045" i="8"/>
  <c r="N547" i="8" l="1"/>
  <c r="D546" i="8"/>
  <c r="E546" i="8" s="1"/>
  <c r="A546" i="8"/>
  <c r="N1398" i="8"/>
  <c r="D1397" i="8"/>
  <c r="E1397" i="8" s="1"/>
  <c r="A1397" i="8"/>
  <c r="C1047" i="8"/>
  <c r="E1047" i="8" s="1"/>
  <c r="E1046" i="8"/>
  <c r="N1399" i="8" l="1"/>
  <c r="D1398" i="8"/>
  <c r="E1398" i="8" s="1"/>
  <c r="A1398" i="8"/>
  <c r="N548" i="8"/>
  <c r="D547" i="8"/>
  <c r="E547" i="8" s="1"/>
  <c r="A547" i="8"/>
  <c r="N549" i="8" l="1"/>
  <c r="D548" i="8"/>
  <c r="E548" i="8" s="1"/>
  <c r="A548" i="8"/>
  <c r="N1400" i="8"/>
  <c r="D1399" i="8"/>
  <c r="E1399" i="8" s="1"/>
  <c r="A1399" i="8"/>
  <c r="N1401" i="8" l="1"/>
  <c r="D1400" i="8"/>
  <c r="E1400" i="8" s="1"/>
  <c r="A1400" i="8"/>
  <c r="N550" i="8"/>
  <c r="D549" i="8"/>
  <c r="E549" i="8" s="1"/>
  <c r="A549" i="8"/>
  <c r="N551" i="8" l="1"/>
  <c r="D550" i="8"/>
  <c r="E550" i="8" s="1"/>
  <c r="A550" i="8"/>
  <c r="N1402" i="8"/>
  <c r="D1401" i="8"/>
  <c r="E1401" i="8" s="1"/>
  <c r="A1401" i="8"/>
  <c r="N1403" i="8" l="1"/>
  <c r="D1402" i="8"/>
  <c r="E1402" i="8" s="1"/>
  <c r="A1402" i="8"/>
  <c r="N552" i="8"/>
  <c r="D551" i="8"/>
  <c r="E551" i="8" s="1"/>
  <c r="A551" i="8"/>
  <c r="N553" i="8" l="1"/>
  <c r="D552" i="8"/>
  <c r="E552" i="8" s="1"/>
  <c r="A552" i="8"/>
  <c r="D1403" i="8"/>
  <c r="E1403" i="8" s="1"/>
  <c r="N1404" i="8"/>
  <c r="A1403" i="8"/>
  <c r="N1405" i="8" l="1"/>
  <c r="D1404" i="8"/>
  <c r="E1404" i="8" s="1"/>
  <c r="A1404" i="8"/>
  <c r="N554" i="8"/>
  <c r="D553" i="8"/>
  <c r="E553" i="8" s="1"/>
  <c r="A553" i="8"/>
  <c r="N555" i="8" l="1"/>
  <c r="D554" i="8"/>
  <c r="E554" i="8" s="1"/>
  <c r="A554" i="8"/>
  <c r="D1405" i="8"/>
  <c r="E1405" i="8" s="1"/>
  <c r="A1405" i="8"/>
  <c r="N1406" i="8"/>
  <c r="D1406" i="8" l="1"/>
  <c r="E1406" i="8" s="1"/>
  <c r="N1407" i="8"/>
  <c r="A1406" i="8"/>
  <c r="N556" i="8"/>
  <c r="D555" i="8"/>
  <c r="E555" i="8" s="1"/>
  <c r="A555" i="8"/>
  <c r="N557" i="8" l="1"/>
  <c r="D556" i="8"/>
  <c r="E556" i="8" s="1"/>
  <c r="A556" i="8"/>
  <c r="D1407" i="8"/>
  <c r="E1407" i="8" s="1"/>
  <c r="N1408" i="8"/>
  <c r="A1407" i="8"/>
  <c r="D1408" i="8" l="1"/>
  <c r="E1408" i="8" s="1"/>
  <c r="A1408" i="8"/>
  <c r="N1409" i="8"/>
  <c r="N558" i="8"/>
  <c r="D557" i="8"/>
  <c r="E557" i="8" s="1"/>
  <c r="A557" i="8"/>
  <c r="N559" i="8" l="1"/>
  <c r="D558" i="8"/>
  <c r="E558" i="8" s="1"/>
  <c r="A558" i="8"/>
  <c r="N1410" i="8"/>
  <c r="D1409" i="8"/>
  <c r="E1409" i="8" s="1"/>
  <c r="A1409" i="8"/>
  <c r="N1411" i="8" l="1"/>
  <c r="D1410" i="8"/>
  <c r="E1410" i="8" s="1"/>
  <c r="A1410" i="8"/>
  <c r="N560" i="8"/>
  <c r="D559" i="8"/>
  <c r="E559" i="8" s="1"/>
  <c r="A559" i="8"/>
  <c r="N561" i="8" l="1"/>
  <c r="D560" i="8"/>
  <c r="E560" i="8" s="1"/>
  <c r="A560" i="8"/>
  <c r="N1412" i="8"/>
  <c r="D1411" i="8"/>
  <c r="E1411" i="8" s="1"/>
  <c r="A1411" i="8"/>
  <c r="N1413" i="8" l="1"/>
  <c r="D1412" i="8"/>
  <c r="E1412" i="8" s="1"/>
  <c r="A1412" i="8"/>
  <c r="N562" i="8"/>
  <c r="D561" i="8"/>
  <c r="E561" i="8" s="1"/>
  <c r="A561" i="8"/>
  <c r="N563" i="8" l="1"/>
  <c r="D562" i="8"/>
  <c r="E562" i="8" s="1"/>
  <c r="A562" i="8"/>
  <c r="N1414" i="8"/>
  <c r="D1413" i="8"/>
  <c r="E1413" i="8" s="1"/>
  <c r="A1413" i="8"/>
  <c r="N1415" i="8" l="1"/>
  <c r="D1414" i="8"/>
  <c r="E1414" i="8" s="1"/>
  <c r="A1414" i="8"/>
  <c r="N564" i="8"/>
  <c r="D563" i="8"/>
  <c r="E563" i="8" s="1"/>
  <c r="A563" i="8"/>
  <c r="N565" i="8" l="1"/>
  <c r="D564" i="8"/>
  <c r="E564" i="8" s="1"/>
  <c r="A564" i="8"/>
  <c r="N1416" i="8"/>
  <c r="D1415" i="8"/>
  <c r="E1415" i="8" s="1"/>
  <c r="A1415" i="8"/>
  <c r="N1417" i="8" l="1"/>
  <c r="A1416" i="8"/>
  <c r="D1416" i="8"/>
  <c r="E1416" i="8" s="1"/>
  <c r="N566" i="8"/>
  <c r="D565" i="8"/>
  <c r="E565" i="8" s="1"/>
  <c r="A565" i="8"/>
  <c r="N567" i="8" l="1"/>
  <c r="D566" i="8"/>
  <c r="E566" i="8" s="1"/>
  <c r="A566" i="8"/>
  <c r="D1417" i="8"/>
  <c r="E1417" i="8" s="1"/>
  <c r="A1417" i="8"/>
  <c r="N1418" i="8"/>
  <c r="D1418" i="8" l="1"/>
  <c r="E1418" i="8" s="1"/>
  <c r="N1419" i="8"/>
  <c r="A1418" i="8"/>
  <c r="N568" i="8"/>
  <c r="D567" i="8"/>
  <c r="E567" i="8" s="1"/>
  <c r="A567" i="8"/>
  <c r="N569" i="8" l="1"/>
  <c r="D568" i="8"/>
  <c r="E568" i="8" s="1"/>
  <c r="A568" i="8"/>
  <c r="N1420" i="8"/>
  <c r="D1419" i="8"/>
  <c r="E1419" i="8" s="1"/>
  <c r="A1419" i="8"/>
  <c r="N1421" i="8" l="1"/>
  <c r="D1420" i="8"/>
  <c r="E1420" i="8" s="1"/>
  <c r="A1420" i="8"/>
  <c r="N570" i="8"/>
  <c r="D569" i="8"/>
  <c r="E569" i="8" s="1"/>
  <c r="A569" i="8"/>
  <c r="N571" i="8" l="1"/>
  <c r="D570" i="8"/>
  <c r="E570" i="8" s="1"/>
  <c r="A570" i="8"/>
  <c r="N1422" i="8"/>
  <c r="D1421" i="8"/>
  <c r="E1421" i="8" s="1"/>
  <c r="A1421" i="8"/>
  <c r="N1423" i="8" l="1"/>
  <c r="D1422" i="8"/>
  <c r="E1422" i="8" s="1"/>
  <c r="A1422" i="8"/>
  <c r="N572" i="8"/>
  <c r="D571" i="8"/>
  <c r="E571" i="8" s="1"/>
  <c r="A571" i="8"/>
  <c r="N573" i="8" l="1"/>
  <c r="D572" i="8"/>
  <c r="E572" i="8" s="1"/>
  <c r="A572" i="8"/>
  <c r="N1424" i="8"/>
  <c r="D1423" i="8"/>
  <c r="E1423" i="8" s="1"/>
  <c r="A1423" i="8"/>
  <c r="N1425" i="8" l="1"/>
  <c r="D1424" i="8"/>
  <c r="E1424" i="8" s="1"/>
  <c r="A1424" i="8"/>
  <c r="N574" i="8"/>
  <c r="D573" i="8"/>
  <c r="E573" i="8" s="1"/>
  <c r="A573" i="8"/>
  <c r="N575" i="8" l="1"/>
  <c r="D574" i="8"/>
  <c r="E574" i="8" s="1"/>
  <c r="A574" i="8"/>
  <c r="N1426" i="8"/>
  <c r="D1425" i="8"/>
  <c r="E1425" i="8" s="1"/>
  <c r="A1425" i="8"/>
  <c r="N1427" i="8" l="1"/>
  <c r="D1426" i="8"/>
  <c r="E1426" i="8" s="1"/>
  <c r="A1426" i="8"/>
  <c r="N576" i="8"/>
  <c r="D575" i="8"/>
  <c r="E575" i="8" s="1"/>
  <c r="A575" i="8"/>
  <c r="N577" i="8" l="1"/>
  <c r="D576" i="8"/>
  <c r="E576" i="8" s="1"/>
  <c r="A576" i="8"/>
  <c r="D1427" i="8"/>
  <c r="E1427" i="8" s="1"/>
  <c r="A1427" i="8"/>
  <c r="N1428" i="8"/>
  <c r="N1429" i="8" l="1"/>
  <c r="D1428" i="8"/>
  <c r="E1428" i="8" s="1"/>
  <c r="A1428" i="8"/>
  <c r="N578" i="8"/>
  <c r="D577" i="8"/>
  <c r="E577" i="8" s="1"/>
  <c r="A577" i="8"/>
  <c r="N579" i="8" l="1"/>
  <c r="D578" i="8"/>
  <c r="E578" i="8" s="1"/>
  <c r="A578" i="8"/>
  <c r="D1429" i="8"/>
  <c r="E1429" i="8" s="1"/>
  <c r="A1429" i="8"/>
  <c r="N1430" i="8"/>
  <c r="N1431" i="8" l="1"/>
  <c r="D1430" i="8"/>
  <c r="E1430" i="8" s="1"/>
  <c r="A1430" i="8"/>
  <c r="N580" i="8"/>
  <c r="D579" i="8"/>
  <c r="E579" i="8" s="1"/>
  <c r="A579" i="8"/>
  <c r="N581" i="8" l="1"/>
  <c r="D580" i="8"/>
  <c r="E580" i="8" s="1"/>
  <c r="A580" i="8"/>
  <c r="D1431" i="8"/>
  <c r="E1431" i="8" s="1"/>
  <c r="A1431" i="8"/>
  <c r="N582" i="8" l="1"/>
  <c r="D581" i="8"/>
  <c r="E581" i="8" s="1"/>
  <c r="A581" i="8"/>
  <c r="N583" i="8" l="1"/>
  <c r="D582" i="8"/>
  <c r="E582" i="8" s="1"/>
  <c r="A582" i="8"/>
  <c r="N584" i="8" l="1"/>
  <c r="D583" i="8"/>
  <c r="E583" i="8" s="1"/>
  <c r="A583" i="8"/>
  <c r="N585" i="8" l="1"/>
  <c r="D584" i="8"/>
  <c r="E584" i="8" s="1"/>
  <c r="A584" i="8"/>
  <c r="N586" i="8" l="1"/>
  <c r="D585" i="8"/>
  <c r="E585" i="8" s="1"/>
  <c r="A585" i="8"/>
  <c r="N587" i="8" l="1"/>
  <c r="D586" i="8"/>
  <c r="E586" i="8" s="1"/>
  <c r="A586" i="8"/>
  <c r="N588" i="8" l="1"/>
  <c r="D587" i="8"/>
  <c r="E587" i="8" s="1"/>
  <c r="A587" i="8"/>
  <c r="N589" i="8" l="1"/>
  <c r="D588" i="8"/>
  <c r="E588" i="8" s="1"/>
  <c r="A588" i="8"/>
  <c r="N590" i="8" l="1"/>
  <c r="D589" i="8"/>
  <c r="E589" i="8" s="1"/>
  <c r="A589" i="8"/>
  <c r="N591" i="8" l="1"/>
  <c r="D590" i="8"/>
  <c r="E590" i="8" s="1"/>
  <c r="A590" i="8"/>
  <c r="N592" i="8" l="1"/>
  <c r="D591" i="8"/>
  <c r="E591" i="8" s="1"/>
  <c r="A591" i="8"/>
  <c r="N593" i="8" l="1"/>
  <c r="D592" i="8"/>
  <c r="E592" i="8" s="1"/>
  <c r="A592" i="8"/>
  <c r="N594" i="8" l="1"/>
  <c r="D593" i="8"/>
  <c r="E593" i="8" s="1"/>
  <c r="A593" i="8"/>
  <c r="N595" i="8" l="1"/>
  <c r="D594" i="8"/>
  <c r="E594" i="8" s="1"/>
  <c r="A594" i="8"/>
  <c r="N596" i="8" l="1"/>
  <c r="D595" i="8"/>
  <c r="E595" i="8" s="1"/>
  <c r="A595" i="8"/>
  <c r="N597" i="8" l="1"/>
  <c r="D596" i="8"/>
  <c r="E596" i="8" s="1"/>
  <c r="A596" i="8"/>
  <c r="N598" i="8" l="1"/>
  <c r="D597" i="8"/>
  <c r="E597" i="8" s="1"/>
  <c r="A597" i="8"/>
  <c r="N599" i="8" l="1"/>
  <c r="D598" i="8"/>
  <c r="E598" i="8" s="1"/>
  <c r="A598" i="8"/>
  <c r="N600" i="8" l="1"/>
  <c r="D599" i="8"/>
  <c r="E599" i="8" s="1"/>
  <c r="A599" i="8"/>
  <c r="N601" i="8" l="1"/>
  <c r="D600" i="8"/>
  <c r="E600" i="8" s="1"/>
  <c r="A600" i="8"/>
  <c r="N602" i="8" l="1"/>
  <c r="D601" i="8"/>
  <c r="E601" i="8" s="1"/>
  <c r="A601" i="8"/>
  <c r="N603" i="8" l="1"/>
  <c r="D602" i="8"/>
  <c r="E602" i="8" s="1"/>
  <c r="A602" i="8"/>
  <c r="N604" i="8" l="1"/>
  <c r="D603" i="8"/>
  <c r="E603" i="8" s="1"/>
  <c r="A603" i="8"/>
  <c r="N605" i="8" l="1"/>
  <c r="D604" i="8"/>
  <c r="E604" i="8" s="1"/>
  <c r="A604" i="8"/>
  <c r="N606" i="8" l="1"/>
  <c r="D605" i="8"/>
  <c r="E605" i="8" s="1"/>
  <c r="A605" i="8"/>
  <c r="N607" i="8" l="1"/>
  <c r="D606" i="8"/>
  <c r="E606" i="8" s="1"/>
  <c r="A606" i="8"/>
  <c r="N608" i="8" l="1"/>
  <c r="D607" i="8"/>
  <c r="E607" i="8" s="1"/>
  <c r="A607" i="8"/>
  <c r="N609" i="8" l="1"/>
  <c r="D608" i="8"/>
  <c r="E608" i="8" s="1"/>
  <c r="A608" i="8"/>
  <c r="N610" i="8" l="1"/>
  <c r="D609" i="8"/>
  <c r="E609" i="8" s="1"/>
  <c r="A609" i="8"/>
  <c r="N611" i="8" l="1"/>
  <c r="D610" i="8"/>
  <c r="E610" i="8" s="1"/>
  <c r="A610" i="8"/>
  <c r="N612" i="8" l="1"/>
  <c r="D611" i="8"/>
  <c r="E611" i="8" s="1"/>
  <c r="A611" i="8"/>
  <c r="N613" i="8" l="1"/>
  <c r="D612" i="8"/>
  <c r="E612" i="8" s="1"/>
  <c r="A612" i="8"/>
  <c r="N614" i="8" l="1"/>
  <c r="D613" i="8"/>
  <c r="E613" i="8" s="1"/>
  <c r="A613" i="8"/>
  <c r="N615" i="8" l="1"/>
  <c r="D614" i="8"/>
  <c r="E614" i="8" s="1"/>
  <c r="A614" i="8"/>
  <c r="N616" i="8" l="1"/>
  <c r="D615" i="8"/>
  <c r="E615" i="8" s="1"/>
  <c r="A615" i="8"/>
  <c r="N617" i="8" l="1"/>
  <c r="D616" i="8"/>
  <c r="E616" i="8" s="1"/>
  <c r="A616" i="8"/>
  <c r="N618" i="8" l="1"/>
  <c r="D617" i="8"/>
  <c r="E617" i="8" s="1"/>
  <c r="A617" i="8"/>
  <c r="N619" i="8" l="1"/>
  <c r="D618" i="8"/>
  <c r="E618" i="8" s="1"/>
  <c r="A618" i="8"/>
  <c r="N620" i="8" l="1"/>
  <c r="D619" i="8"/>
  <c r="E619" i="8" s="1"/>
  <c r="A619" i="8"/>
  <c r="N621" i="8" l="1"/>
  <c r="D620" i="8"/>
  <c r="E620" i="8" s="1"/>
  <c r="A620" i="8"/>
  <c r="N622" i="8" l="1"/>
  <c r="D621" i="8"/>
  <c r="E621" i="8" s="1"/>
  <c r="A621" i="8"/>
  <c r="N623" i="8" l="1"/>
  <c r="D622" i="8"/>
  <c r="E622" i="8" s="1"/>
  <c r="A622" i="8"/>
  <c r="N624" i="8" l="1"/>
  <c r="D623" i="8"/>
  <c r="E623" i="8" s="1"/>
  <c r="A623" i="8"/>
  <c r="N625" i="8" l="1"/>
  <c r="D624" i="8"/>
  <c r="E624" i="8" s="1"/>
  <c r="A624" i="8"/>
  <c r="N626" i="8" l="1"/>
  <c r="D625" i="8"/>
  <c r="E625" i="8" s="1"/>
  <c r="A625" i="8"/>
  <c r="N627" i="8" l="1"/>
  <c r="D626" i="8"/>
  <c r="E626" i="8" s="1"/>
  <c r="A626" i="8"/>
  <c r="N628" i="8" l="1"/>
  <c r="D627" i="8"/>
  <c r="E627" i="8" s="1"/>
  <c r="A627" i="8"/>
  <c r="N629" i="8" l="1"/>
  <c r="D628" i="8"/>
  <c r="E628" i="8" s="1"/>
  <c r="A628" i="8"/>
  <c r="N630" i="8" l="1"/>
  <c r="D629" i="8"/>
  <c r="E629" i="8" s="1"/>
  <c r="A629" i="8"/>
  <c r="N631" i="8" l="1"/>
  <c r="D630" i="8"/>
  <c r="E630" i="8" s="1"/>
  <c r="A630" i="8"/>
  <c r="N632" i="8" l="1"/>
  <c r="D631" i="8"/>
  <c r="E631" i="8" s="1"/>
  <c r="A631" i="8"/>
  <c r="N633" i="8" l="1"/>
  <c r="D632" i="8"/>
  <c r="E632" i="8" s="1"/>
  <c r="A632" i="8"/>
  <c r="N634" i="8" l="1"/>
  <c r="D633" i="8"/>
  <c r="E633" i="8" s="1"/>
  <c r="A633" i="8"/>
  <c r="N635" i="8" l="1"/>
  <c r="D634" i="8"/>
  <c r="E634" i="8" s="1"/>
  <c r="A634" i="8"/>
  <c r="N636" i="8" l="1"/>
  <c r="D635" i="8"/>
  <c r="E635" i="8" s="1"/>
  <c r="A635" i="8"/>
  <c r="N637" i="8" l="1"/>
  <c r="D636" i="8"/>
  <c r="E636" i="8" s="1"/>
  <c r="A636" i="8"/>
  <c r="N638" i="8" l="1"/>
  <c r="D637" i="8"/>
  <c r="E637" i="8" s="1"/>
  <c r="A637" i="8"/>
  <c r="N639" i="8" l="1"/>
  <c r="D638" i="8"/>
  <c r="E638" i="8" s="1"/>
  <c r="A638" i="8"/>
  <c r="N640" i="8" l="1"/>
  <c r="D639" i="8"/>
  <c r="E639" i="8" s="1"/>
  <c r="A639" i="8"/>
  <c r="N641" i="8" l="1"/>
  <c r="D640" i="8"/>
  <c r="E640" i="8" s="1"/>
  <c r="A640" i="8"/>
  <c r="N642" i="8" l="1"/>
  <c r="D641" i="8"/>
  <c r="E641" i="8" s="1"/>
  <c r="A641" i="8"/>
  <c r="N643" i="8" l="1"/>
  <c r="D642" i="8"/>
  <c r="E642" i="8" s="1"/>
  <c r="A642" i="8"/>
  <c r="N644" i="8" l="1"/>
  <c r="D643" i="8"/>
  <c r="E643" i="8" s="1"/>
  <c r="A643" i="8"/>
  <c r="N645" i="8" l="1"/>
  <c r="D644" i="8"/>
  <c r="E644" i="8" s="1"/>
  <c r="A644" i="8"/>
  <c r="N646" i="8" l="1"/>
  <c r="D645" i="8"/>
  <c r="E645" i="8" s="1"/>
  <c r="A645" i="8"/>
  <c r="N647" i="8" l="1"/>
  <c r="D646" i="8"/>
  <c r="E646" i="8" s="1"/>
  <c r="A646" i="8"/>
  <c r="D647" i="8" l="1"/>
  <c r="E647" i="8" s="1"/>
  <c r="N648" i="8"/>
  <c r="A647" i="8"/>
  <c r="N649" i="8" l="1"/>
  <c r="D648" i="8"/>
  <c r="E648" i="8" s="1"/>
  <c r="A648" i="8"/>
  <c r="N650" i="8" l="1"/>
  <c r="D649" i="8"/>
  <c r="E649" i="8" s="1"/>
  <c r="A649" i="8"/>
  <c r="N651" i="8" l="1"/>
  <c r="D650" i="8"/>
  <c r="E650" i="8" s="1"/>
  <c r="A650" i="8"/>
  <c r="N652" i="8" l="1"/>
  <c r="D651" i="8"/>
  <c r="E651" i="8" s="1"/>
  <c r="A651" i="8"/>
  <c r="N653" i="8" l="1"/>
  <c r="D652" i="8"/>
  <c r="E652" i="8" s="1"/>
  <c r="A652" i="8"/>
  <c r="N654" i="8" l="1"/>
  <c r="D653" i="8"/>
  <c r="E653" i="8" s="1"/>
  <c r="A653" i="8"/>
  <c r="N655" i="8" l="1"/>
  <c r="D654" i="8"/>
  <c r="E654" i="8" s="1"/>
  <c r="A654" i="8"/>
  <c r="N656" i="8" l="1"/>
  <c r="D655" i="8"/>
  <c r="E655" i="8" s="1"/>
  <c r="A655" i="8"/>
  <c r="N657" i="8" l="1"/>
  <c r="D656" i="8"/>
  <c r="E656" i="8" s="1"/>
  <c r="A656" i="8"/>
  <c r="N658" i="8" l="1"/>
  <c r="D657" i="8"/>
  <c r="E657" i="8" s="1"/>
  <c r="A657" i="8"/>
  <c r="N659" i="8" l="1"/>
  <c r="D658" i="8"/>
  <c r="E658" i="8" s="1"/>
  <c r="A658" i="8"/>
  <c r="N660" i="8" l="1"/>
  <c r="D659" i="8"/>
  <c r="E659" i="8" s="1"/>
  <c r="A659" i="8"/>
  <c r="N661" i="8" l="1"/>
  <c r="D660" i="8"/>
  <c r="E660" i="8" s="1"/>
  <c r="A660" i="8"/>
  <c r="N662" i="8" l="1"/>
  <c r="D661" i="8"/>
  <c r="E661" i="8" s="1"/>
  <c r="A661" i="8"/>
  <c r="N663" i="8" l="1"/>
  <c r="D662" i="8"/>
  <c r="E662" i="8" s="1"/>
  <c r="A662" i="8"/>
  <c r="N664" i="8" l="1"/>
  <c r="D663" i="8"/>
  <c r="E663" i="8" s="1"/>
  <c r="A663" i="8"/>
  <c r="N665" i="8" l="1"/>
  <c r="D664" i="8"/>
  <c r="E664" i="8" s="1"/>
  <c r="A664" i="8"/>
  <c r="N666" i="8" l="1"/>
  <c r="D665" i="8"/>
  <c r="E665" i="8" s="1"/>
  <c r="A665" i="8"/>
  <c r="N667" i="8" l="1"/>
  <c r="D666" i="8"/>
  <c r="E666" i="8" s="1"/>
  <c r="A666" i="8"/>
  <c r="N668" i="8" l="1"/>
  <c r="D667" i="8"/>
  <c r="E667" i="8" s="1"/>
  <c r="A667" i="8"/>
  <c r="N669" i="8" l="1"/>
  <c r="D668" i="8"/>
  <c r="E668" i="8" s="1"/>
  <c r="A668" i="8"/>
  <c r="N670" i="8" l="1"/>
  <c r="D669" i="8"/>
  <c r="E669" i="8" s="1"/>
  <c r="A669" i="8"/>
  <c r="N671" i="8" l="1"/>
  <c r="D670" i="8"/>
  <c r="E670" i="8" s="1"/>
  <c r="A670" i="8"/>
  <c r="N672" i="8" l="1"/>
  <c r="D671" i="8"/>
  <c r="E671" i="8" s="1"/>
  <c r="A671" i="8"/>
  <c r="N673" i="8" l="1"/>
  <c r="D672" i="8"/>
  <c r="E672" i="8" s="1"/>
  <c r="A672" i="8"/>
  <c r="N674" i="8" l="1"/>
  <c r="D673" i="8"/>
  <c r="E673" i="8" s="1"/>
  <c r="A673" i="8"/>
  <c r="N675" i="8" l="1"/>
  <c r="D674" i="8"/>
  <c r="E674" i="8" s="1"/>
  <c r="A674" i="8"/>
  <c r="N676" i="8" l="1"/>
  <c r="D675" i="8"/>
  <c r="E675" i="8" s="1"/>
  <c r="A675" i="8"/>
  <c r="N677" i="8" l="1"/>
  <c r="D676" i="8"/>
  <c r="E676" i="8" s="1"/>
  <c r="A676" i="8"/>
  <c r="N678" i="8" l="1"/>
  <c r="D677" i="8"/>
  <c r="E677" i="8" s="1"/>
  <c r="A677" i="8"/>
  <c r="N679" i="8" l="1"/>
  <c r="D678" i="8"/>
  <c r="E678" i="8" s="1"/>
  <c r="A678" i="8"/>
  <c r="N680" i="8" l="1"/>
  <c r="D679" i="8"/>
  <c r="E679" i="8" s="1"/>
  <c r="A679" i="8"/>
  <c r="N681" i="8" l="1"/>
  <c r="D680" i="8"/>
  <c r="E680" i="8" s="1"/>
  <c r="A680" i="8"/>
  <c r="N682" i="8" l="1"/>
  <c r="D681" i="8"/>
  <c r="E681" i="8" s="1"/>
  <c r="A681" i="8"/>
  <c r="N683" i="8" l="1"/>
  <c r="D682" i="8"/>
  <c r="E682" i="8" s="1"/>
  <c r="A682" i="8"/>
  <c r="N684" i="8" l="1"/>
  <c r="D683" i="8"/>
  <c r="E683" i="8" s="1"/>
  <c r="A683" i="8"/>
  <c r="N685" i="8" l="1"/>
  <c r="D684" i="8"/>
  <c r="E684" i="8" s="1"/>
  <c r="A684" i="8"/>
  <c r="N686" i="8" l="1"/>
  <c r="D685" i="8"/>
  <c r="E685" i="8" s="1"/>
  <c r="A685" i="8"/>
  <c r="N687" i="8" l="1"/>
  <c r="D686" i="8"/>
  <c r="E686" i="8" s="1"/>
  <c r="A686" i="8"/>
  <c r="N688" i="8" l="1"/>
  <c r="D687" i="8"/>
  <c r="E687" i="8" s="1"/>
  <c r="A687" i="8"/>
  <c r="N689" i="8" l="1"/>
  <c r="D688" i="8"/>
  <c r="E688" i="8" s="1"/>
  <c r="A688" i="8"/>
  <c r="N690" i="8" l="1"/>
  <c r="D689" i="8"/>
  <c r="E689" i="8" s="1"/>
  <c r="A689" i="8"/>
  <c r="N691" i="8" l="1"/>
  <c r="D690" i="8"/>
  <c r="E690" i="8" s="1"/>
  <c r="A690" i="8"/>
  <c r="N692" i="8" l="1"/>
  <c r="D691" i="8"/>
  <c r="E691" i="8" s="1"/>
  <c r="A691" i="8"/>
  <c r="N693" i="8" l="1"/>
  <c r="D692" i="8"/>
  <c r="E692" i="8" s="1"/>
  <c r="A692" i="8"/>
  <c r="N694" i="8" l="1"/>
  <c r="D693" i="8"/>
  <c r="E693" i="8" s="1"/>
  <c r="A693" i="8"/>
  <c r="N695" i="8" l="1"/>
  <c r="D694" i="8"/>
  <c r="E694" i="8" s="1"/>
  <c r="A694" i="8"/>
  <c r="N696" i="8" l="1"/>
  <c r="D695" i="8"/>
  <c r="E695" i="8" s="1"/>
  <c r="A695" i="8"/>
  <c r="N697" i="8" l="1"/>
  <c r="D696" i="8"/>
  <c r="E696" i="8" s="1"/>
  <c r="A696" i="8"/>
  <c r="N698" i="8" l="1"/>
  <c r="D697" i="8"/>
  <c r="E697" i="8" s="1"/>
  <c r="A697" i="8"/>
  <c r="N699" i="8" l="1"/>
  <c r="D698" i="8"/>
  <c r="E698" i="8" s="1"/>
  <c r="A698" i="8"/>
  <c r="N700" i="8" l="1"/>
  <c r="D699" i="8"/>
  <c r="E699" i="8" s="1"/>
  <c r="A699" i="8"/>
  <c r="N701" i="8" l="1"/>
  <c r="D700" i="8"/>
  <c r="E700" i="8" s="1"/>
  <c r="A700" i="8"/>
  <c r="N702" i="8" l="1"/>
  <c r="D701" i="8"/>
  <c r="E701" i="8" s="1"/>
  <c r="A701" i="8"/>
  <c r="N703" i="8" l="1"/>
  <c r="D702" i="8"/>
  <c r="E702" i="8" s="1"/>
  <c r="A702" i="8"/>
  <c r="N704" i="8" l="1"/>
  <c r="D703" i="8"/>
  <c r="E703" i="8" s="1"/>
  <c r="A703" i="8"/>
  <c r="N705" i="8" l="1"/>
  <c r="D704" i="8"/>
  <c r="E704" i="8" s="1"/>
  <c r="A704" i="8"/>
  <c r="N706" i="8" l="1"/>
  <c r="D705" i="8"/>
  <c r="E705" i="8" s="1"/>
  <c r="A705" i="8"/>
  <c r="N707" i="8" l="1"/>
  <c r="D706" i="8"/>
  <c r="E706" i="8" s="1"/>
  <c r="A706" i="8"/>
  <c r="N708" i="8" l="1"/>
  <c r="D707" i="8"/>
  <c r="E707" i="8" s="1"/>
  <c r="A707" i="8"/>
  <c r="N709" i="8" l="1"/>
  <c r="D708" i="8"/>
  <c r="E708" i="8" s="1"/>
  <c r="A708" i="8"/>
  <c r="N710" i="8" l="1"/>
  <c r="D709" i="8"/>
  <c r="E709" i="8" s="1"/>
  <c r="A709" i="8"/>
  <c r="N711" i="8" l="1"/>
  <c r="D710" i="8"/>
  <c r="E710" i="8" s="1"/>
  <c r="A710" i="8"/>
  <c r="N712" i="8" l="1"/>
  <c r="D711" i="8"/>
  <c r="E711" i="8" s="1"/>
  <c r="A711" i="8"/>
  <c r="N713" i="8" l="1"/>
  <c r="D712" i="8"/>
  <c r="E712" i="8" s="1"/>
  <c r="A712" i="8"/>
  <c r="N714" i="8" l="1"/>
  <c r="D713" i="8"/>
  <c r="E713" i="8" s="1"/>
  <c r="A713" i="8"/>
  <c r="N715" i="8" l="1"/>
  <c r="D714" i="8"/>
  <c r="E714" i="8" s="1"/>
  <c r="A714" i="8"/>
  <c r="N716" i="8" l="1"/>
  <c r="D715" i="8"/>
  <c r="E715" i="8" s="1"/>
  <c r="A715" i="8"/>
  <c r="N717" i="8" l="1"/>
  <c r="D716" i="8"/>
  <c r="E716" i="8" s="1"/>
  <c r="A716" i="8"/>
  <c r="N718" i="8" l="1"/>
  <c r="D717" i="8"/>
  <c r="E717" i="8" s="1"/>
  <c r="A717" i="8"/>
  <c r="N719" i="8" l="1"/>
  <c r="D718" i="8"/>
  <c r="E718" i="8" s="1"/>
  <c r="A718" i="8"/>
  <c r="N720" i="8" l="1"/>
  <c r="D719" i="8"/>
  <c r="E719" i="8" s="1"/>
  <c r="A719" i="8"/>
  <c r="N721" i="8" l="1"/>
  <c r="D720" i="8"/>
  <c r="E720" i="8" s="1"/>
  <c r="A720" i="8"/>
  <c r="N722" i="8" l="1"/>
  <c r="D721" i="8"/>
  <c r="E721" i="8" s="1"/>
  <c r="A721" i="8"/>
  <c r="N723" i="8" l="1"/>
  <c r="D722" i="8"/>
  <c r="E722" i="8" s="1"/>
  <c r="A722" i="8"/>
  <c r="N724" i="8" l="1"/>
  <c r="D723" i="8"/>
  <c r="E723" i="8" s="1"/>
  <c r="A723" i="8"/>
  <c r="N725" i="8" l="1"/>
  <c r="D724" i="8"/>
  <c r="E724" i="8" s="1"/>
  <c r="A724" i="8"/>
  <c r="N726" i="8" l="1"/>
  <c r="D725" i="8"/>
  <c r="E725" i="8" s="1"/>
  <c r="A725" i="8"/>
  <c r="N727" i="8" l="1"/>
  <c r="D726" i="8"/>
  <c r="E726" i="8" s="1"/>
  <c r="A726" i="8"/>
  <c r="N728" i="8" l="1"/>
  <c r="D727" i="8"/>
  <c r="E727" i="8" s="1"/>
  <c r="A727" i="8"/>
  <c r="N729" i="8" l="1"/>
  <c r="D728" i="8"/>
  <c r="E728" i="8" s="1"/>
  <c r="A728" i="8"/>
  <c r="N730" i="8" l="1"/>
  <c r="D729" i="8"/>
  <c r="E729" i="8" s="1"/>
  <c r="A729" i="8"/>
  <c r="N731" i="8" l="1"/>
  <c r="D730" i="8"/>
  <c r="E730" i="8" s="1"/>
  <c r="A730" i="8"/>
  <c r="N732" i="8" l="1"/>
  <c r="D731" i="8"/>
  <c r="E731" i="8" s="1"/>
  <c r="A731" i="8"/>
  <c r="N733" i="8" l="1"/>
  <c r="D732" i="8"/>
  <c r="E732" i="8" s="1"/>
  <c r="A732" i="8"/>
  <c r="N734" i="8" l="1"/>
  <c r="D733" i="8"/>
  <c r="E733" i="8" s="1"/>
  <c r="A733" i="8"/>
  <c r="N735" i="8" l="1"/>
  <c r="D734" i="8"/>
  <c r="E734" i="8" s="1"/>
  <c r="A734" i="8"/>
  <c r="N736" i="8" l="1"/>
  <c r="D735" i="8"/>
  <c r="E735" i="8" s="1"/>
  <c r="A735" i="8"/>
  <c r="N737" i="8" l="1"/>
  <c r="D736" i="8"/>
  <c r="E736" i="8" s="1"/>
  <c r="A736" i="8"/>
  <c r="N738" i="8" l="1"/>
  <c r="D737" i="8"/>
  <c r="E737" i="8" s="1"/>
  <c r="A737" i="8"/>
  <c r="N739" i="8" l="1"/>
  <c r="D738" i="8"/>
  <c r="E738" i="8" s="1"/>
  <c r="A738" i="8"/>
  <c r="N740" i="8" l="1"/>
  <c r="D739" i="8"/>
  <c r="E739" i="8" s="1"/>
  <c r="A739" i="8"/>
  <c r="N741" i="8" l="1"/>
  <c r="D740" i="8"/>
  <c r="E740" i="8" s="1"/>
  <c r="A740" i="8"/>
  <c r="N742" i="8" l="1"/>
  <c r="D741" i="8"/>
  <c r="E741" i="8" s="1"/>
  <c r="A741" i="8"/>
  <c r="N743" i="8" l="1"/>
  <c r="D742" i="8"/>
  <c r="E742" i="8" s="1"/>
  <c r="A742" i="8"/>
  <c r="N744" i="8" l="1"/>
  <c r="D743" i="8"/>
  <c r="E743" i="8" s="1"/>
  <c r="A743" i="8"/>
  <c r="N745" i="8" l="1"/>
  <c r="D744" i="8"/>
  <c r="E744" i="8" s="1"/>
  <c r="A744" i="8"/>
  <c r="N746" i="8" l="1"/>
  <c r="D745" i="8"/>
  <c r="E745" i="8" s="1"/>
  <c r="A745" i="8"/>
  <c r="N747" i="8" l="1"/>
  <c r="D746" i="8"/>
  <c r="E746" i="8" s="1"/>
  <c r="A746" i="8"/>
  <c r="N748" i="8" l="1"/>
  <c r="D747" i="8"/>
  <c r="E747" i="8" s="1"/>
  <c r="A747" i="8"/>
  <c r="N749" i="8" l="1"/>
  <c r="D748" i="8"/>
  <c r="E748" i="8" s="1"/>
  <c r="A748" i="8"/>
  <c r="N750" i="8" l="1"/>
  <c r="D749" i="8"/>
  <c r="E749" i="8" s="1"/>
  <c r="A749" i="8"/>
  <c r="N751" i="8" l="1"/>
  <c r="D750" i="8"/>
  <c r="E750" i="8" s="1"/>
  <c r="A750" i="8"/>
  <c r="N752" i="8" l="1"/>
  <c r="D751" i="8"/>
  <c r="E751" i="8" s="1"/>
  <c r="A751" i="8"/>
  <c r="N753" i="8" l="1"/>
  <c r="D752" i="8"/>
  <c r="E752" i="8" s="1"/>
  <c r="A752" i="8"/>
  <c r="N754" i="8" l="1"/>
  <c r="D753" i="8"/>
  <c r="E753" i="8" s="1"/>
  <c r="A753" i="8"/>
  <c r="N755" i="8" l="1"/>
  <c r="D754" i="8"/>
  <c r="E754" i="8" s="1"/>
  <c r="A754" i="8"/>
  <c r="N756" i="8" l="1"/>
  <c r="D755" i="8"/>
  <c r="E755" i="8" s="1"/>
  <c r="A755" i="8"/>
  <c r="N757" i="8" l="1"/>
  <c r="D756" i="8"/>
  <c r="E756" i="8" s="1"/>
  <c r="A756" i="8"/>
  <c r="N758" i="8" l="1"/>
  <c r="D757" i="8"/>
  <c r="E757" i="8" s="1"/>
  <c r="A757" i="8"/>
  <c r="N759" i="8" l="1"/>
  <c r="D758" i="8"/>
  <c r="E758" i="8" s="1"/>
  <c r="A758" i="8"/>
  <c r="N760" i="8" l="1"/>
  <c r="D759" i="8"/>
  <c r="E759" i="8" s="1"/>
  <c r="A759" i="8"/>
  <c r="N761" i="8" l="1"/>
  <c r="D760" i="8"/>
  <c r="E760" i="8" s="1"/>
  <c r="A760" i="8"/>
  <c r="N762" i="8" l="1"/>
  <c r="D761" i="8"/>
  <c r="E761" i="8" s="1"/>
  <c r="A761" i="8"/>
  <c r="N763" i="8" l="1"/>
  <c r="D762" i="8"/>
  <c r="E762" i="8" s="1"/>
  <c r="A762" i="8"/>
  <c r="N764" i="8" l="1"/>
  <c r="D763" i="8"/>
  <c r="E763" i="8" s="1"/>
  <c r="A763" i="8"/>
  <c r="N765" i="8" l="1"/>
  <c r="D764" i="8"/>
  <c r="E764" i="8" s="1"/>
  <c r="A764" i="8"/>
  <c r="N766" i="8" l="1"/>
  <c r="D765" i="8"/>
  <c r="E765" i="8" s="1"/>
  <c r="A765" i="8"/>
  <c r="N767" i="8" l="1"/>
  <c r="D766" i="8"/>
  <c r="E766" i="8" s="1"/>
  <c r="A766" i="8"/>
  <c r="N768" i="8" l="1"/>
  <c r="D767" i="8"/>
  <c r="E767" i="8" s="1"/>
  <c r="A767" i="8"/>
  <c r="N769" i="8" l="1"/>
  <c r="D768" i="8"/>
  <c r="E768" i="8" s="1"/>
  <c r="A768" i="8"/>
  <c r="N770" i="8" l="1"/>
  <c r="D769" i="8"/>
  <c r="E769" i="8" s="1"/>
  <c r="A769" i="8"/>
  <c r="N771" i="8" l="1"/>
  <c r="D770" i="8"/>
  <c r="E770" i="8" s="1"/>
  <c r="A770" i="8"/>
  <c r="N772" i="8" l="1"/>
  <c r="D771" i="8"/>
  <c r="E771" i="8" s="1"/>
  <c r="A771" i="8"/>
  <c r="N773" i="8" l="1"/>
  <c r="D772" i="8"/>
  <c r="E772" i="8" s="1"/>
  <c r="A772" i="8"/>
  <c r="N774" i="8" l="1"/>
  <c r="D773" i="8"/>
  <c r="E773" i="8" s="1"/>
  <c r="A773" i="8"/>
  <c r="N775" i="8" l="1"/>
  <c r="D774" i="8"/>
  <c r="E774" i="8" s="1"/>
  <c r="A774" i="8"/>
  <c r="N776" i="8" l="1"/>
  <c r="D775" i="8"/>
  <c r="E775" i="8" s="1"/>
  <c r="A775" i="8"/>
  <c r="N777" i="8" l="1"/>
  <c r="D776" i="8"/>
  <c r="E776" i="8" s="1"/>
  <c r="A776" i="8"/>
  <c r="N778" i="8" l="1"/>
  <c r="D777" i="8"/>
  <c r="E777" i="8" s="1"/>
  <c r="A777" i="8"/>
  <c r="N779" i="8" l="1"/>
  <c r="D778" i="8"/>
  <c r="E778" i="8" s="1"/>
  <c r="A778" i="8"/>
  <c r="N780" i="8" l="1"/>
  <c r="D779" i="8"/>
  <c r="E779" i="8" s="1"/>
  <c r="A779" i="8"/>
  <c r="N781" i="8" l="1"/>
  <c r="D780" i="8"/>
  <c r="E780" i="8" s="1"/>
  <c r="A780" i="8"/>
  <c r="N782" i="8" l="1"/>
  <c r="D781" i="8"/>
  <c r="E781" i="8" s="1"/>
  <c r="A781" i="8"/>
  <c r="N783" i="8" l="1"/>
  <c r="D782" i="8"/>
  <c r="E782" i="8" s="1"/>
  <c r="A782" i="8"/>
  <c r="N784" i="8" l="1"/>
  <c r="D783" i="8"/>
  <c r="E783" i="8" s="1"/>
  <c r="A783" i="8"/>
  <c r="N785" i="8" l="1"/>
  <c r="D784" i="8"/>
  <c r="E784" i="8" s="1"/>
  <c r="A784" i="8"/>
  <c r="N786" i="8" l="1"/>
  <c r="D785" i="8"/>
  <c r="E785" i="8" s="1"/>
  <c r="A785" i="8"/>
  <c r="N787" i="8" l="1"/>
  <c r="D786" i="8"/>
  <c r="E786" i="8" s="1"/>
  <c r="A786" i="8"/>
  <c r="N788" i="8" l="1"/>
  <c r="D787" i="8"/>
  <c r="E787" i="8" s="1"/>
  <c r="A787" i="8"/>
  <c r="N789" i="8" l="1"/>
  <c r="D788" i="8"/>
  <c r="E788" i="8" s="1"/>
  <c r="A788" i="8"/>
  <c r="N790" i="8" l="1"/>
  <c r="D789" i="8"/>
  <c r="E789" i="8" s="1"/>
  <c r="A789" i="8"/>
  <c r="N791" i="8" l="1"/>
  <c r="D790" i="8"/>
  <c r="E790" i="8" s="1"/>
  <c r="A790" i="8"/>
  <c r="N792" i="8" l="1"/>
  <c r="D791" i="8"/>
  <c r="E791" i="8" s="1"/>
  <c r="A791" i="8"/>
  <c r="N793" i="8" l="1"/>
  <c r="D792" i="8"/>
  <c r="E792" i="8" s="1"/>
  <c r="A792" i="8"/>
  <c r="N794" i="8" l="1"/>
  <c r="D793" i="8"/>
  <c r="E793" i="8" s="1"/>
  <c r="A793" i="8"/>
  <c r="N795" i="8" l="1"/>
  <c r="D794" i="8"/>
  <c r="E794" i="8" s="1"/>
  <c r="A794" i="8"/>
  <c r="N796" i="8" l="1"/>
  <c r="D795" i="8"/>
  <c r="E795" i="8" s="1"/>
  <c r="A795" i="8"/>
  <c r="N797" i="8" l="1"/>
  <c r="D796" i="8"/>
  <c r="E796" i="8" s="1"/>
  <c r="A796" i="8"/>
  <c r="N798" i="8" l="1"/>
  <c r="D797" i="8"/>
  <c r="E797" i="8" s="1"/>
  <c r="A797" i="8"/>
  <c r="N799" i="8" l="1"/>
  <c r="D798" i="8"/>
  <c r="E798" i="8" s="1"/>
  <c r="A798" i="8"/>
  <c r="N800" i="8" l="1"/>
  <c r="D799" i="8"/>
  <c r="E799" i="8" s="1"/>
  <c r="A799" i="8"/>
  <c r="N801" i="8" l="1"/>
  <c r="D800" i="8"/>
  <c r="E800" i="8" s="1"/>
  <c r="A800" i="8"/>
  <c r="N802" i="8" l="1"/>
  <c r="D801" i="8"/>
  <c r="E801" i="8" s="1"/>
  <c r="A801" i="8"/>
  <c r="N803" i="8" l="1"/>
  <c r="D802" i="8"/>
  <c r="E802" i="8" s="1"/>
  <c r="A802" i="8"/>
  <c r="N804" i="8" l="1"/>
  <c r="D803" i="8"/>
  <c r="E803" i="8" s="1"/>
  <c r="A803" i="8"/>
  <c r="N805" i="8" l="1"/>
  <c r="D804" i="8"/>
  <c r="E804" i="8" s="1"/>
  <c r="A804" i="8"/>
  <c r="N806" i="8" l="1"/>
  <c r="D805" i="8"/>
  <c r="E805" i="8" s="1"/>
  <c r="A805" i="8"/>
  <c r="N807" i="8" l="1"/>
  <c r="D806" i="8"/>
  <c r="E806" i="8" s="1"/>
  <c r="A806" i="8"/>
  <c r="N808" i="8" l="1"/>
  <c r="D807" i="8"/>
  <c r="E807" i="8" s="1"/>
  <c r="A807" i="8"/>
  <c r="N809" i="8" l="1"/>
  <c r="D808" i="8"/>
  <c r="E808" i="8" s="1"/>
  <c r="A808" i="8"/>
  <c r="N810" i="8" l="1"/>
  <c r="D809" i="8"/>
  <c r="E809" i="8" s="1"/>
  <c r="A809" i="8"/>
  <c r="N811" i="8" l="1"/>
  <c r="D810" i="8"/>
  <c r="E810" i="8" s="1"/>
  <c r="A810" i="8"/>
  <c r="N812" i="8" l="1"/>
  <c r="D811" i="8"/>
  <c r="E811" i="8" s="1"/>
  <c r="A811" i="8"/>
  <c r="N813" i="8" l="1"/>
  <c r="D812" i="8"/>
  <c r="E812" i="8" s="1"/>
  <c r="A812" i="8"/>
  <c r="N814" i="8" l="1"/>
  <c r="D813" i="8"/>
  <c r="E813" i="8" s="1"/>
  <c r="A813" i="8"/>
  <c r="N815" i="8" l="1"/>
  <c r="D814" i="8"/>
  <c r="E814" i="8" s="1"/>
  <c r="A814" i="8"/>
  <c r="N816" i="8" l="1"/>
  <c r="D815" i="8"/>
  <c r="E815" i="8" s="1"/>
  <c r="A815" i="8"/>
  <c r="N817" i="8" l="1"/>
  <c r="D816" i="8"/>
  <c r="E816" i="8" s="1"/>
  <c r="A816" i="8"/>
  <c r="N818" i="8" l="1"/>
  <c r="D817" i="8"/>
  <c r="E817" i="8" s="1"/>
  <c r="A817" i="8"/>
  <c r="N819" i="8" l="1"/>
  <c r="D818" i="8"/>
  <c r="E818" i="8" s="1"/>
  <c r="A818" i="8"/>
  <c r="N820" i="8" l="1"/>
  <c r="D819" i="8"/>
  <c r="E819" i="8" s="1"/>
  <c r="A819" i="8"/>
  <c r="N821" i="8" l="1"/>
  <c r="D820" i="8"/>
  <c r="E820" i="8" s="1"/>
  <c r="A820" i="8"/>
  <c r="N822" i="8" l="1"/>
  <c r="D821" i="8"/>
  <c r="E821" i="8" s="1"/>
  <c r="A821" i="8"/>
  <c r="N823" i="8" l="1"/>
  <c r="D822" i="8"/>
  <c r="E822" i="8" s="1"/>
  <c r="A822" i="8"/>
  <c r="N824" i="8" l="1"/>
  <c r="D823" i="8"/>
  <c r="E823" i="8" s="1"/>
  <c r="A823" i="8"/>
  <c r="N825" i="8" l="1"/>
  <c r="D824" i="8"/>
  <c r="E824" i="8" s="1"/>
  <c r="A824" i="8"/>
  <c r="N826" i="8" l="1"/>
  <c r="D825" i="8"/>
  <c r="E825" i="8" s="1"/>
  <c r="A825" i="8"/>
  <c r="N827" i="8" l="1"/>
  <c r="D826" i="8"/>
  <c r="E826" i="8" s="1"/>
  <c r="A826" i="8"/>
  <c r="N828" i="8" l="1"/>
  <c r="D827" i="8"/>
  <c r="E827" i="8" s="1"/>
  <c r="A827" i="8"/>
  <c r="N829" i="8" l="1"/>
  <c r="D828" i="8"/>
  <c r="E828" i="8" s="1"/>
  <c r="A828" i="8"/>
  <c r="N830" i="8" l="1"/>
  <c r="D829" i="8"/>
  <c r="E829" i="8" s="1"/>
  <c r="A829" i="8"/>
  <c r="N831" i="8" l="1"/>
  <c r="D830" i="8"/>
  <c r="E830" i="8" s="1"/>
  <c r="A830" i="8"/>
  <c r="N832" i="8" l="1"/>
  <c r="D831" i="8"/>
  <c r="E831" i="8" s="1"/>
  <c r="A831" i="8"/>
  <c r="N833" i="8" l="1"/>
  <c r="D832" i="8"/>
  <c r="E832" i="8" s="1"/>
  <c r="A832" i="8"/>
  <c r="N834" i="8" l="1"/>
  <c r="D833" i="8"/>
  <c r="E833" i="8" s="1"/>
  <c r="A833" i="8"/>
  <c r="N835" i="8" l="1"/>
  <c r="D834" i="8"/>
  <c r="E834" i="8" s="1"/>
  <c r="A834" i="8"/>
  <c r="N836" i="8" l="1"/>
  <c r="D835" i="8"/>
  <c r="E835" i="8" s="1"/>
  <c r="A835" i="8"/>
  <c r="N837" i="8" l="1"/>
  <c r="D836" i="8"/>
  <c r="E836" i="8" s="1"/>
  <c r="A836" i="8"/>
  <c r="N838" i="8" l="1"/>
  <c r="D837" i="8"/>
  <c r="E837" i="8" s="1"/>
  <c r="A837" i="8"/>
  <c r="N839" i="8" l="1"/>
  <c r="D838" i="8"/>
  <c r="E838" i="8" s="1"/>
  <c r="A838" i="8"/>
  <c r="N840" i="8" l="1"/>
  <c r="D839" i="8"/>
  <c r="E839" i="8" s="1"/>
  <c r="A839" i="8"/>
  <c r="N841" i="8" l="1"/>
  <c r="D840" i="8"/>
  <c r="E840" i="8" s="1"/>
  <c r="A840" i="8"/>
  <c r="N842" i="8" l="1"/>
  <c r="D841" i="8"/>
  <c r="E841" i="8" s="1"/>
  <c r="A841" i="8"/>
  <c r="N843" i="8" l="1"/>
  <c r="D842" i="8"/>
  <c r="E842" i="8" s="1"/>
  <c r="A842" i="8"/>
  <c r="N844" i="8" l="1"/>
  <c r="D843" i="8"/>
  <c r="E843" i="8" s="1"/>
  <c r="A843" i="8"/>
  <c r="N845" i="8" l="1"/>
  <c r="D844" i="8"/>
  <c r="E844" i="8" s="1"/>
  <c r="A844" i="8"/>
  <c r="N846" i="8" l="1"/>
  <c r="D845" i="8"/>
  <c r="E845" i="8" s="1"/>
  <c r="A845" i="8"/>
  <c r="N847" i="8" l="1"/>
  <c r="D846" i="8"/>
  <c r="E846" i="8" s="1"/>
  <c r="A846" i="8"/>
  <c r="N848" i="8" l="1"/>
  <c r="D847" i="8"/>
  <c r="E847" i="8" s="1"/>
  <c r="A847" i="8"/>
  <c r="N849" i="8" l="1"/>
  <c r="D848" i="8"/>
  <c r="E848" i="8" s="1"/>
  <c r="A848" i="8"/>
  <c r="N850" i="8" l="1"/>
  <c r="D849" i="8"/>
  <c r="E849" i="8" s="1"/>
  <c r="A849" i="8"/>
  <c r="N851" i="8" l="1"/>
  <c r="D850" i="8"/>
  <c r="E850" i="8" s="1"/>
  <c r="A850" i="8"/>
  <c r="N852" i="8" l="1"/>
  <c r="D851" i="8"/>
  <c r="E851" i="8" s="1"/>
  <c r="A851" i="8"/>
  <c r="N853" i="8" l="1"/>
  <c r="D852" i="8"/>
  <c r="E852" i="8" s="1"/>
  <c r="A852" i="8"/>
  <c r="N854" i="8" l="1"/>
  <c r="D853" i="8"/>
  <c r="E853" i="8" s="1"/>
  <c r="A853" i="8"/>
  <c r="N855" i="8" l="1"/>
  <c r="D854" i="8"/>
  <c r="E854" i="8" s="1"/>
  <c r="A854" i="8"/>
  <c r="N856" i="8" l="1"/>
  <c r="D855" i="8"/>
  <c r="E855" i="8" s="1"/>
  <c r="A855" i="8"/>
  <c r="N857" i="8" l="1"/>
  <c r="D856" i="8"/>
  <c r="E856" i="8" s="1"/>
  <c r="A856" i="8"/>
  <c r="N858" i="8" l="1"/>
  <c r="D857" i="8"/>
  <c r="E857" i="8" s="1"/>
  <c r="A857" i="8"/>
  <c r="N859" i="8" l="1"/>
  <c r="D858" i="8"/>
  <c r="E858" i="8" s="1"/>
  <c r="A858" i="8"/>
  <c r="N860" i="8" l="1"/>
  <c r="D859" i="8"/>
  <c r="E859" i="8" s="1"/>
  <c r="A859" i="8"/>
  <c r="N861" i="8" l="1"/>
  <c r="D860" i="8"/>
  <c r="E860" i="8" s="1"/>
  <c r="A860" i="8"/>
  <c r="N862" i="8" l="1"/>
  <c r="D861" i="8"/>
  <c r="E861" i="8" s="1"/>
  <c r="A861" i="8"/>
  <c r="N863" i="8" l="1"/>
  <c r="D862" i="8"/>
  <c r="E862" i="8" s="1"/>
  <c r="A862" i="8"/>
  <c r="N864" i="8" l="1"/>
  <c r="D863" i="8"/>
  <c r="E863" i="8" s="1"/>
  <c r="A863" i="8"/>
  <c r="N865" i="8" l="1"/>
  <c r="D864" i="8"/>
  <c r="E864" i="8" s="1"/>
  <c r="A864" i="8"/>
  <c r="N866" i="8" l="1"/>
  <c r="D865" i="8"/>
  <c r="E865" i="8" s="1"/>
  <c r="A865" i="8"/>
  <c r="N867" i="8" l="1"/>
  <c r="D866" i="8"/>
  <c r="E866" i="8" s="1"/>
  <c r="A866" i="8"/>
  <c r="N868" i="8" l="1"/>
  <c r="D867" i="8"/>
  <c r="E867" i="8" s="1"/>
  <c r="A867" i="8"/>
  <c r="N869" i="8" l="1"/>
  <c r="D868" i="8"/>
  <c r="E868" i="8" s="1"/>
  <c r="A868" i="8"/>
  <c r="N870" i="8" l="1"/>
  <c r="D869" i="8"/>
  <c r="E869" i="8" s="1"/>
  <c r="A869" i="8"/>
  <c r="N871" i="8" l="1"/>
  <c r="D870" i="8"/>
  <c r="E870" i="8" s="1"/>
  <c r="A870" i="8"/>
  <c r="N872" i="8" l="1"/>
  <c r="D871" i="8"/>
  <c r="E871" i="8" s="1"/>
  <c r="A871" i="8"/>
  <c r="N873" i="8" l="1"/>
  <c r="D872" i="8"/>
  <c r="E872" i="8" s="1"/>
  <c r="A872" i="8"/>
  <c r="N874" i="8" l="1"/>
  <c r="D873" i="8"/>
  <c r="E873" i="8" s="1"/>
  <c r="A873" i="8"/>
  <c r="N875" i="8" l="1"/>
  <c r="D874" i="8"/>
  <c r="E874" i="8" s="1"/>
  <c r="A874" i="8"/>
  <c r="N876" i="8" l="1"/>
  <c r="D875" i="8"/>
  <c r="E875" i="8" s="1"/>
  <c r="A875" i="8"/>
  <c r="N877" i="8" l="1"/>
  <c r="D876" i="8"/>
  <c r="E876" i="8" s="1"/>
  <c r="A876" i="8"/>
  <c r="N878" i="8" l="1"/>
  <c r="D877" i="8"/>
  <c r="E877" i="8" s="1"/>
  <c r="A877" i="8"/>
  <c r="N879" i="8" l="1"/>
  <c r="D878" i="8"/>
  <c r="E878" i="8" s="1"/>
  <c r="A878" i="8"/>
  <c r="N880" i="8" l="1"/>
  <c r="D879" i="8"/>
  <c r="E879" i="8" s="1"/>
  <c r="A879" i="8"/>
  <c r="N881" i="8" l="1"/>
  <c r="D880" i="8"/>
  <c r="E880" i="8" s="1"/>
  <c r="A880" i="8"/>
  <c r="N882" i="8" l="1"/>
  <c r="D881" i="8"/>
  <c r="E881" i="8" s="1"/>
  <c r="A881" i="8"/>
  <c r="N883" i="8" l="1"/>
  <c r="D882" i="8"/>
  <c r="E882" i="8" s="1"/>
  <c r="A882" i="8"/>
  <c r="N884" i="8" l="1"/>
  <c r="D883" i="8"/>
  <c r="E883" i="8" s="1"/>
  <c r="A883" i="8"/>
  <c r="N885" i="8" l="1"/>
  <c r="D884" i="8"/>
  <c r="E884" i="8" s="1"/>
  <c r="A884" i="8"/>
  <c r="N886" i="8" l="1"/>
  <c r="D885" i="8"/>
  <c r="E885" i="8" s="1"/>
  <c r="A885" i="8"/>
  <c r="N887" i="8" l="1"/>
  <c r="D886" i="8"/>
  <c r="E886" i="8" s="1"/>
  <c r="A886" i="8"/>
  <c r="N888" i="8" l="1"/>
  <c r="D887" i="8"/>
  <c r="E887" i="8" s="1"/>
  <c r="A887" i="8"/>
  <c r="N889" i="8" l="1"/>
  <c r="D888" i="8"/>
  <c r="E888" i="8" s="1"/>
  <c r="A888" i="8"/>
  <c r="N890" i="8" l="1"/>
  <c r="D889" i="8"/>
  <c r="E889" i="8" s="1"/>
  <c r="A889" i="8"/>
  <c r="N891" i="8" l="1"/>
  <c r="D890" i="8"/>
  <c r="E890" i="8" s="1"/>
  <c r="A890" i="8"/>
  <c r="N892" i="8" l="1"/>
  <c r="D891" i="8"/>
  <c r="E891" i="8" s="1"/>
  <c r="A891" i="8"/>
  <c r="N893" i="8" l="1"/>
  <c r="D892" i="8"/>
  <c r="E892" i="8" s="1"/>
  <c r="A892" i="8"/>
  <c r="N894" i="8" l="1"/>
  <c r="D893" i="8"/>
  <c r="E893" i="8" s="1"/>
  <c r="A893" i="8"/>
  <c r="N895" i="8" l="1"/>
  <c r="D894" i="8"/>
  <c r="E894" i="8" s="1"/>
  <c r="A894" i="8"/>
  <c r="N896" i="8" l="1"/>
  <c r="D895" i="8"/>
  <c r="E895" i="8" s="1"/>
  <c r="A895" i="8"/>
  <c r="N897" i="8" l="1"/>
  <c r="D896" i="8"/>
  <c r="E896" i="8" s="1"/>
  <c r="A896" i="8"/>
  <c r="N898" i="8" l="1"/>
  <c r="D897" i="8"/>
  <c r="E897" i="8" s="1"/>
  <c r="A897" i="8"/>
  <c r="N899" i="8" l="1"/>
  <c r="D898" i="8"/>
  <c r="E898" i="8" s="1"/>
  <c r="A898" i="8"/>
  <c r="N900" i="8" l="1"/>
  <c r="D899" i="8"/>
  <c r="E899" i="8" s="1"/>
  <c r="A899" i="8"/>
  <c r="N901" i="8" l="1"/>
  <c r="D900" i="8"/>
  <c r="E900" i="8" s="1"/>
  <c r="A900" i="8"/>
  <c r="N902" i="8" l="1"/>
  <c r="D901" i="8"/>
  <c r="E901" i="8" s="1"/>
  <c r="A901" i="8"/>
  <c r="N903" i="8" l="1"/>
  <c r="D902" i="8"/>
  <c r="E902" i="8" s="1"/>
  <c r="A902" i="8"/>
  <c r="N904" i="8" l="1"/>
  <c r="D903" i="8"/>
  <c r="E903" i="8" s="1"/>
  <c r="A903" i="8"/>
  <c r="N905" i="8" l="1"/>
  <c r="D904" i="8"/>
  <c r="E904" i="8" s="1"/>
  <c r="A904" i="8"/>
  <c r="N906" i="8" l="1"/>
  <c r="D905" i="8"/>
  <c r="E905" i="8" s="1"/>
  <c r="A905" i="8"/>
  <c r="N907" i="8" l="1"/>
  <c r="D906" i="8"/>
  <c r="E906" i="8" s="1"/>
  <c r="A906" i="8"/>
  <c r="N908" i="8" l="1"/>
  <c r="D907" i="8"/>
  <c r="E907" i="8" s="1"/>
  <c r="A907" i="8"/>
  <c r="N909" i="8" l="1"/>
  <c r="D908" i="8"/>
  <c r="E908" i="8" s="1"/>
  <c r="A908" i="8"/>
  <c r="N910" i="8" l="1"/>
  <c r="D909" i="8"/>
  <c r="E909" i="8" s="1"/>
  <c r="A909" i="8"/>
  <c r="N911" i="8" l="1"/>
  <c r="D910" i="8"/>
  <c r="E910" i="8" s="1"/>
  <c r="A910" i="8"/>
  <c r="N912" i="8" l="1"/>
  <c r="D911" i="8"/>
  <c r="E911" i="8" s="1"/>
  <c r="A911" i="8"/>
  <c r="N913" i="8" l="1"/>
  <c r="D912" i="8"/>
  <c r="E912" i="8" s="1"/>
  <c r="A912" i="8"/>
  <c r="N914" i="8" l="1"/>
  <c r="D913" i="8"/>
  <c r="E913" i="8" s="1"/>
  <c r="A913" i="8"/>
  <c r="N915" i="8" l="1"/>
  <c r="D914" i="8"/>
  <c r="E914" i="8" s="1"/>
  <c r="A914" i="8"/>
  <c r="N916" i="8" l="1"/>
  <c r="D915" i="8"/>
  <c r="E915" i="8" s="1"/>
  <c r="A915" i="8"/>
  <c r="N917" i="8" l="1"/>
  <c r="D916" i="8"/>
  <c r="E916" i="8" s="1"/>
  <c r="A916" i="8"/>
  <c r="N918" i="8" l="1"/>
  <c r="D917" i="8"/>
  <c r="E917" i="8" s="1"/>
  <c r="A917" i="8"/>
  <c r="N919" i="8" l="1"/>
  <c r="D918" i="8"/>
  <c r="E918" i="8" s="1"/>
  <c r="A918" i="8"/>
  <c r="N920" i="8" l="1"/>
  <c r="D919" i="8"/>
  <c r="E919" i="8" s="1"/>
  <c r="A919" i="8"/>
  <c r="N921" i="8" l="1"/>
  <c r="D920" i="8"/>
  <c r="E920" i="8" s="1"/>
  <c r="A920" i="8"/>
  <c r="N922" i="8" l="1"/>
  <c r="D921" i="8"/>
  <c r="E921" i="8" s="1"/>
  <c r="A921" i="8"/>
  <c r="N923" i="8" l="1"/>
  <c r="D922" i="8"/>
  <c r="E922" i="8" s="1"/>
  <c r="A922" i="8"/>
  <c r="N924" i="8" l="1"/>
  <c r="D923" i="8"/>
  <c r="E923" i="8" s="1"/>
  <c r="A923" i="8"/>
  <c r="N925" i="8" l="1"/>
  <c r="D924" i="8"/>
  <c r="E924" i="8" s="1"/>
  <c r="A924" i="8"/>
  <c r="N926" i="8" l="1"/>
  <c r="D925" i="8"/>
  <c r="E925" i="8" s="1"/>
  <c r="A925" i="8"/>
  <c r="N927" i="8" l="1"/>
  <c r="D926" i="8"/>
  <c r="E926" i="8" s="1"/>
  <c r="A926" i="8"/>
  <c r="N928" i="8" l="1"/>
  <c r="D927" i="8"/>
  <c r="E927" i="8" s="1"/>
  <c r="A927" i="8"/>
  <c r="N929" i="8" l="1"/>
  <c r="D928" i="8"/>
  <c r="E928" i="8" s="1"/>
  <c r="A928" i="8"/>
  <c r="N930" i="8" l="1"/>
  <c r="D929" i="8"/>
  <c r="E929" i="8" s="1"/>
  <c r="A929" i="8"/>
  <c r="N931" i="8" l="1"/>
  <c r="D930" i="8"/>
  <c r="E930" i="8" s="1"/>
  <c r="A930" i="8"/>
  <c r="N932" i="8" l="1"/>
  <c r="D931" i="8"/>
  <c r="E931" i="8" s="1"/>
  <c r="A931" i="8"/>
  <c r="N933" i="8" l="1"/>
  <c r="D932" i="8"/>
  <c r="E932" i="8" s="1"/>
  <c r="A932" i="8"/>
  <c r="N934" i="8" l="1"/>
  <c r="D933" i="8"/>
  <c r="E933" i="8" s="1"/>
  <c r="A933" i="8"/>
  <c r="N935" i="8" l="1"/>
  <c r="D934" i="8"/>
  <c r="E934" i="8" s="1"/>
  <c r="A934" i="8"/>
  <c r="N936" i="8" l="1"/>
  <c r="D935" i="8"/>
  <c r="E935" i="8" s="1"/>
  <c r="A935" i="8"/>
  <c r="N937" i="8" l="1"/>
  <c r="D936" i="8"/>
  <c r="E936" i="8" s="1"/>
  <c r="A936" i="8"/>
  <c r="N938" i="8" l="1"/>
  <c r="D937" i="8"/>
  <c r="E937" i="8" s="1"/>
  <c r="A937" i="8"/>
  <c r="N939" i="8" l="1"/>
  <c r="D938" i="8"/>
  <c r="E938" i="8" s="1"/>
  <c r="A938" i="8"/>
  <c r="N940" i="8" l="1"/>
  <c r="D939" i="8"/>
  <c r="E939" i="8" s="1"/>
  <c r="A939" i="8"/>
  <c r="N941" i="8" l="1"/>
  <c r="D940" i="8"/>
  <c r="E940" i="8" s="1"/>
  <c r="A940" i="8"/>
  <c r="N942" i="8" l="1"/>
  <c r="D941" i="8"/>
  <c r="E941" i="8" s="1"/>
  <c r="A941" i="8"/>
  <c r="N943" i="8" l="1"/>
  <c r="D942" i="8"/>
  <c r="E942" i="8" s="1"/>
  <c r="A942" i="8"/>
  <c r="N944" i="8" l="1"/>
  <c r="D943" i="8"/>
  <c r="E943" i="8" s="1"/>
  <c r="A943" i="8"/>
  <c r="N945" i="8" l="1"/>
  <c r="D944" i="8"/>
  <c r="E944" i="8" s="1"/>
  <c r="A944" i="8"/>
  <c r="N946" i="8" l="1"/>
  <c r="D945" i="8"/>
  <c r="E945" i="8" s="1"/>
  <c r="A945" i="8"/>
  <c r="N947" i="8" l="1"/>
  <c r="D946" i="8"/>
  <c r="E946" i="8" s="1"/>
  <c r="A946" i="8"/>
  <c r="N948" i="8" l="1"/>
  <c r="D947" i="8"/>
  <c r="E947" i="8" s="1"/>
  <c r="A947" i="8"/>
  <c r="N949" i="8" l="1"/>
  <c r="D948" i="8"/>
  <c r="E948" i="8" s="1"/>
  <c r="A948" i="8"/>
  <c r="N950" i="8" l="1"/>
  <c r="D949" i="8"/>
  <c r="E949" i="8" s="1"/>
  <c r="A949" i="8"/>
  <c r="N951" i="8" l="1"/>
  <c r="D950" i="8"/>
  <c r="E950" i="8" s="1"/>
  <c r="A950" i="8"/>
  <c r="D951" i="8" l="1"/>
  <c r="E951" i="8" s="1"/>
  <c r="A951" i="8"/>
</calcChain>
</file>

<file path=xl/sharedStrings.xml><?xml version="1.0" encoding="utf-8"?>
<sst xmlns="http://schemas.openxmlformats.org/spreadsheetml/2006/main" count="183" uniqueCount="178">
  <si>
    <t>20040105</t>
  </si>
  <si>
    <t>20040108</t>
  </si>
  <si>
    <t>20040112</t>
  </si>
  <si>
    <t>20040115</t>
  </si>
  <si>
    <t>20040119</t>
  </si>
  <si>
    <t>20040122</t>
  </si>
  <si>
    <t>20040126</t>
  </si>
  <si>
    <t>20040129</t>
  </si>
  <si>
    <t>20040202</t>
  </si>
  <si>
    <t>20040205</t>
  </si>
  <si>
    <t>20040209</t>
  </si>
  <si>
    <t>20040212</t>
  </si>
  <si>
    <t>20040216</t>
  </si>
  <si>
    <t>20040219</t>
  </si>
  <si>
    <t>20040223</t>
  </si>
  <si>
    <t>20040226</t>
  </si>
  <si>
    <t>20040301</t>
  </si>
  <si>
    <t>20040304</t>
  </si>
  <si>
    <t>20040308</t>
  </si>
  <si>
    <t>20040311</t>
  </si>
  <si>
    <t>20040315</t>
  </si>
  <si>
    <t>20040318</t>
  </si>
  <si>
    <t>20040322</t>
  </si>
  <si>
    <t>20040325</t>
  </si>
  <si>
    <t>20040329</t>
  </si>
  <si>
    <t>20040401</t>
  </si>
  <si>
    <t>20040405</t>
  </si>
  <si>
    <t>20040408</t>
  </si>
  <si>
    <t>20040412</t>
  </si>
  <si>
    <t>20040415</t>
  </si>
  <si>
    <t>20040419</t>
  </si>
  <si>
    <t>20040422</t>
  </si>
  <si>
    <t>20040426</t>
  </si>
  <si>
    <t>20040429</t>
  </si>
  <si>
    <t>20040503</t>
  </si>
  <si>
    <t>20040506</t>
  </si>
  <si>
    <t>20040510</t>
  </si>
  <si>
    <t>20040513</t>
  </si>
  <si>
    <t>20040517</t>
  </si>
  <si>
    <t>20040520</t>
  </si>
  <si>
    <t>20040524</t>
  </si>
  <si>
    <t>20040527</t>
  </si>
  <si>
    <t>20040531</t>
  </si>
  <si>
    <t>20040603</t>
  </si>
  <si>
    <t>20040607</t>
  </si>
  <si>
    <t>20040610</t>
  </si>
  <si>
    <t>20040614</t>
  </si>
  <si>
    <t>20040617</t>
  </si>
  <si>
    <t>20040621</t>
  </si>
  <si>
    <t>20040624</t>
  </si>
  <si>
    <t>20040628</t>
  </si>
  <si>
    <t>20040701</t>
  </si>
  <si>
    <t>20040705</t>
  </si>
  <si>
    <t>20040708</t>
  </si>
  <si>
    <t>20040712</t>
  </si>
  <si>
    <t>20040715</t>
  </si>
  <si>
    <t>20040719</t>
  </si>
  <si>
    <t>20040722</t>
  </si>
  <si>
    <t>20040726</t>
  </si>
  <si>
    <t>20040729</t>
  </si>
  <si>
    <t>20040802</t>
  </si>
  <si>
    <t>20040805</t>
  </si>
  <si>
    <t>20040809</t>
  </si>
  <si>
    <t>20040812</t>
  </si>
  <si>
    <t>20040816</t>
  </si>
  <si>
    <t>20040819</t>
  </si>
  <si>
    <t>20040823</t>
  </si>
  <si>
    <t>20040826</t>
  </si>
  <si>
    <t>20040830</t>
  </si>
  <si>
    <t>20040902</t>
  </si>
  <si>
    <t>20040906</t>
  </si>
  <si>
    <t>20040909</t>
  </si>
  <si>
    <t>20040913</t>
  </si>
  <si>
    <t>20040916</t>
  </si>
  <si>
    <t>20040920</t>
  </si>
  <si>
    <t>20040923</t>
  </si>
  <si>
    <t>20040927</t>
  </si>
  <si>
    <t>20040930</t>
  </si>
  <si>
    <t>20041004</t>
  </si>
  <si>
    <t>20041007</t>
  </si>
  <si>
    <t>20041011</t>
  </si>
  <si>
    <t>20041014</t>
  </si>
  <si>
    <t>20041018</t>
  </si>
  <si>
    <t>20041021</t>
  </si>
  <si>
    <t>20041025</t>
  </si>
  <si>
    <t>20041028</t>
  </si>
  <si>
    <t>20041101</t>
  </si>
  <si>
    <t>20041104</t>
  </si>
  <si>
    <t>20041108</t>
  </si>
  <si>
    <t>20041111</t>
  </si>
  <si>
    <t>20041115</t>
  </si>
  <si>
    <t>20041118</t>
  </si>
  <si>
    <t>20041122</t>
  </si>
  <si>
    <t>20041125</t>
  </si>
  <si>
    <t>20041129</t>
  </si>
  <si>
    <t>20041202</t>
  </si>
  <si>
    <t>20041206</t>
  </si>
  <si>
    <t>20041209</t>
  </si>
  <si>
    <t>20041213</t>
  </si>
  <si>
    <t>20041216</t>
  </si>
  <si>
    <t>20041220</t>
  </si>
  <si>
    <t>20041223</t>
  </si>
  <si>
    <t>20041227</t>
  </si>
  <si>
    <t>20041230</t>
  </si>
  <si>
    <t>lngTotalSN</t>
    <phoneticPr fontId="1" type="noConversion"/>
  </si>
  <si>
    <t>lngYearSN</t>
  </si>
  <si>
    <t>lngDateSN</t>
  </si>
  <si>
    <t>strSN</t>
  </si>
  <si>
    <t>lngL1</t>
  </si>
  <si>
    <t>lngS1</t>
  </si>
  <si>
    <t>lngL2</t>
    <phoneticPr fontId="1" type="noConversion"/>
  </si>
  <si>
    <t>lngL3</t>
    <phoneticPr fontId="1" type="noConversion"/>
  </si>
  <si>
    <t>lngL4</t>
    <phoneticPr fontId="1" type="noConversion"/>
  </si>
  <si>
    <t>lngL5</t>
    <phoneticPr fontId="1" type="noConversion"/>
  </si>
  <si>
    <t>lngL6</t>
    <phoneticPr fontId="1" type="noConversion"/>
  </si>
  <si>
    <t> 01</t>
  </si>
  <si>
    <t>lngTotalSN</t>
  </si>
  <si>
    <t>lngL2</t>
  </si>
  <si>
    <t>lngL3</t>
  </si>
  <si>
    <t>lngL4</t>
  </si>
  <si>
    <t>lngL5</t>
  </si>
  <si>
    <t>lngL6</t>
  </si>
  <si>
    <t>Weekend</t>
    <phoneticPr fontId="1" type="noConversion"/>
  </si>
  <si>
    <t> 07</t>
  </si>
  <si>
    <t>intSum</t>
    <phoneticPr fontId="1" type="noConversion"/>
  </si>
  <si>
    <t>intSum</t>
    <phoneticPr fontId="1" type="noConversion"/>
  </si>
  <si>
    <t>20170801</t>
  </si>
  <si>
    <t>20170801065</t>
  </si>
  <si>
    <t>20170804</t>
  </si>
  <si>
    <t>20170804066</t>
  </si>
  <si>
    <t>20170808</t>
  </si>
  <si>
    <t>20170808067</t>
  </si>
  <si>
    <t>20170811</t>
  </si>
  <si>
    <t>20170811068</t>
  </si>
  <si>
    <t>20170815</t>
  </si>
  <si>
    <t>20170815069</t>
  </si>
  <si>
    <t>20170818</t>
  </si>
  <si>
    <t>20170818070</t>
  </si>
  <si>
    <t>20170822</t>
  </si>
  <si>
    <t>20170822071</t>
  </si>
  <si>
    <t>20170825</t>
  </si>
  <si>
    <t>20170825072</t>
  </si>
  <si>
    <t>20170829</t>
  </si>
  <si>
    <t>20170829073</t>
  </si>
  <si>
    <t>20170901</t>
  </si>
  <si>
    <t>20170901074</t>
  </si>
  <si>
    <t>20170905</t>
  </si>
  <si>
    <t>20170905075</t>
  </si>
  <si>
    <t>20170908</t>
  </si>
  <si>
    <t>20170908076</t>
  </si>
  <si>
    <t>20170912</t>
  </si>
  <si>
    <t>20170912077</t>
  </si>
  <si>
    <t>20170915</t>
  </si>
  <si>
    <t>20170915078</t>
  </si>
  <si>
    <t>20170919</t>
  </si>
  <si>
    <t>20170919079</t>
  </si>
  <si>
    <t>20170922</t>
  </si>
  <si>
    <t>20170922080</t>
  </si>
  <si>
    <t>20170926</t>
  </si>
  <si>
    <t>20170926081</t>
  </si>
  <si>
    <t>20170929</t>
  </si>
  <si>
    <t>20170929082</t>
  </si>
  <si>
    <t>20171003</t>
  </si>
  <si>
    <t>20171003083</t>
  </si>
  <si>
    <t>20171006</t>
  </si>
  <si>
    <t>20171006084</t>
  </si>
  <si>
    <t>20171010</t>
  </si>
  <si>
    <t>20171010085</t>
  </si>
  <si>
    <t>20171013</t>
  </si>
  <si>
    <t>20171013086</t>
  </si>
  <si>
    <t>20171017</t>
  </si>
  <si>
    <t>20171017087</t>
  </si>
  <si>
    <t>20171020</t>
  </si>
  <si>
    <t>20171020088</t>
  </si>
  <si>
    <t>20171024</t>
  </si>
  <si>
    <t>20171024089</t>
  </si>
  <si>
    <t>20171027</t>
  </si>
  <si>
    <t>20171027090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</si>
</sst>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6" formatCode="m&quot;月&quot;d&quot;日&quot;"/>
    <numFmt numFmtId="177" formatCode="0_);[Red]\(0\)"/>
    <numFmt numFmtId="178" formatCode="0_ "/>
    <numFmt numFmtId="179" formatCode="yyyy/mm/dd"/>
  </numFmts>
  <fonts count="7" x14ac:knownFonts="1"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1"/>
      <name val="新細明體"/>
      <family val="1"/>
      <charset val="136"/>
    </font>
    <font>
      <b/>
      <sz val="12"/>
      <name val="Arial"/>
      <family val="2"/>
    </font>
    <font>
      <b/>
      <sz val="10"/>
      <name val="Arial"/>
      <family val="2"/>
    </font>
    <font>
      <b/>
      <sz val="12"/>
      <color rgb="FFFFFFFF"/>
      <name val="Arial"/>
      <family val="2"/>
    </font>
    <font>
      <b/>
      <sz val="12"/>
      <color rgb="FF80808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CCCC"/>
        <bgColor indexed="64"/>
      </patternFill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>
      <alignment vertical="center"/>
    </xf>
  </cellStyleXfs>
  <cellXfs count="32">
    <xf numFmtId="0" fontId="0" fillId="0" borderId="0" xfId="0">
      <alignment vertical="center"/>
    </xf>
    <xf numFmtId="0" fontId="2" fillId="0" borderId="0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right" vertical="center" wrapText="1"/>
    </xf>
    <xf numFmtId="0" fontId="3" fillId="0" borderId="1" xfId="0" applyFont="1" applyBorder="1" applyAlignment="1">
      <alignment horizontal="right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 vertical="center"/>
    </xf>
    <xf numFmtId="176" fontId="4" fillId="3" borderId="1" xfId="0" applyNumberFormat="1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right" vertical="center" wrapText="1"/>
    </xf>
    <xf numFmtId="0" fontId="3" fillId="2" borderId="1" xfId="0" applyFont="1" applyFill="1" applyBorder="1" applyAlignment="1">
      <alignment horizontal="center" vertical="center" wrapText="1"/>
    </xf>
    <xf numFmtId="178" fontId="2" fillId="0" borderId="0" xfId="0" applyNumberFormat="1" applyFont="1" applyFill="1" applyBorder="1" applyAlignment="1">
      <alignment horizontal="center" vertical="center"/>
    </xf>
    <xf numFmtId="179" fontId="0" fillId="0" borderId="0" xfId="0" quotePrefix="1" applyNumberFormat="1">
      <alignment vertical="center"/>
    </xf>
    <xf numFmtId="179" fontId="0" fillId="0" borderId="0" xfId="0" applyNumberFormat="1">
      <alignment vertical="center"/>
    </xf>
    <xf numFmtId="0" fontId="0" fillId="0" borderId="0" xfId="0" applyFont="1" applyBorder="1">
      <alignment vertical="center"/>
    </xf>
    <xf numFmtId="0" fontId="0" fillId="4" borderId="0" xfId="0" applyFont="1" applyFill="1" applyAlignment="1">
      <alignment horizontal="center" vertical="center"/>
    </xf>
    <xf numFmtId="177" fontId="0" fillId="4" borderId="0" xfId="0" applyNumberFormat="1" applyFont="1" applyFill="1" applyBorder="1" applyAlignment="1">
      <alignment horizontal="center" vertical="center"/>
    </xf>
    <xf numFmtId="0" fontId="0" fillId="5" borderId="0" xfId="0" applyNumberFormat="1" applyFont="1" applyFill="1" applyAlignment="1">
      <alignment horizontal="center" vertical="center"/>
    </xf>
    <xf numFmtId="0" fontId="0" fillId="5" borderId="0" xfId="0" applyFont="1" applyFill="1" applyAlignment="1">
      <alignment horizontal="center" vertical="center"/>
    </xf>
    <xf numFmtId="49" fontId="0" fillId="5" borderId="0" xfId="0" applyNumberFormat="1" applyFont="1" applyFill="1" applyAlignment="1">
      <alignment horizontal="center" vertical="center"/>
    </xf>
    <xf numFmtId="177" fontId="0" fillId="5" borderId="0" xfId="0" applyNumberFormat="1" applyFont="1" applyFill="1" applyAlignment="1">
      <alignment horizontal="center" vertical="center"/>
    </xf>
    <xf numFmtId="0" fontId="0" fillId="5" borderId="0" xfId="0" applyNumberFormat="1" applyFill="1" applyAlignment="1">
      <alignment horizontal="center" vertical="center"/>
    </xf>
    <xf numFmtId="177" fontId="0" fillId="5" borderId="0" xfId="0" applyNumberFormat="1" applyFont="1" applyFill="1" applyBorder="1" applyAlignment="1">
      <alignment horizontal="center" vertical="center"/>
    </xf>
    <xf numFmtId="177" fontId="2" fillId="5" borderId="0" xfId="0" applyNumberFormat="1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 wrapText="1"/>
    </xf>
    <xf numFmtId="176" fontId="4" fillId="6" borderId="1" xfId="0" applyNumberFormat="1" applyFont="1" applyFill="1" applyBorder="1" applyAlignment="1">
      <alignment horizontal="center" vertical="center" wrapText="1"/>
    </xf>
    <xf numFmtId="0" fontId="6" fillId="6" borderId="1" xfId="0" applyFont="1" applyFill="1" applyBorder="1" applyAlignment="1">
      <alignment horizontal="right" vertical="center" wrapText="1"/>
    </xf>
    <xf numFmtId="0" fontId="3" fillId="6" borderId="1" xfId="0" applyFont="1" applyFill="1" applyBorder="1" applyAlignment="1">
      <alignment horizontal="right" vertical="center" wrapText="1"/>
    </xf>
    <xf numFmtId="179" fontId="0" fillId="4" borderId="0" xfId="0" applyNumberFormat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vertical="center" wrapText="1"/>
    </xf>
    <xf numFmtId="176" fontId="4" fillId="3" borderId="1" xfId="0" applyNumberFormat="1" applyFont="1" applyFill="1" applyBorder="1" applyAlignment="1">
      <alignment vertical="center" wrapText="1"/>
    </xf>
    <xf numFmtId="0" fontId="5" fillId="2" borderId="1" xfId="0" applyFont="1" applyFill="1" applyBorder="1" applyAlignment="1">
      <alignment vertical="center" wrapText="1"/>
    </xf>
    <xf numFmtId="0" fontId="3" fillId="0" borderId="1" xfId="0" applyFont="1" applyBorder="1" applyAlignment="1">
      <alignment vertical="center" wrapText="1"/>
    </xf>
  </cellXfs>
  <cellStyles count="1">
    <cellStyle name="一般" xfId="0" builtinId="0"/>
  </cellStyles>
  <dxfs count="0"/>
  <tableStyles count="0" defaultTableStyle="TableStyleMedium9" defaultPivotStyle="PivotStyleLight16"/>
  <colors>
    <mruColors>
      <color rgb="FFCCFF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7"/>
  <sheetViews>
    <sheetView tabSelected="1" zoomScale="115" zoomScaleNormal="115" workbookViewId="0">
      <selection activeCell="E11" sqref="E11:L13"/>
    </sheetView>
  </sheetViews>
  <sheetFormatPr defaultRowHeight="15.75" x14ac:dyDescent="0.25"/>
  <cols>
    <col min="1" max="1" width="9.75" style="1" bestFit="1" customWidth="1"/>
    <col min="2" max="2" width="9.375" style="1" bestFit="1" customWidth="1"/>
    <col min="3" max="3" width="9.25" style="10" bestFit="1" customWidth="1"/>
    <col min="4" max="4" width="11.25" style="10" bestFit="1" customWidth="1"/>
    <col min="5" max="9" width="5.75" style="10" bestFit="1" customWidth="1"/>
    <col min="10" max="10" width="5.75" style="1" bestFit="1" customWidth="1"/>
    <col min="11" max="11" width="5.625" style="1" bestFit="1" customWidth="1"/>
    <col min="12" max="12" width="6.625" style="1" bestFit="1" customWidth="1"/>
    <col min="13" max="16384" width="9" style="1"/>
  </cols>
  <sheetData>
    <row r="1" spans="1:12" x14ac:dyDescent="0.25">
      <c r="A1" s="1" t="s">
        <v>104</v>
      </c>
      <c r="B1" s="1" t="s">
        <v>105</v>
      </c>
      <c r="C1" s="10" t="s">
        <v>106</v>
      </c>
      <c r="D1" s="10" t="s">
        <v>107</v>
      </c>
      <c r="E1" s="10" t="s">
        <v>108</v>
      </c>
      <c r="F1" s="10" t="s">
        <v>110</v>
      </c>
      <c r="G1" s="10" t="s">
        <v>111</v>
      </c>
      <c r="H1" s="10" t="s">
        <v>112</v>
      </c>
      <c r="I1" s="10" t="s">
        <v>113</v>
      </c>
      <c r="J1" s="1" t="s">
        <v>114</v>
      </c>
      <c r="K1" s="1" t="s">
        <v>109</v>
      </c>
      <c r="L1" s="1" t="s">
        <v>125</v>
      </c>
    </row>
    <row r="2" spans="1:12" x14ac:dyDescent="0.25">
      <c r="A2" s="1">
        <v>1439</v>
      </c>
      <c r="B2" s="1">
        <v>65</v>
      </c>
      <c r="C2" s="10" t="s">
        <v>126</v>
      </c>
      <c r="D2" s="10" t="s">
        <v>127</v>
      </c>
      <c r="E2" s="10">
        <v>30</v>
      </c>
      <c r="F2" s="10">
        <v>47</v>
      </c>
      <c r="G2" s="10">
        <v>2</v>
      </c>
      <c r="H2" s="10">
        <v>21</v>
      </c>
      <c r="I2" s="10">
        <v>42</v>
      </c>
      <c r="J2" s="1">
        <v>12</v>
      </c>
      <c r="K2" s="1">
        <v>31</v>
      </c>
      <c r="L2" s="1">
        <v>185</v>
      </c>
    </row>
    <row r="3" spans="1:12" x14ac:dyDescent="0.25">
      <c r="A3" s="1">
        <v>1440</v>
      </c>
      <c r="B3" s="1">
        <v>66</v>
      </c>
      <c r="C3" s="10" t="s">
        <v>128</v>
      </c>
      <c r="D3" s="10" t="s">
        <v>129</v>
      </c>
      <c r="E3" s="10">
        <v>16</v>
      </c>
      <c r="F3" s="10">
        <v>45</v>
      </c>
      <c r="G3" s="10">
        <v>15</v>
      </c>
      <c r="H3" s="10">
        <v>26</v>
      </c>
      <c r="I3" s="10">
        <v>27</v>
      </c>
      <c r="J3" s="1">
        <v>39</v>
      </c>
      <c r="K3" s="1">
        <v>37</v>
      </c>
      <c r="L3" s="1">
        <v>205</v>
      </c>
    </row>
    <row r="4" spans="1:12" x14ac:dyDescent="0.25">
      <c r="A4" s="1">
        <v>1441</v>
      </c>
      <c r="B4" s="1">
        <v>67</v>
      </c>
      <c r="C4" s="10" t="s">
        <v>130</v>
      </c>
      <c r="D4" s="10" t="s">
        <v>131</v>
      </c>
      <c r="E4" s="10">
        <v>6</v>
      </c>
      <c r="F4" s="10">
        <v>27</v>
      </c>
      <c r="G4" s="10">
        <v>9</v>
      </c>
      <c r="H4" s="10">
        <v>46</v>
      </c>
      <c r="I4" s="10">
        <v>34</v>
      </c>
      <c r="J4" s="1">
        <v>23</v>
      </c>
      <c r="K4" s="1">
        <v>20</v>
      </c>
      <c r="L4" s="1">
        <v>165</v>
      </c>
    </row>
    <row r="5" spans="1:12" x14ac:dyDescent="0.25">
      <c r="A5" s="1">
        <v>1442</v>
      </c>
      <c r="B5" s="1">
        <v>68</v>
      </c>
      <c r="C5" s="10" t="s">
        <v>132</v>
      </c>
      <c r="D5" s="10" t="s">
        <v>133</v>
      </c>
      <c r="E5" s="10">
        <v>18</v>
      </c>
      <c r="F5" s="10">
        <v>37</v>
      </c>
      <c r="G5" s="10">
        <v>9</v>
      </c>
      <c r="H5" s="10">
        <v>8</v>
      </c>
      <c r="I5" s="10">
        <v>27</v>
      </c>
      <c r="J5" s="1">
        <v>2</v>
      </c>
      <c r="K5" s="1">
        <v>33</v>
      </c>
      <c r="L5" s="1">
        <v>134</v>
      </c>
    </row>
    <row r="6" spans="1:12" x14ac:dyDescent="0.25">
      <c r="A6" s="1">
        <v>1443</v>
      </c>
      <c r="B6" s="1">
        <v>69</v>
      </c>
      <c r="C6" s="10" t="s">
        <v>134</v>
      </c>
      <c r="D6" s="10" t="s">
        <v>135</v>
      </c>
      <c r="E6" s="10">
        <v>27</v>
      </c>
      <c r="F6" s="10">
        <v>28</v>
      </c>
      <c r="G6" s="10">
        <v>33</v>
      </c>
      <c r="H6" s="10">
        <v>13</v>
      </c>
      <c r="I6" s="10">
        <v>42</v>
      </c>
      <c r="J6" s="1">
        <v>16</v>
      </c>
      <c r="K6" s="1">
        <v>11</v>
      </c>
      <c r="L6" s="1">
        <v>170</v>
      </c>
    </row>
    <row r="7" spans="1:12" x14ac:dyDescent="0.25">
      <c r="A7" s="1">
        <v>1444</v>
      </c>
      <c r="B7" s="1">
        <v>70</v>
      </c>
      <c r="C7" s="10" t="s">
        <v>136</v>
      </c>
      <c r="D7" s="10" t="s">
        <v>137</v>
      </c>
      <c r="E7" s="10">
        <v>10</v>
      </c>
      <c r="F7" s="10">
        <v>7</v>
      </c>
      <c r="G7" s="10">
        <v>12</v>
      </c>
      <c r="H7" s="10">
        <v>38</v>
      </c>
      <c r="I7" s="10">
        <v>47</v>
      </c>
      <c r="J7" s="1">
        <v>35</v>
      </c>
      <c r="K7" s="1">
        <v>23</v>
      </c>
      <c r="L7" s="1">
        <v>172</v>
      </c>
    </row>
    <row r="8" spans="1:12" x14ac:dyDescent="0.25">
      <c r="A8" s="1">
        <v>1445</v>
      </c>
      <c r="B8" s="1">
        <v>71</v>
      </c>
      <c r="C8" s="10" t="s">
        <v>138</v>
      </c>
      <c r="D8" s="10" t="s">
        <v>139</v>
      </c>
      <c r="E8" s="10">
        <v>10</v>
      </c>
      <c r="F8" s="10">
        <v>13</v>
      </c>
      <c r="G8" s="10">
        <v>36</v>
      </c>
      <c r="H8" s="10">
        <v>4</v>
      </c>
      <c r="I8" s="10">
        <v>45</v>
      </c>
      <c r="J8" s="1">
        <v>44</v>
      </c>
      <c r="K8" s="1">
        <v>5</v>
      </c>
      <c r="L8" s="1">
        <v>157</v>
      </c>
    </row>
    <row r="9" spans="1:12" x14ac:dyDescent="0.25">
      <c r="A9" s="1">
        <v>1446</v>
      </c>
      <c r="B9" s="1">
        <v>72</v>
      </c>
      <c r="C9" s="10" t="s">
        <v>140</v>
      </c>
      <c r="D9" s="10" t="s">
        <v>141</v>
      </c>
      <c r="E9" s="10">
        <v>31</v>
      </c>
      <c r="F9" s="10">
        <v>1</v>
      </c>
      <c r="G9" s="10">
        <v>4</v>
      </c>
      <c r="H9" s="10">
        <v>24</v>
      </c>
      <c r="I9" s="10">
        <v>19</v>
      </c>
      <c r="J9" s="1">
        <v>28</v>
      </c>
      <c r="K9" s="1">
        <v>49</v>
      </c>
      <c r="L9" s="1">
        <v>156</v>
      </c>
    </row>
    <row r="10" spans="1:12" x14ac:dyDescent="0.25">
      <c r="A10" s="1">
        <v>1447</v>
      </c>
      <c r="B10" s="1">
        <v>73</v>
      </c>
      <c r="C10" s="10" t="s">
        <v>142</v>
      </c>
      <c r="D10" s="10" t="s">
        <v>143</v>
      </c>
      <c r="E10" s="10">
        <v>31</v>
      </c>
      <c r="F10" s="10">
        <v>25</v>
      </c>
      <c r="G10" s="10">
        <v>49</v>
      </c>
      <c r="H10" s="10">
        <v>18</v>
      </c>
      <c r="I10" s="10">
        <v>5</v>
      </c>
      <c r="J10" s="1">
        <v>48</v>
      </c>
      <c r="K10" s="1">
        <v>44</v>
      </c>
      <c r="L10" s="1">
        <v>220</v>
      </c>
    </row>
    <row r="11" spans="1:12" x14ac:dyDescent="0.25">
      <c r="A11" s="1">
        <v>1448</v>
      </c>
      <c r="B11" s="1">
        <v>74</v>
      </c>
      <c r="C11" s="10" t="s">
        <v>144</v>
      </c>
      <c r="D11" s="10" t="s">
        <v>145</v>
      </c>
      <c r="E11" s="10">
        <v>11</v>
      </c>
      <c r="F11" s="10">
        <v>14</v>
      </c>
      <c r="G11" s="10">
        <v>36</v>
      </c>
      <c r="H11" s="10">
        <v>16</v>
      </c>
      <c r="I11" s="10">
        <v>40</v>
      </c>
      <c r="J11" s="1">
        <v>5</v>
      </c>
      <c r="K11" s="1">
        <v>46</v>
      </c>
      <c r="L11" s="1">
        <v>168</v>
      </c>
    </row>
    <row r="12" spans="1:12" x14ac:dyDescent="0.25">
      <c r="A12" s="1">
        <v>1449</v>
      </c>
      <c r="B12" s="1">
        <v>75</v>
      </c>
      <c r="C12" s="10" t="s">
        <v>146</v>
      </c>
      <c r="D12" s="10" t="s">
        <v>147</v>
      </c>
      <c r="E12" s="10">
        <v>33</v>
      </c>
      <c r="F12" s="10">
        <v>27</v>
      </c>
      <c r="G12" s="10">
        <v>23</v>
      </c>
      <c r="H12" s="10">
        <v>13</v>
      </c>
      <c r="I12" s="10">
        <v>17</v>
      </c>
      <c r="J12" s="1">
        <v>41</v>
      </c>
      <c r="K12" s="1">
        <v>2</v>
      </c>
      <c r="L12" s="1">
        <v>156</v>
      </c>
    </row>
    <row r="13" spans="1:12" x14ac:dyDescent="0.25">
      <c r="A13" s="1">
        <v>1450</v>
      </c>
      <c r="B13" s="1">
        <v>76</v>
      </c>
      <c r="C13" s="10" t="s">
        <v>148</v>
      </c>
      <c r="D13" s="10" t="s">
        <v>149</v>
      </c>
      <c r="E13" s="10">
        <v>13</v>
      </c>
      <c r="F13" s="10">
        <v>19</v>
      </c>
      <c r="G13" s="10">
        <v>29</v>
      </c>
      <c r="H13" s="10">
        <v>15</v>
      </c>
      <c r="I13" s="10">
        <v>42</v>
      </c>
      <c r="J13" s="1">
        <v>8</v>
      </c>
      <c r="K13" s="1">
        <v>25</v>
      </c>
      <c r="L13" s="1">
        <v>151</v>
      </c>
    </row>
    <row r="14" spans="1:12" x14ac:dyDescent="0.25">
      <c r="A14" s="1">
        <v>1451</v>
      </c>
      <c r="B14" s="1">
        <v>77</v>
      </c>
      <c r="C14" s="10" t="s">
        <v>150</v>
      </c>
      <c r="D14" s="10" t="s">
        <v>151</v>
      </c>
      <c r="L14" s="1">
        <v>0</v>
      </c>
    </row>
    <row r="15" spans="1:12" x14ac:dyDescent="0.25">
      <c r="A15" s="1">
        <v>1452</v>
      </c>
      <c r="B15" s="1">
        <v>78</v>
      </c>
      <c r="C15" s="10" t="s">
        <v>152</v>
      </c>
      <c r="D15" s="10" t="s">
        <v>153</v>
      </c>
      <c r="L15" s="1">
        <v>0</v>
      </c>
    </row>
    <row r="16" spans="1:12" x14ac:dyDescent="0.25">
      <c r="A16" s="1">
        <v>1453</v>
      </c>
      <c r="B16" s="1">
        <v>79</v>
      </c>
      <c r="C16" s="10" t="s">
        <v>154</v>
      </c>
      <c r="D16" s="10" t="s">
        <v>155</v>
      </c>
      <c r="L16" s="1">
        <v>0</v>
      </c>
    </row>
    <row r="17" spans="1:12" x14ac:dyDescent="0.25">
      <c r="A17" s="1">
        <v>1454</v>
      </c>
      <c r="B17" s="1">
        <v>80</v>
      </c>
      <c r="C17" s="10" t="s">
        <v>156</v>
      </c>
      <c r="D17" s="10" t="s">
        <v>157</v>
      </c>
      <c r="L17" s="1">
        <v>0</v>
      </c>
    </row>
    <row r="18" spans="1:12" x14ac:dyDescent="0.25">
      <c r="A18" s="1">
        <v>1455</v>
      </c>
      <c r="B18" s="1">
        <v>81</v>
      </c>
      <c r="C18" s="10" t="s">
        <v>158</v>
      </c>
      <c r="D18" s="10" t="s">
        <v>159</v>
      </c>
      <c r="L18" s="1">
        <v>0</v>
      </c>
    </row>
    <row r="19" spans="1:12" x14ac:dyDescent="0.25">
      <c r="A19" s="1">
        <v>1456</v>
      </c>
      <c r="B19" s="1">
        <v>82</v>
      </c>
      <c r="C19" s="10" t="s">
        <v>160</v>
      </c>
      <c r="D19" s="10" t="s">
        <v>161</v>
      </c>
      <c r="L19" s="1">
        <v>0</v>
      </c>
    </row>
    <row r="20" spans="1:12" x14ac:dyDescent="0.25">
      <c r="A20" s="1">
        <v>1457</v>
      </c>
      <c r="B20" s="1">
        <v>83</v>
      </c>
      <c r="C20" s="10" t="s">
        <v>162</v>
      </c>
      <c r="D20" s="10" t="s">
        <v>163</v>
      </c>
      <c r="L20" s="1">
        <v>0</v>
      </c>
    </row>
    <row r="21" spans="1:12" x14ac:dyDescent="0.25">
      <c r="A21" s="1">
        <v>1458</v>
      </c>
      <c r="B21" s="1">
        <v>84</v>
      </c>
      <c r="C21" s="10" t="s">
        <v>164</v>
      </c>
      <c r="D21" s="10" t="s">
        <v>165</v>
      </c>
      <c r="L21" s="1">
        <v>0</v>
      </c>
    </row>
    <row r="22" spans="1:12" x14ac:dyDescent="0.25">
      <c r="A22" s="1">
        <v>1459</v>
      </c>
      <c r="B22" s="1">
        <v>85</v>
      </c>
      <c r="C22" s="10" t="s">
        <v>166</v>
      </c>
      <c r="D22" s="10" t="s">
        <v>167</v>
      </c>
      <c r="L22" s="1">
        <v>0</v>
      </c>
    </row>
    <row r="23" spans="1:12" x14ac:dyDescent="0.25">
      <c r="A23" s="1">
        <v>1460</v>
      </c>
      <c r="B23" s="1">
        <v>86</v>
      </c>
      <c r="C23" s="10" t="s">
        <v>168</v>
      </c>
      <c r="D23" s="10" t="s">
        <v>169</v>
      </c>
      <c r="L23" s="1">
        <v>0</v>
      </c>
    </row>
    <row r="24" spans="1:12" x14ac:dyDescent="0.25">
      <c r="A24" s="1">
        <v>1461</v>
      </c>
      <c r="B24" s="1">
        <v>87</v>
      </c>
      <c r="C24" s="10" t="s">
        <v>170</v>
      </c>
      <c r="D24" s="10" t="s">
        <v>171</v>
      </c>
      <c r="L24" s="1">
        <v>0</v>
      </c>
    </row>
    <row r="25" spans="1:12" x14ac:dyDescent="0.25">
      <c r="A25" s="1">
        <v>1462</v>
      </c>
      <c r="B25" s="1">
        <v>88</v>
      </c>
      <c r="C25" s="10" t="s">
        <v>172</v>
      </c>
      <c r="D25" s="10" t="s">
        <v>173</v>
      </c>
      <c r="L25" s="1">
        <v>0</v>
      </c>
    </row>
    <row r="26" spans="1:12" x14ac:dyDescent="0.25">
      <c r="A26" s="1">
        <v>1463</v>
      </c>
      <c r="B26" s="1">
        <v>89</v>
      </c>
      <c r="C26" s="10" t="s">
        <v>174</v>
      </c>
      <c r="D26" s="10" t="s">
        <v>175</v>
      </c>
      <c r="L26" s="1">
        <v>0</v>
      </c>
    </row>
    <row r="27" spans="1:12" x14ac:dyDescent="0.25">
      <c r="A27" s="1">
        <v>1464</v>
      </c>
      <c r="B27" s="1">
        <v>90</v>
      </c>
      <c r="C27" s="10" t="s">
        <v>176</v>
      </c>
      <c r="D27" s="10" t="s">
        <v>177</v>
      </c>
      <c r="L27" s="1">
        <v>0</v>
      </c>
    </row>
  </sheetData>
  <phoneticPr fontId="1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1465"/>
  <sheetViews>
    <sheetView zoomScale="102" zoomScaleNormal="102" workbookViewId="0">
      <pane ySplit="1" topLeftCell="A1433" activePane="bottomLeft" state="frozen"/>
      <selection pane="bottomLeft" activeCell="F1449" sqref="F1449:M1451"/>
    </sheetView>
  </sheetViews>
  <sheetFormatPr defaultRowHeight="16.5" x14ac:dyDescent="0.25"/>
  <cols>
    <col min="1" max="1" width="7" style="14" customWidth="1"/>
    <col min="2" max="2" width="10.375" style="16" bestFit="1" customWidth="1"/>
    <col min="3" max="3" width="10.125" style="17" bestFit="1" customWidth="1"/>
    <col min="4" max="4" width="10" style="17" bestFit="1" customWidth="1"/>
    <col min="5" max="5" width="12.75" style="18" bestFit="1" customWidth="1"/>
    <col min="6" max="11" width="6.125" style="19" bestFit="1" customWidth="1"/>
    <col min="12" max="12" width="6" style="19" bestFit="1" customWidth="1"/>
    <col min="13" max="13" width="6" style="19" customWidth="1"/>
    <col min="14" max="14" width="10.875" style="14" bestFit="1" customWidth="1"/>
    <col min="15" max="16384" width="9" style="6"/>
  </cols>
  <sheetData>
    <row r="1" spans="1:14" x14ac:dyDescent="0.25">
      <c r="A1" s="14" t="s">
        <v>122</v>
      </c>
      <c r="B1" s="16" t="s">
        <v>116</v>
      </c>
      <c r="C1" s="17" t="s">
        <v>105</v>
      </c>
      <c r="D1" s="17" t="s">
        <v>106</v>
      </c>
      <c r="E1" s="18" t="s">
        <v>107</v>
      </c>
      <c r="F1" s="19" t="s">
        <v>108</v>
      </c>
      <c r="G1" s="19" t="s">
        <v>117</v>
      </c>
      <c r="H1" s="19" t="s">
        <v>118</v>
      </c>
      <c r="I1" s="19" t="s">
        <v>119</v>
      </c>
      <c r="J1" s="19" t="s">
        <v>120</v>
      </c>
      <c r="K1" s="19" t="s">
        <v>121</v>
      </c>
      <c r="L1" s="19" t="s">
        <v>109</v>
      </c>
      <c r="M1" s="19" t="s">
        <v>124</v>
      </c>
    </row>
    <row r="2" spans="1:14" x14ac:dyDescent="0.25">
      <c r="A2" s="15">
        <f>WEEKDAY(N2,2)</f>
        <v>1</v>
      </c>
      <c r="B2" s="16">
        <v>1</v>
      </c>
      <c r="C2" s="17">
        <v>1</v>
      </c>
      <c r="D2" s="17" t="str">
        <f>CONCATENATE(TEXT(YEAR(N2),"0000"),TEXT(MONTH(N2),"00"),TEXT(DAY(N2),"00"))</f>
        <v>20040105</v>
      </c>
      <c r="E2" s="20" t="str">
        <f t="shared" ref="E2:E65" si="0">CONCATENATE(D2,TEXT(C2,"000"))</f>
        <v>20040105001</v>
      </c>
      <c r="F2" s="19">
        <v>33</v>
      </c>
      <c r="G2" s="19">
        <v>12</v>
      </c>
      <c r="H2" s="19">
        <v>6</v>
      </c>
      <c r="I2" s="19">
        <v>9</v>
      </c>
      <c r="J2" s="19">
        <v>39</v>
      </c>
      <c r="K2" s="19">
        <v>13</v>
      </c>
      <c r="L2" s="19">
        <v>21</v>
      </c>
      <c r="M2" s="19">
        <f>SUM(F2:L2)</f>
        <v>133</v>
      </c>
      <c r="N2" s="27">
        <v>37991</v>
      </c>
    </row>
    <row r="3" spans="1:14" x14ac:dyDescent="0.25">
      <c r="A3" s="15">
        <f t="shared" ref="A3:A66" si="1">WEEKDAY(N3,2)</f>
        <v>4</v>
      </c>
      <c r="B3" s="20">
        <f>B2+1</f>
        <v>2</v>
      </c>
      <c r="C3" s="17">
        <f>C2+1</f>
        <v>2</v>
      </c>
      <c r="D3" s="17" t="str">
        <f>CONCATENATE(TEXT(YEAR(N3),"0000"),TEXT(MONTH(N3),"00"),TEXT(DAY(N3),"00"))</f>
        <v>20040108</v>
      </c>
      <c r="E3" s="20" t="str">
        <f t="shared" si="0"/>
        <v>20040108002</v>
      </c>
      <c r="F3" s="19">
        <v>30</v>
      </c>
      <c r="G3" s="19">
        <v>47</v>
      </c>
      <c r="H3" s="19">
        <v>27</v>
      </c>
      <c r="I3" s="19">
        <v>31</v>
      </c>
      <c r="J3" s="19">
        <v>16</v>
      </c>
      <c r="K3" s="19">
        <v>21</v>
      </c>
      <c r="L3" s="19">
        <v>35</v>
      </c>
      <c r="M3" s="19">
        <f t="shared" ref="M3:M66" si="2">SUM(F3:L3)</f>
        <v>207</v>
      </c>
      <c r="N3" s="27">
        <f>N2+3</f>
        <v>37994</v>
      </c>
    </row>
    <row r="4" spans="1:14" x14ac:dyDescent="0.25">
      <c r="A4" s="15">
        <f t="shared" si="1"/>
        <v>1</v>
      </c>
      <c r="B4" s="20">
        <f t="shared" ref="B4:B67" si="3">B3+1</f>
        <v>3</v>
      </c>
      <c r="C4" s="17">
        <f t="shared" ref="C4:C67" si="4">C3+1</f>
        <v>3</v>
      </c>
      <c r="D4" s="17" t="str">
        <f t="shared" ref="D4:D67" si="5">CONCATENATE(TEXT(YEAR(N4),"0000"),TEXT(MONTH(N4),"00"),TEXT(DAY(N4),"00"))</f>
        <v>20040112</v>
      </c>
      <c r="E4" s="20" t="str">
        <f t="shared" si="0"/>
        <v>20040112003</v>
      </c>
      <c r="F4" s="19">
        <v>34</v>
      </c>
      <c r="G4" s="19">
        <v>25</v>
      </c>
      <c r="H4" s="19">
        <v>4</v>
      </c>
      <c r="I4" s="19">
        <v>2</v>
      </c>
      <c r="J4" s="19">
        <v>26</v>
      </c>
      <c r="K4" s="19">
        <v>43</v>
      </c>
      <c r="L4" s="19">
        <v>41</v>
      </c>
      <c r="M4" s="19">
        <f t="shared" si="2"/>
        <v>175</v>
      </c>
      <c r="N4" s="27">
        <f>N3+4</f>
        <v>37998</v>
      </c>
    </row>
    <row r="5" spans="1:14" x14ac:dyDescent="0.25">
      <c r="A5" s="15">
        <f t="shared" si="1"/>
        <v>4</v>
      </c>
      <c r="B5" s="20">
        <f t="shared" si="3"/>
        <v>4</v>
      </c>
      <c r="C5" s="17">
        <f t="shared" si="4"/>
        <v>4</v>
      </c>
      <c r="D5" s="17" t="str">
        <f t="shared" si="5"/>
        <v>20040115</v>
      </c>
      <c r="E5" s="20" t="str">
        <f t="shared" si="0"/>
        <v>20040115004</v>
      </c>
      <c r="F5" s="19">
        <v>30</v>
      </c>
      <c r="G5" s="19">
        <v>29</v>
      </c>
      <c r="H5" s="19">
        <v>18</v>
      </c>
      <c r="I5" s="19">
        <v>34</v>
      </c>
      <c r="J5" s="19">
        <v>19</v>
      </c>
      <c r="K5" s="19">
        <v>28</v>
      </c>
      <c r="L5" s="19">
        <v>12</v>
      </c>
      <c r="M5" s="19">
        <f t="shared" si="2"/>
        <v>170</v>
      </c>
      <c r="N5" s="27">
        <f>N4+3</f>
        <v>38001</v>
      </c>
    </row>
    <row r="6" spans="1:14" x14ac:dyDescent="0.25">
      <c r="A6" s="15">
        <f t="shared" si="1"/>
        <v>1</v>
      </c>
      <c r="B6" s="20">
        <f t="shared" si="3"/>
        <v>5</v>
      </c>
      <c r="C6" s="17">
        <f t="shared" si="4"/>
        <v>5</v>
      </c>
      <c r="D6" s="17" t="str">
        <f t="shared" si="5"/>
        <v>20040119</v>
      </c>
      <c r="E6" s="20" t="str">
        <f t="shared" si="0"/>
        <v>20040119005</v>
      </c>
      <c r="F6" s="19">
        <v>32</v>
      </c>
      <c r="G6" s="19">
        <v>15</v>
      </c>
      <c r="H6" s="19">
        <v>14</v>
      </c>
      <c r="I6" s="19">
        <v>29</v>
      </c>
      <c r="J6" s="19">
        <v>39</v>
      </c>
      <c r="K6" s="19">
        <v>20</v>
      </c>
      <c r="L6" s="19">
        <v>43</v>
      </c>
      <c r="M6" s="19">
        <f t="shared" si="2"/>
        <v>192</v>
      </c>
      <c r="N6" s="27">
        <f t="shared" ref="N6" si="6">N5+4</f>
        <v>38005</v>
      </c>
    </row>
    <row r="7" spans="1:14" x14ac:dyDescent="0.25">
      <c r="A7" s="15">
        <f t="shared" si="1"/>
        <v>4</v>
      </c>
      <c r="B7" s="20">
        <f t="shared" si="3"/>
        <v>6</v>
      </c>
      <c r="C7" s="17">
        <f t="shared" si="4"/>
        <v>6</v>
      </c>
      <c r="D7" s="17" t="str">
        <f t="shared" si="5"/>
        <v>20040122</v>
      </c>
      <c r="E7" s="20" t="str">
        <f t="shared" si="0"/>
        <v>20040122006</v>
      </c>
      <c r="F7" s="19">
        <v>29</v>
      </c>
      <c r="G7" s="19">
        <v>28</v>
      </c>
      <c r="H7" s="19">
        <v>13</v>
      </c>
      <c r="I7" s="19">
        <v>33</v>
      </c>
      <c r="J7" s="19">
        <v>34</v>
      </c>
      <c r="K7" s="19">
        <v>32</v>
      </c>
      <c r="L7" s="19">
        <v>43</v>
      </c>
      <c r="M7" s="19">
        <f t="shared" si="2"/>
        <v>212</v>
      </c>
      <c r="N7" s="27">
        <f t="shared" ref="N7" si="7">N6+3</f>
        <v>38008</v>
      </c>
    </row>
    <row r="8" spans="1:14" x14ac:dyDescent="0.25">
      <c r="A8" s="15">
        <f t="shared" si="1"/>
        <v>1</v>
      </c>
      <c r="B8" s="20">
        <f t="shared" si="3"/>
        <v>7</v>
      </c>
      <c r="C8" s="17">
        <f t="shared" si="4"/>
        <v>7</v>
      </c>
      <c r="D8" s="17" t="str">
        <f t="shared" si="5"/>
        <v>20040126</v>
      </c>
      <c r="E8" s="20" t="str">
        <f t="shared" si="0"/>
        <v>20040126007</v>
      </c>
      <c r="F8" s="19">
        <v>2</v>
      </c>
      <c r="G8" s="19">
        <v>13</v>
      </c>
      <c r="H8" s="19">
        <v>34</v>
      </c>
      <c r="I8" s="19">
        <v>44</v>
      </c>
      <c r="J8" s="19">
        <v>6</v>
      </c>
      <c r="K8" s="19">
        <v>40</v>
      </c>
      <c r="L8" s="19">
        <v>14</v>
      </c>
      <c r="M8" s="19">
        <f t="shared" si="2"/>
        <v>153</v>
      </c>
      <c r="N8" s="27">
        <f t="shared" ref="N8" si="8">N7+4</f>
        <v>38012</v>
      </c>
    </row>
    <row r="9" spans="1:14" x14ac:dyDescent="0.25">
      <c r="A9" s="15">
        <f t="shared" si="1"/>
        <v>4</v>
      </c>
      <c r="B9" s="20">
        <f t="shared" si="3"/>
        <v>8</v>
      </c>
      <c r="C9" s="17">
        <f t="shared" si="4"/>
        <v>8</v>
      </c>
      <c r="D9" s="17" t="str">
        <f t="shared" si="5"/>
        <v>20040129</v>
      </c>
      <c r="E9" s="20" t="str">
        <f t="shared" si="0"/>
        <v>20040129008</v>
      </c>
      <c r="F9" s="19">
        <v>36</v>
      </c>
      <c r="G9" s="19">
        <v>22</v>
      </c>
      <c r="H9" s="19">
        <v>44</v>
      </c>
      <c r="I9" s="19">
        <v>34</v>
      </c>
      <c r="J9" s="19">
        <v>46</v>
      </c>
      <c r="K9" s="19">
        <v>29</v>
      </c>
      <c r="L9" s="19">
        <v>37</v>
      </c>
      <c r="M9" s="19">
        <f t="shared" si="2"/>
        <v>248</v>
      </c>
      <c r="N9" s="27">
        <f t="shared" ref="N9" si="9">N8+3</f>
        <v>38015</v>
      </c>
    </row>
    <row r="10" spans="1:14" x14ac:dyDescent="0.25">
      <c r="A10" s="15">
        <f t="shared" si="1"/>
        <v>1</v>
      </c>
      <c r="B10" s="20">
        <f t="shared" si="3"/>
        <v>9</v>
      </c>
      <c r="C10" s="17">
        <f t="shared" si="4"/>
        <v>9</v>
      </c>
      <c r="D10" s="17" t="str">
        <f t="shared" si="5"/>
        <v>20040202</v>
      </c>
      <c r="E10" s="20" t="str">
        <f t="shared" si="0"/>
        <v>20040202009</v>
      </c>
      <c r="F10" s="19">
        <v>11</v>
      </c>
      <c r="G10" s="19">
        <v>42</v>
      </c>
      <c r="H10" s="19">
        <v>6</v>
      </c>
      <c r="I10" s="19">
        <v>48</v>
      </c>
      <c r="J10" s="19">
        <v>4</v>
      </c>
      <c r="K10" s="19">
        <v>22</v>
      </c>
      <c r="L10" s="19">
        <v>23</v>
      </c>
      <c r="M10" s="19">
        <f t="shared" si="2"/>
        <v>156</v>
      </c>
      <c r="N10" s="27">
        <f t="shared" ref="N10" si="10">N9+4</f>
        <v>38019</v>
      </c>
    </row>
    <row r="11" spans="1:14" x14ac:dyDescent="0.25">
      <c r="A11" s="15">
        <f t="shared" si="1"/>
        <v>4</v>
      </c>
      <c r="B11" s="20">
        <f t="shared" si="3"/>
        <v>10</v>
      </c>
      <c r="C11" s="17">
        <f t="shared" si="4"/>
        <v>10</v>
      </c>
      <c r="D11" s="17" t="str">
        <f t="shared" si="5"/>
        <v>20040205</v>
      </c>
      <c r="E11" s="20" t="str">
        <f t="shared" si="0"/>
        <v>20040205010</v>
      </c>
      <c r="F11" s="19">
        <v>43</v>
      </c>
      <c r="G11" s="19">
        <v>37</v>
      </c>
      <c r="H11" s="19">
        <v>26</v>
      </c>
      <c r="I11" s="19">
        <v>17</v>
      </c>
      <c r="J11" s="19">
        <v>29</v>
      </c>
      <c r="K11" s="19">
        <v>22</v>
      </c>
      <c r="L11" s="19">
        <v>31</v>
      </c>
      <c r="M11" s="19">
        <f t="shared" si="2"/>
        <v>205</v>
      </c>
      <c r="N11" s="27">
        <f t="shared" ref="N11" si="11">N10+3</f>
        <v>38022</v>
      </c>
    </row>
    <row r="12" spans="1:14" x14ac:dyDescent="0.25">
      <c r="A12" s="15">
        <f t="shared" si="1"/>
        <v>1</v>
      </c>
      <c r="B12" s="20">
        <f t="shared" si="3"/>
        <v>11</v>
      </c>
      <c r="C12" s="17">
        <f t="shared" si="4"/>
        <v>11</v>
      </c>
      <c r="D12" s="17" t="str">
        <f t="shared" si="5"/>
        <v>20040209</v>
      </c>
      <c r="E12" s="20" t="str">
        <f t="shared" si="0"/>
        <v>20040209011</v>
      </c>
      <c r="F12" s="19">
        <v>43</v>
      </c>
      <c r="G12" s="19">
        <v>14</v>
      </c>
      <c r="H12" s="19">
        <v>17</v>
      </c>
      <c r="I12" s="19">
        <v>48</v>
      </c>
      <c r="J12" s="19">
        <v>20</v>
      </c>
      <c r="K12" s="19">
        <v>25</v>
      </c>
      <c r="L12" s="19">
        <v>15</v>
      </c>
      <c r="M12" s="19">
        <f t="shared" si="2"/>
        <v>182</v>
      </c>
      <c r="N12" s="27">
        <f t="shared" ref="N12" si="12">N11+4</f>
        <v>38026</v>
      </c>
    </row>
    <row r="13" spans="1:14" x14ac:dyDescent="0.25">
      <c r="A13" s="15">
        <f t="shared" si="1"/>
        <v>4</v>
      </c>
      <c r="B13" s="20">
        <f t="shared" si="3"/>
        <v>12</v>
      </c>
      <c r="C13" s="17">
        <f t="shared" si="4"/>
        <v>12</v>
      </c>
      <c r="D13" s="17" t="str">
        <f t="shared" si="5"/>
        <v>20040212</v>
      </c>
      <c r="E13" s="20" t="str">
        <f t="shared" si="0"/>
        <v>20040212012</v>
      </c>
      <c r="F13" s="19">
        <v>40</v>
      </c>
      <c r="G13" s="19">
        <v>1</v>
      </c>
      <c r="H13" s="19">
        <v>26</v>
      </c>
      <c r="I13" s="19">
        <v>31</v>
      </c>
      <c r="J13" s="19">
        <v>2</v>
      </c>
      <c r="K13" s="19">
        <v>39</v>
      </c>
      <c r="L13" s="19">
        <v>38</v>
      </c>
      <c r="M13" s="19">
        <f t="shared" si="2"/>
        <v>177</v>
      </c>
      <c r="N13" s="27">
        <f t="shared" ref="N13" si="13">N12+3</f>
        <v>38029</v>
      </c>
    </row>
    <row r="14" spans="1:14" x14ac:dyDescent="0.25">
      <c r="A14" s="15">
        <f t="shared" si="1"/>
        <v>1</v>
      </c>
      <c r="B14" s="20">
        <f t="shared" si="3"/>
        <v>13</v>
      </c>
      <c r="C14" s="17">
        <f t="shared" si="4"/>
        <v>13</v>
      </c>
      <c r="D14" s="17" t="str">
        <f t="shared" si="5"/>
        <v>20040216</v>
      </c>
      <c r="E14" s="20" t="str">
        <f t="shared" si="0"/>
        <v>20040216013</v>
      </c>
      <c r="F14" s="19">
        <v>25</v>
      </c>
      <c r="G14" s="19">
        <v>7</v>
      </c>
      <c r="H14" s="19">
        <v>19</v>
      </c>
      <c r="I14" s="19">
        <v>37</v>
      </c>
      <c r="J14" s="19">
        <v>13</v>
      </c>
      <c r="K14" s="19">
        <v>18</v>
      </c>
      <c r="L14" s="19">
        <v>14</v>
      </c>
      <c r="M14" s="19">
        <f t="shared" si="2"/>
        <v>133</v>
      </c>
      <c r="N14" s="27">
        <f t="shared" ref="N14" si="14">N13+4</f>
        <v>38033</v>
      </c>
    </row>
    <row r="15" spans="1:14" x14ac:dyDescent="0.25">
      <c r="A15" s="15">
        <f t="shared" si="1"/>
        <v>4</v>
      </c>
      <c r="B15" s="20">
        <f t="shared" si="3"/>
        <v>14</v>
      </c>
      <c r="C15" s="17">
        <f t="shared" si="4"/>
        <v>14</v>
      </c>
      <c r="D15" s="17" t="str">
        <f t="shared" si="5"/>
        <v>20040219</v>
      </c>
      <c r="E15" s="20" t="str">
        <f t="shared" si="0"/>
        <v>20040219014</v>
      </c>
      <c r="F15" s="19">
        <v>43</v>
      </c>
      <c r="G15" s="19">
        <v>37</v>
      </c>
      <c r="H15" s="19">
        <v>32</v>
      </c>
      <c r="I15" s="19">
        <v>4</v>
      </c>
      <c r="J15" s="19">
        <v>21</v>
      </c>
      <c r="K15" s="19">
        <v>25</v>
      </c>
      <c r="L15" s="19">
        <v>2</v>
      </c>
      <c r="M15" s="19">
        <f t="shared" si="2"/>
        <v>164</v>
      </c>
      <c r="N15" s="27">
        <f t="shared" ref="N15" si="15">N14+3</f>
        <v>38036</v>
      </c>
    </row>
    <row r="16" spans="1:14" x14ac:dyDescent="0.25">
      <c r="A16" s="15">
        <f t="shared" si="1"/>
        <v>1</v>
      </c>
      <c r="B16" s="20">
        <f t="shared" si="3"/>
        <v>15</v>
      </c>
      <c r="C16" s="17">
        <f t="shared" si="4"/>
        <v>15</v>
      </c>
      <c r="D16" s="17" t="str">
        <f t="shared" si="5"/>
        <v>20040223</v>
      </c>
      <c r="E16" s="20" t="str">
        <f t="shared" si="0"/>
        <v>20040223015</v>
      </c>
      <c r="F16" s="19">
        <v>28</v>
      </c>
      <c r="G16" s="19">
        <v>17</v>
      </c>
      <c r="H16" s="19">
        <v>32</v>
      </c>
      <c r="I16" s="19">
        <v>23</v>
      </c>
      <c r="J16" s="19">
        <v>3</v>
      </c>
      <c r="K16" s="19">
        <v>6</v>
      </c>
      <c r="L16" s="19">
        <v>45</v>
      </c>
      <c r="M16" s="19">
        <f t="shared" si="2"/>
        <v>154</v>
      </c>
      <c r="N16" s="27">
        <f t="shared" ref="N16" si="16">N15+4</f>
        <v>38040</v>
      </c>
    </row>
    <row r="17" spans="1:14" x14ac:dyDescent="0.25">
      <c r="A17" s="15">
        <f t="shared" si="1"/>
        <v>4</v>
      </c>
      <c r="B17" s="20">
        <f t="shared" si="3"/>
        <v>16</v>
      </c>
      <c r="C17" s="17">
        <f t="shared" si="4"/>
        <v>16</v>
      </c>
      <c r="D17" s="17" t="str">
        <f t="shared" si="5"/>
        <v>20040226</v>
      </c>
      <c r="E17" s="20" t="str">
        <f t="shared" si="0"/>
        <v>20040226016</v>
      </c>
      <c r="F17" s="19">
        <v>12</v>
      </c>
      <c r="G17" s="19">
        <v>24</v>
      </c>
      <c r="H17" s="19">
        <v>45</v>
      </c>
      <c r="I17" s="19">
        <v>23</v>
      </c>
      <c r="J17" s="19">
        <v>8</v>
      </c>
      <c r="K17" s="19">
        <v>46</v>
      </c>
      <c r="L17" s="19">
        <v>36</v>
      </c>
      <c r="M17" s="19">
        <f t="shared" si="2"/>
        <v>194</v>
      </c>
      <c r="N17" s="27">
        <f t="shared" ref="N17" si="17">N16+3</f>
        <v>38043</v>
      </c>
    </row>
    <row r="18" spans="1:14" x14ac:dyDescent="0.25">
      <c r="A18" s="15">
        <f t="shared" si="1"/>
        <v>1</v>
      </c>
      <c r="B18" s="20">
        <f t="shared" si="3"/>
        <v>17</v>
      </c>
      <c r="C18" s="17">
        <f t="shared" si="4"/>
        <v>17</v>
      </c>
      <c r="D18" s="17" t="str">
        <f t="shared" si="5"/>
        <v>20040301</v>
      </c>
      <c r="E18" s="20" t="str">
        <f t="shared" si="0"/>
        <v>20040301017</v>
      </c>
      <c r="F18" s="19">
        <v>1</v>
      </c>
      <c r="G18" s="19">
        <v>45</v>
      </c>
      <c r="H18" s="19">
        <v>25</v>
      </c>
      <c r="I18" s="19">
        <v>11</v>
      </c>
      <c r="J18" s="19">
        <v>41</v>
      </c>
      <c r="K18" s="19">
        <v>17</v>
      </c>
      <c r="L18" s="19">
        <v>32</v>
      </c>
      <c r="M18" s="19">
        <f t="shared" si="2"/>
        <v>172</v>
      </c>
      <c r="N18" s="27">
        <f t="shared" ref="N18" si="18">N17+4</f>
        <v>38047</v>
      </c>
    </row>
    <row r="19" spans="1:14" x14ac:dyDescent="0.25">
      <c r="A19" s="15">
        <f t="shared" si="1"/>
        <v>4</v>
      </c>
      <c r="B19" s="20">
        <f t="shared" si="3"/>
        <v>18</v>
      </c>
      <c r="C19" s="17">
        <f t="shared" si="4"/>
        <v>18</v>
      </c>
      <c r="D19" s="17" t="str">
        <f t="shared" si="5"/>
        <v>20040304</v>
      </c>
      <c r="E19" s="20" t="str">
        <f t="shared" si="0"/>
        <v>20040304018</v>
      </c>
      <c r="F19" s="19">
        <v>12</v>
      </c>
      <c r="G19" s="19">
        <v>22</v>
      </c>
      <c r="H19" s="19">
        <v>41</v>
      </c>
      <c r="I19" s="19">
        <v>48</v>
      </c>
      <c r="J19" s="19">
        <v>23</v>
      </c>
      <c r="K19" s="19">
        <v>15</v>
      </c>
      <c r="L19" s="19">
        <v>17</v>
      </c>
      <c r="M19" s="19">
        <f t="shared" si="2"/>
        <v>178</v>
      </c>
      <c r="N19" s="27">
        <f t="shared" ref="N19" si="19">N18+3</f>
        <v>38050</v>
      </c>
    </row>
    <row r="20" spans="1:14" x14ac:dyDescent="0.25">
      <c r="A20" s="15">
        <f t="shared" si="1"/>
        <v>1</v>
      </c>
      <c r="B20" s="20">
        <f t="shared" si="3"/>
        <v>19</v>
      </c>
      <c r="C20" s="17">
        <f t="shared" si="4"/>
        <v>19</v>
      </c>
      <c r="D20" s="17" t="str">
        <f t="shared" si="5"/>
        <v>20040308</v>
      </c>
      <c r="E20" s="20" t="str">
        <f t="shared" si="0"/>
        <v>20040308019</v>
      </c>
      <c r="F20" s="19">
        <v>8</v>
      </c>
      <c r="G20" s="19">
        <v>18</v>
      </c>
      <c r="H20" s="19">
        <v>12</v>
      </c>
      <c r="I20" s="19">
        <v>19</v>
      </c>
      <c r="J20" s="19">
        <v>34</v>
      </c>
      <c r="K20" s="19">
        <v>17</v>
      </c>
      <c r="L20" s="19">
        <v>37</v>
      </c>
      <c r="M20" s="19">
        <f t="shared" si="2"/>
        <v>145</v>
      </c>
      <c r="N20" s="27">
        <f t="shared" ref="N20" si="20">N19+4</f>
        <v>38054</v>
      </c>
    </row>
    <row r="21" spans="1:14" x14ac:dyDescent="0.25">
      <c r="A21" s="15">
        <f t="shared" si="1"/>
        <v>4</v>
      </c>
      <c r="B21" s="20">
        <f t="shared" si="3"/>
        <v>20</v>
      </c>
      <c r="C21" s="17">
        <f t="shared" si="4"/>
        <v>20</v>
      </c>
      <c r="D21" s="17" t="str">
        <f t="shared" si="5"/>
        <v>20040311</v>
      </c>
      <c r="E21" s="20" t="str">
        <f t="shared" si="0"/>
        <v>20040311020</v>
      </c>
      <c r="F21" s="19">
        <v>21</v>
      </c>
      <c r="G21" s="19">
        <v>8</v>
      </c>
      <c r="H21" s="19">
        <v>30</v>
      </c>
      <c r="I21" s="19">
        <v>22</v>
      </c>
      <c r="J21" s="19">
        <v>31</v>
      </c>
      <c r="K21" s="19">
        <v>14</v>
      </c>
      <c r="L21" s="19">
        <v>48</v>
      </c>
      <c r="M21" s="19">
        <f t="shared" si="2"/>
        <v>174</v>
      </c>
      <c r="N21" s="27">
        <f t="shared" ref="N21" si="21">N20+3</f>
        <v>38057</v>
      </c>
    </row>
    <row r="22" spans="1:14" x14ac:dyDescent="0.25">
      <c r="A22" s="15">
        <f t="shared" si="1"/>
        <v>1</v>
      </c>
      <c r="B22" s="20">
        <f t="shared" si="3"/>
        <v>21</v>
      </c>
      <c r="C22" s="17">
        <f t="shared" si="4"/>
        <v>21</v>
      </c>
      <c r="D22" s="17" t="str">
        <f t="shared" si="5"/>
        <v>20040315</v>
      </c>
      <c r="E22" s="20" t="str">
        <f t="shared" si="0"/>
        <v>20040315021</v>
      </c>
      <c r="F22" s="19">
        <v>7</v>
      </c>
      <c r="G22" s="19">
        <v>26</v>
      </c>
      <c r="H22" s="19">
        <v>38</v>
      </c>
      <c r="I22" s="19">
        <v>2</v>
      </c>
      <c r="J22" s="19">
        <v>43</v>
      </c>
      <c r="K22" s="19">
        <v>1</v>
      </c>
      <c r="L22" s="19">
        <v>4</v>
      </c>
      <c r="M22" s="19">
        <f t="shared" si="2"/>
        <v>121</v>
      </c>
      <c r="N22" s="27">
        <f t="shared" ref="N22" si="22">N21+4</f>
        <v>38061</v>
      </c>
    </row>
    <row r="23" spans="1:14" x14ac:dyDescent="0.25">
      <c r="A23" s="15">
        <f t="shared" si="1"/>
        <v>4</v>
      </c>
      <c r="B23" s="20">
        <f t="shared" si="3"/>
        <v>22</v>
      </c>
      <c r="C23" s="17">
        <f t="shared" si="4"/>
        <v>22</v>
      </c>
      <c r="D23" s="17" t="str">
        <f t="shared" si="5"/>
        <v>20040318</v>
      </c>
      <c r="E23" s="20" t="str">
        <f t="shared" si="0"/>
        <v>20040318022</v>
      </c>
      <c r="F23" s="19">
        <v>6</v>
      </c>
      <c r="G23" s="19">
        <v>25</v>
      </c>
      <c r="H23" s="19">
        <v>16</v>
      </c>
      <c r="I23" s="19">
        <v>33</v>
      </c>
      <c r="J23" s="19">
        <v>20</v>
      </c>
      <c r="K23" s="19">
        <v>46</v>
      </c>
      <c r="L23" s="19">
        <v>12</v>
      </c>
      <c r="M23" s="19">
        <f t="shared" si="2"/>
        <v>158</v>
      </c>
      <c r="N23" s="27">
        <f t="shared" ref="N23" si="23">N22+3</f>
        <v>38064</v>
      </c>
    </row>
    <row r="24" spans="1:14" x14ac:dyDescent="0.25">
      <c r="A24" s="15">
        <f t="shared" si="1"/>
        <v>1</v>
      </c>
      <c r="B24" s="20">
        <f t="shared" si="3"/>
        <v>23</v>
      </c>
      <c r="C24" s="17">
        <f t="shared" si="4"/>
        <v>23</v>
      </c>
      <c r="D24" s="17" t="str">
        <f t="shared" si="5"/>
        <v>20040322</v>
      </c>
      <c r="E24" s="20" t="str">
        <f t="shared" si="0"/>
        <v>20040322023</v>
      </c>
      <c r="F24" s="19">
        <v>46</v>
      </c>
      <c r="G24" s="19">
        <v>12</v>
      </c>
      <c r="H24" s="19">
        <v>30</v>
      </c>
      <c r="I24" s="19">
        <v>2</v>
      </c>
      <c r="J24" s="19">
        <v>41</v>
      </c>
      <c r="K24" s="19">
        <v>14</v>
      </c>
      <c r="L24" s="19">
        <v>29</v>
      </c>
      <c r="M24" s="19">
        <f t="shared" si="2"/>
        <v>174</v>
      </c>
      <c r="N24" s="27">
        <f t="shared" ref="N24:N86" si="24">N23+4</f>
        <v>38068</v>
      </c>
    </row>
    <row r="25" spans="1:14" x14ac:dyDescent="0.25">
      <c r="A25" s="15">
        <f t="shared" si="1"/>
        <v>4</v>
      </c>
      <c r="B25" s="20">
        <f t="shared" si="3"/>
        <v>24</v>
      </c>
      <c r="C25" s="17">
        <f t="shared" si="4"/>
        <v>24</v>
      </c>
      <c r="D25" s="17" t="str">
        <f t="shared" si="5"/>
        <v>20040325</v>
      </c>
      <c r="E25" s="20" t="str">
        <f t="shared" si="0"/>
        <v>20040325024</v>
      </c>
      <c r="F25" s="19">
        <v>21</v>
      </c>
      <c r="G25" s="19">
        <v>11</v>
      </c>
      <c r="H25" s="19">
        <v>49</v>
      </c>
      <c r="I25" s="19">
        <v>36</v>
      </c>
      <c r="J25" s="19">
        <v>43</v>
      </c>
      <c r="K25" s="19">
        <v>17</v>
      </c>
      <c r="L25" s="19">
        <v>5</v>
      </c>
      <c r="M25" s="19">
        <f t="shared" si="2"/>
        <v>182</v>
      </c>
      <c r="N25" s="27">
        <f t="shared" ref="N25:N87" si="25">N24+3</f>
        <v>38071</v>
      </c>
    </row>
    <row r="26" spans="1:14" x14ac:dyDescent="0.25">
      <c r="A26" s="15">
        <f t="shared" si="1"/>
        <v>1</v>
      </c>
      <c r="B26" s="20">
        <f t="shared" si="3"/>
        <v>25</v>
      </c>
      <c r="C26" s="17">
        <f t="shared" si="4"/>
        <v>25</v>
      </c>
      <c r="D26" s="17" t="str">
        <f t="shared" si="5"/>
        <v>20040329</v>
      </c>
      <c r="E26" s="20" t="str">
        <f t="shared" si="0"/>
        <v>20040329025</v>
      </c>
      <c r="F26" s="19">
        <v>38</v>
      </c>
      <c r="G26" s="19">
        <v>11</v>
      </c>
      <c r="H26" s="19">
        <v>15</v>
      </c>
      <c r="I26" s="19">
        <v>35</v>
      </c>
      <c r="J26" s="19">
        <v>21</v>
      </c>
      <c r="K26" s="19">
        <v>13</v>
      </c>
      <c r="L26" s="19">
        <v>37</v>
      </c>
      <c r="M26" s="19">
        <f t="shared" si="2"/>
        <v>170</v>
      </c>
      <c r="N26" s="27">
        <f t="shared" si="24"/>
        <v>38075</v>
      </c>
    </row>
    <row r="27" spans="1:14" x14ac:dyDescent="0.25">
      <c r="A27" s="15">
        <f t="shared" si="1"/>
        <v>4</v>
      </c>
      <c r="B27" s="20">
        <f t="shared" si="3"/>
        <v>26</v>
      </c>
      <c r="C27" s="17">
        <f t="shared" si="4"/>
        <v>26</v>
      </c>
      <c r="D27" s="17" t="str">
        <f t="shared" si="5"/>
        <v>20040401</v>
      </c>
      <c r="E27" s="20" t="str">
        <f t="shared" si="0"/>
        <v>20040401026</v>
      </c>
      <c r="F27" s="19">
        <v>46</v>
      </c>
      <c r="G27" s="19">
        <v>45</v>
      </c>
      <c r="H27" s="19">
        <v>7</v>
      </c>
      <c r="I27" s="19">
        <v>3</v>
      </c>
      <c r="J27" s="19">
        <v>42</v>
      </c>
      <c r="K27" s="19">
        <v>49</v>
      </c>
      <c r="L27" s="19">
        <v>8</v>
      </c>
      <c r="M27" s="19">
        <f t="shared" si="2"/>
        <v>200</v>
      </c>
      <c r="N27" s="27">
        <f t="shared" si="25"/>
        <v>38078</v>
      </c>
    </row>
    <row r="28" spans="1:14" x14ac:dyDescent="0.25">
      <c r="A28" s="15">
        <f t="shared" si="1"/>
        <v>1</v>
      </c>
      <c r="B28" s="20">
        <f t="shared" si="3"/>
        <v>27</v>
      </c>
      <c r="C28" s="17">
        <f t="shared" si="4"/>
        <v>27</v>
      </c>
      <c r="D28" s="17" t="str">
        <f t="shared" si="5"/>
        <v>20040405</v>
      </c>
      <c r="E28" s="20" t="str">
        <f t="shared" si="0"/>
        <v>20040405027</v>
      </c>
      <c r="F28" s="19">
        <v>24</v>
      </c>
      <c r="G28" s="19">
        <v>25</v>
      </c>
      <c r="H28" s="19">
        <v>39</v>
      </c>
      <c r="I28" s="19">
        <v>26</v>
      </c>
      <c r="J28" s="19">
        <v>44</v>
      </c>
      <c r="K28" s="19">
        <v>16</v>
      </c>
      <c r="L28" s="19">
        <v>30</v>
      </c>
      <c r="M28" s="19">
        <f t="shared" si="2"/>
        <v>204</v>
      </c>
      <c r="N28" s="27">
        <f t="shared" si="24"/>
        <v>38082</v>
      </c>
    </row>
    <row r="29" spans="1:14" x14ac:dyDescent="0.25">
      <c r="A29" s="15">
        <f t="shared" si="1"/>
        <v>4</v>
      </c>
      <c r="B29" s="20">
        <f t="shared" si="3"/>
        <v>28</v>
      </c>
      <c r="C29" s="17">
        <f t="shared" si="4"/>
        <v>28</v>
      </c>
      <c r="D29" s="17" t="str">
        <f t="shared" si="5"/>
        <v>20040408</v>
      </c>
      <c r="E29" s="20" t="str">
        <f t="shared" si="0"/>
        <v>20040408028</v>
      </c>
      <c r="F29" s="19">
        <v>43</v>
      </c>
      <c r="G29" s="19">
        <v>41</v>
      </c>
      <c r="H29" s="19">
        <v>26</v>
      </c>
      <c r="I29" s="19">
        <v>14</v>
      </c>
      <c r="J29" s="19">
        <v>5</v>
      </c>
      <c r="K29" s="19">
        <v>38</v>
      </c>
      <c r="L29" s="19">
        <v>4</v>
      </c>
      <c r="M29" s="19">
        <f t="shared" si="2"/>
        <v>171</v>
      </c>
      <c r="N29" s="27">
        <f t="shared" si="25"/>
        <v>38085</v>
      </c>
    </row>
    <row r="30" spans="1:14" x14ac:dyDescent="0.25">
      <c r="A30" s="15">
        <f t="shared" si="1"/>
        <v>1</v>
      </c>
      <c r="B30" s="20">
        <f t="shared" si="3"/>
        <v>29</v>
      </c>
      <c r="C30" s="17">
        <f t="shared" si="4"/>
        <v>29</v>
      </c>
      <c r="D30" s="17" t="str">
        <f t="shared" si="5"/>
        <v>20040412</v>
      </c>
      <c r="E30" s="20" t="str">
        <f t="shared" si="0"/>
        <v>20040412029</v>
      </c>
      <c r="F30" s="19">
        <v>30</v>
      </c>
      <c r="G30" s="19">
        <v>48</v>
      </c>
      <c r="H30" s="19">
        <v>25</v>
      </c>
      <c r="I30" s="19">
        <v>24</v>
      </c>
      <c r="J30" s="19">
        <v>36</v>
      </c>
      <c r="K30" s="19">
        <v>26</v>
      </c>
      <c r="L30" s="19">
        <v>45</v>
      </c>
      <c r="M30" s="19">
        <f t="shared" si="2"/>
        <v>234</v>
      </c>
      <c r="N30" s="27">
        <f t="shared" si="24"/>
        <v>38089</v>
      </c>
    </row>
    <row r="31" spans="1:14" x14ac:dyDescent="0.25">
      <c r="A31" s="15">
        <f t="shared" si="1"/>
        <v>4</v>
      </c>
      <c r="B31" s="20">
        <f t="shared" si="3"/>
        <v>30</v>
      </c>
      <c r="C31" s="17">
        <f t="shared" si="4"/>
        <v>30</v>
      </c>
      <c r="D31" s="17" t="str">
        <f t="shared" si="5"/>
        <v>20040415</v>
      </c>
      <c r="E31" s="20" t="str">
        <f t="shared" si="0"/>
        <v>20040415030</v>
      </c>
      <c r="F31" s="19">
        <v>13</v>
      </c>
      <c r="G31" s="19">
        <v>30</v>
      </c>
      <c r="H31" s="19">
        <v>37</v>
      </c>
      <c r="I31" s="19">
        <v>45</v>
      </c>
      <c r="J31" s="19">
        <v>14</v>
      </c>
      <c r="K31" s="19">
        <v>20</v>
      </c>
      <c r="L31" s="19">
        <v>1</v>
      </c>
      <c r="M31" s="19">
        <f t="shared" si="2"/>
        <v>160</v>
      </c>
      <c r="N31" s="27">
        <f t="shared" si="25"/>
        <v>38092</v>
      </c>
    </row>
    <row r="32" spans="1:14" x14ac:dyDescent="0.25">
      <c r="A32" s="15">
        <f t="shared" si="1"/>
        <v>1</v>
      </c>
      <c r="B32" s="20">
        <f t="shared" si="3"/>
        <v>31</v>
      </c>
      <c r="C32" s="17">
        <f t="shared" si="4"/>
        <v>31</v>
      </c>
      <c r="D32" s="17" t="str">
        <f t="shared" si="5"/>
        <v>20040419</v>
      </c>
      <c r="E32" s="20" t="str">
        <f t="shared" si="0"/>
        <v>20040419031</v>
      </c>
      <c r="F32" s="19">
        <v>13</v>
      </c>
      <c r="G32" s="19">
        <v>45</v>
      </c>
      <c r="H32" s="19">
        <v>17</v>
      </c>
      <c r="I32" s="19">
        <v>19</v>
      </c>
      <c r="J32" s="19">
        <v>39</v>
      </c>
      <c r="K32" s="19">
        <v>26</v>
      </c>
      <c r="L32" s="19">
        <v>11</v>
      </c>
      <c r="M32" s="19">
        <f t="shared" si="2"/>
        <v>170</v>
      </c>
      <c r="N32" s="27">
        <f t="shared" si="24"/>
        <v>38096</v>
      </c>
    </row>
    <row r="33" spans="1:14" x14ac:dyDescent="0.25">
      <c r="A33" s="15">
        <f t="shared" si="1"/>
        <v>4</v>
      </c>
      <c r="B33" s="20">
        <f t="shared" si="3"/>
        <v>32</v>
      </c>
      <c r="C33" s="17">
        <f t="shared" si="4"/>
        <v>32</v>
      </c>
      <c r="D33" s="17" t="str">
        <f t="shared" si="5"/>
        <v>20040422</v>
      </c>
      <c r="E33" s="20" t="str">
        <f t="shared" si="0"/>
        <v>20040422032</v>
      </c>
      <c r="F33" s="19">
        <v>3</v>
      </c>
      <c r="G33" s="19">
        <v>11</v>
      </c>
      <c r="H33" s="19">
        <v>20</v>
      </c>
      <c r="I33" s="19">
        <v>28</v>
      </c>
      <c r="J33" s="19">
        <v>22</v>
      </c>
      <c r="K33" s="19">
        <v>19</v>
      </c>
      <c r="L33" s="19">
        <v>13</v>
      </c>
      <c r="M33" s="19">
        <f t="shared" si="2"/>
        <v>116</v>
      </c>
      <c r="N33" s="27">
        <f t="shared" si="25"/>
        <v>38099</v>
      </c>
    </row>
    <row r="34" spans="1:14" x14ac:dyDescent="0.25">
      <c r="A34" s="15">
        <f t="shared" si="1"/>
        <v>1</v>
      </c>
      <c r="B34" s="20">
        <f t="shared" si="3"/>
        <v>33</v>
      </c>
      <c r="C34" s="17">
        <f t="shared" si="4"/>
        <v>33</v>
      </c>
      <c r="D34" s="17" t="str">
        <f t="shared" si="5"/>
        <v>20040426</v>
      </c>
      <c r="E34" s="20" t="str">
        <f t="shared" si="0"/>
        <v>20040426033</v>
      </c>
      <c r="F34" s="19">
        <v>22</v>
      </c>
      <c r="G34" s="19">
        <v>29</v>
      </c>
      <c r="H34" s="19">
        <v>31</v>
      </c>
      <c r="I34" s="19">
        <v>34</v>
      </c>
      <c r="J34" s="19">
        <v>25</v>
      </c>
      <c r="K34" s="19">
        <v>46</v>
      </c>
      <c r="L34" s="19">
        <v>49</v>
      </c>
      <c r="M34" s="19">
        <f t="shared" si="2"/>
        <v>236</v>
      </c>
      <c r="N34" s="27">
        <f t="shared" si="24"/>
        <v>38103</v>
      </c>
    </row>
    <row r="35" spans="1:14" x14ac:dyDescent="0.25">
      <c r="A35" s="15">
        <f t="shared" si="1"/>
        <v>4</v>
      </c>
      <c r="B35" s="20">
        <f t="shared" si="3"/>
        <v>34</v>
      </c>
      <c r="C35" s="17">
        <f t="shared" si="4"/>
        <v>34</v>
      </c>
      <c r="D35" s="17" t="str">
        <f t="shared" si="5"/>
        <v>20040429</v>
      </c>
      <c r="E35" s="20" t="str">
        <f t="shared" si="0"/>
        <v>20040429034</v>
      </c>
      <c r="F35" s="19">
        <v>34</v>
      </c>
      <c r="G35" s="19">
        <v>13</v>
      </c>
      <c r="H35" s="19">
        <v>1</v>
      </c>
      <c r="I35" s="19">
        <v>10</v>
      </c>
      <c r="J35" s="19">
        <v>46</v>
      </c>
      <c r="K35" s="19">
        <v>33</v>
      </c>
      <c r="L35" s="19">
        <v>7</v>
      </c>
      <c r="M35" s="19">
        <f t="shared" si="2"/>
        <v>144</v>
      </c>
      <c r="N35" s="27">
        <f t="shared" si="25"/>
        <v>38106</v>
      </c>
    </row>
    <row r="36" spans="1:14" x14ac:dyDescent="0.25">
      <c r="A36" s="15">
        <f t="shared" si="1"/>
        <v>1</v>
      </c>
      <c r="B36" s="20">
        <f t="shared" si="3"/>
        <v>35</v>
      </c>
      <c r="C36" s="17">
        <f t="shared" si="4"/>
        <v>35</v>
      </c>
      <c r="D36" s="17" t="str">
        <f t="shared" si="5"/>
        <v>20040503</v>
      </c>
      <c r="E36" s="20" t="str">
        <f t="shared" si="0"/>
        <v>20040503035</v>
      </c>
      <c r="F36" s="19">
        <v>40</v>
      </c>
      <c r="G36" s="19">
        <v>3</v>
      </c>
      <c r="H36" s="19">
        <v>13</v>
      </c>
      <c r="I36" s="19">
        <v>28</v>
      </c>
      <c r="J36" s="19">
        <v>9</v>
      </c>
      <c r="K36" s="19">
        <v>48</v>
      </c>
      <c r="L36" s="19">
        <v>39</v>
      </c>
      <c r="M36" s="19">
        <f t="shared" si="2"/>
        <v>180</v>
      </c>
      <c r="N36" s="27">
        <f t="shared" si="24"/>
        <v>38110</v>
      </c>
    </row>
    <row r="37" spans="1:14" x14ac:dyDescent="0.25">
      <c r="A37" s="15">
        <f t="shared" si="1"/>
        <v>4</v>
      </c>
      <c r="B37" s="20">
        <f t="shared" si="3"/>
        <v>36</v>
      </c>
      <c r="C37" s="17">
        <f t="shared" si="4"/>
        <v>36</v>
      </c>
      <c r="D37" s="17" t="str">
        <f t="shared" si="5"/>
        <v>20040506</v>
      </c>
      <c r="E37" s="20" t="str">
        <f t="shared" si="0"/>
        <v>20040506036</v>
      </c>
      <c r="F37" s="19">
        <v>47</v>
      </c>
      <c r="G37" s="19">
        <v>6</v>
      </c>
      <c r="H37" s="19">
        <v>40</v>
      </c>
      <c r="I37" s="19">
        <v>45</v>
      </c>
      <c r="J37" s="19">
        <v>44</v>
      </c>
      <c r="K37" s="19">
        <v>27</v>
      </c>
      <c r="L37" s="19">
        <v>11</v>
      </c>
      <c r="M37" s="19">
        <f t="shared" si="2"/>
        <v>220</v>
      </c>
      <c r="N37" s="27">
        <f t="shared" si="25"/>
        <v>38113</v>
      </c>
    </row>
    <row r="38" spans="1:14" x14ac:dyDescent="0.25">
      <c r="A38" s="15">
        <f t="shared" si="1"/>
        <v>1</v>
      </c>
      <c r="B38" s="20">
        <f t="shared" si="3"/>
        <v>37</v>
      </c>
      <c r="C38" s="17">
        <f t="shared" si="4"/>
        <v>37</v>
      </c>
      <c r="D38" s="17" t="str">
        <f t="shared" si="5"/>
        <v>20040510</v>
      </c>
      <c r="E38" s="20" t="str">
        <f t="shared" si="0"/>
        <v>20040510037</v>
      </c>
      <c r="F38" s="19">
        <v>4</v>
      </c>
      <c r="G38" s="19">
        <v>25</v>
      </c>
      <c r="H38" s="19">
        <v>23</v>
      </c>
      <c r="I38" s="19">
        <v>10</v>
      </c>
      <c r="J38" s="19">
        <v>26</v>
      </c>
      <c r="K38" s="19">
        <v>3</v>
      </c>
      <c r="L38" s="19">
        <v>33</v>
      </c>
      <c r="M38" s="19">
        <f t="shared" si="2"/>
        <v>124</v>
      </c>
      <c r="N38" s="27">
        <f t="shared" si="24"/>
        <v>38117</v>
      </c>
    </row>
    <row r="39" spans="1:14" x14ac:dyDescent="0.25">
      <c r="A39" s="15">
        <f t="shared" si="1"/>
        <v>4</v>
      </c>
      <c r="B39" s="20">
        <f t="shared" si="3"/>
        <v>38</v>
      </c>
      <c r="C39" s="17">
        <f t="shared" si="4"/>
        <v>38</v>
      </c>
      <c r="D39" s="17" t="str">
        <f t="shared" si="5"/>
        <v>20040513</v>
      </c>
      <c r="E39" s="20" t="str">
        <f t="shared" si="0"/>
        <v>20040513038</v>
      </c>
      <c r="F39" s="19">
        <v>36</v>
      </c>
      <c r="G39" s="19">
        <v>32</v>
      </c>
      <c r="H39" s="19">
        <v>11</v>
      </c>
      <c r="I39" s="19">
        <v>10</v>
      </c>
      <c r="J39" s="19">
        <v>14</v>
      </c>
      <c r="K39" s="19">
        <v>4</v>
      </c>
      <c r="L39" s="19">
        <v>9</v>
      </c>
      <c r="M39" s="19">
        <f t="shared" si="2"/>
        <v>116</v>
      </c>
      <c r="N39" s="27">
        <f t="shared" si="25"/>
        <v>38120</v>
      </c>
    </row>
    <row r="40" spans="1:14" x14ac:dyDescent="0.25">
      <c r="A40" s="15">
        <f t="shared" si="1"/>
        <v>1</v>
      </c>
      <c r="B40" s="20">
        <f t="shared" si="3"/>
        <v>39</v>
      </c>
      <c r="C40" s="17">
        <f t="shared" si="4"/>
        <v>39</v>
      </c>
      <c r="D40" s="17" t="str">
        <f t="shared" si="5"/>
        <v>20040517</v>
      </c>
      <c r="E40" s="20" t="str">
        <f t="shared" si="0"/>
        <v>20040517039</v>
      </c>
      <c r="F40" s="19">
        <v>2</v>
      </c>
      <c r="G40" s="19">
        <v>49</v>
      </c>
      <c r="H40" s="19">
        <v>32</v>
      </c>
      <c r="I40" s="19">
        <v>18</v>
      </c>
      <c r="J40" s="19">
        <v>4</v>
      </c>
      <c r="K40" s="19">
        <v>20</v>
      </c>
      <c r="L40" s="19">
        <v>30</v>
      </c>
      <c r="M40" s="19">
        <f t="shared" si="2"/>
        <v>155</v>
      </c>
      <c r="N40" s="27">
        <f t="shared" si="24"/>
        <v>38124</v>
      </c>
    </row>
    <row r="41" spans="1:14" x14ac:dyDescent="0.25">
      <c r="A41" s="15">
        <f t="shared" si="1"/>
        <v>4</v>
      </c>
      <c r="B41" s="20">
        <f t="shared" si="3"/>
        <v>40</v>
      </c>
      <c r="C41" s="17">
        <f t="shared" si="4"/>
        <v>40</v>
      </c>
      <c r="D41" s="17" t="str">
        <f t="shared" si="5"/>
        <v>20040520</v>
      </c>
      <c r="E41" s="20" t="str">
        <f t="shared" si="0"/>
        <v>20040520040</v>
      </c>
      <c r="F41" s="19">
        <v>6</v>
      </c>
      <c r="G41" s="19">
        <v>30</v>
      </c>
      <c r="H41" s="19">
        <v>34</v>
      </c>
      <c r="I41" s="19">
        <v>46</v>
      </c>
      <c r="J41" s="19">
        <v>28</v>
      </c>
      <c r="K41" s="19">
        <v>43</v>
      </c>
      <c r="L41" s="19">
        <v>9</v>
      </c>
      <c r="M41" s="19">
        <f t="shared" si="2"/>
        <v>196</v>
      </c>
      <c r="N41" s="27">
        <f t="shared" si="25"/>
        <v>38127</v>
      </c>
    </row>
    <row r="42" spans="1:14" x14ac:dyDescent="0.25">
      <c r="A42" s="15">
        <f t="shared" si="1"/>
        <v>1</v>
      </c>
      <c r="B42" s="20">
        <f t="shared" si="3"/>
        <v>41</v>
      </c>
      <c r="C42" s="17">
        <f t="shared" si="4"/>
        <v>41</v>
      </c>
      <c r="D42" s="17" t="str">
        <f t="shared" si="5"/>
        <v>20040524</v>
      </c>
      <c r="E42" s="20" t="str">
        <f t="shared" si="0"/>
        <v>20040524041</v>
      </c>
      <c r="F42" s="19">
        <v>17</v>
      </c>
      <c r="G42" s="19">
        <v>16</v>
      </c>
      <c r="H42" s="19">
        <v>1</v>
      </c>
      <c r="I42" s="19">
        <v>30</v>
      </c>
      <c r="J42" s="19">
        <v>36</v>
      </c>
      <c r="K42" s="19">
        <v>49</v>
      </c>
      <c r="L42" s="19">
        <v>44</v>
      </c>
      <c r="M42" s="19">
        <f t="shared" si="2"/>
        <v>193</v>
      </c>
      <c r="N42" s="27">
        <f t="shared" si="24"/>
        <v>38131</v>
      </c>
    </row>
    <row r="43" spans="1:14" x14ac:dyDescent="0.25">
      <c r="A43" s="15">
        <f t="shared" si="1"/>
        <v>4</v>
      </c>
      <c r="B43" s="20">
        <f t="shared" si="3"/>
        <v>42</v>
      </c>
      <c r="C43" s="17">
        <f t="shared" si="4"/>
        <v>42</v>
      </c>
      <c r="D43" s="17" t="str">
        <f t="shared" si="5"/>
        <v>20040527</v>
      </c>
      <c r="E43" s="20" t="str">
        <f t="shared" si="0"/>
        <v>20040527042</v>
      </c>
      <c r="F43" s="19">
        <v>44</v>
      </c>
      <c r="G43" s="19">
        <v>34</v>
      </c>
      <c r="H43" s="19">
        <v>6</v>
      </c>
      <c r="I43" s="19">
        <v>42</v>
      </c>
      <c r="J43" s="19">
        <v>22</v>
      </c>
      <c r="K43" s="19">
        <v>27</v>
      </c>
      <c r="L43" s="19">
        <v>36</v>
      </c>
      <c r="M43" s="19">
        <f t="shared" si="2"/>
        <v>211</v>
      </c>
      <c r="N43" s="27">
        <f t="shared" si="25"/>
        <v>38134</v>
      </c>
    </row>
    <row r="44" spans="1:14" x14ac:dyDescent="0.25">
      <c r="A44" s="15">
        <f t="shared" si="1"/>
        <v>1</v>
      </c>
      <c r="B44" s="20">
        <f t="shared" si="3"/>
        <v>43</v>
      </c>
      <c r="C44" s="17">
        <f t="shared" si="4"/>
        <v>43</v>
      </c>
      <c r="D44" s="17" t="str">
        <f t="shared" si="5"/>
        <v>20040531</v>
      </c>
      <c r="E44" s="20" t="str">
        <f t="shared" si="0"/>
        <v>20040531043</v>
      </c>
      <c r="F44" s="19">
        <v>31</v>
      </c>
      <c r="G44" s="19">
        <v>45</v>
      </c>
      <c r="H44" s="19">
        <v>32</v>
      </c>
      <c r="I44" s="19">
        <v>1</v>
      </c>
      <c r="J44" s="19">
        <v>17</v>
      </c>
      <c r="K44" s="19">
        <v>30</v>
      </c>
      <c r="L44" s="19">
        <v>33</v>
      </c>
      <c r="M44" s="19">
        <f t="shared" si="2"/>
        <v>189</v>
      </c>
      <c r="N44" s="27">
        <f t="shared" si="24"/>
        <v>38138</v>
      </c>
    </row>
    <row r="45" spans="1:14" x14ac:dyDescent="0.25">
      <c r="A45" s="15">
        <f t="shared" si="1"/>
        <v>4</v>
      </c>
      <c r="B45" s="20">
        <f t="shared" si="3"/>
        <v>44</v>
      </c>
      <c r="C45" s="17">
        <f t="shared" si="4"/>
        <v>44</v>
      </c>
      <c r="D45" s="17" t="str">
        <f t="shared" si="5"/>
        <v>20040603</v>
      </c>
      <c r="E45" s="20" t="str">
        <f t="shared" si="0"/>
        <v>20040603044</v>
      </c>
      <c r="F45" s="19">
        <v>4</v>
      </c>
      <c r="G45" s="19">
        <v>32</v>
      </c>
      <c r="H45" s="19">
        <v>31</v>
      </c>
      <c r="I45" s="19">
        <v>1</v>
      </c>
      <c r="J45" s="19">
        <v>34</v>
      </c>
      <c r="K45" s="19">
        <v>35</v>
      </c>
      <c r="L45" s="19">
        <v>33</v>
      </c>
      <c r="M45" s="19">
        <f t="shared" si="2"/>
        <v>170</v>
      </c>
      <c r="N45" s="27">
        <f t="shared" si="25"/>
        <v>38141</v>
      </c>
    </row>
    <row r="46" spans="1:14" x14ac:dyDescent="0.25">
      <c r="A46" s="15">
        <f t="shared" si="1"/>
        <v>1</v>
      </c>
      <c r="B46" s="20">
        <f t="shared" si="3"/>
        <v>45</v>
      </c>
      <c r="C46" s="17">
        <f t="shared" si="4"/>
        <v>45</v>
      </c>
      <c r="D46" s="17" t="str">
        <f t="shared" si="5"/>
        <v>20040607</v>
      </c>
      <c r="E46" s="20" t="str">
        <f t="shared" si="0"/>
        <v>20040607045</v>
      </c>
      <c r="F46" s="19">
        <v>49</v>
      </c>
      <c r="G46" s="19">
        <v>15</v>
      </c>
      <c r="H46" s="19">
        <v>25</v>
      </c>
      <c r="I46" s="19">
        <v>41</v>
      </c>
      <c r="J46" s="19">
        <v>6</v>
      </c>
      <c r="K46" s="19">
        <v>37</v>
      </c>
      <c r="L46" s="19">
        <v>3</v>
      </c>
      <c r="M46" s="19">
        <f t="shared" si="2"/>
        <v>176</v>
      </c>
      <c r="N46" s="27">
        <f t="shared" si="24"/>
        <v>38145</v>
      </c>
    </row>
    <row r="47" spans="1:14" x14ac:dyDescent="0.25">
      <c r="A47" s="15">
        <f t="shared" si="1"/>
        <v>4</v>
      </c>
      <c r="B47" s="20">
        <f t="shared" si="3"/>
        <v>46</v>
      </c>
      <c r="C47" s="17">
        <f t="shared" si="4"/>
        <v>46</v>
      </c>
      <c r="D47" s="17" t="str">
        <f t="shared" si="5"/>
        <v>20040610</v>
      </c>
      <c r="E47" s="20" t="str">
        <f t="shared" si="0"/>
        <v>20040610046</v>
      </c>
      <c r="F47" s="19">
        <v>22</v>
      </c>
      <c r="G47" s="19">
        <v>30</v>
      </c>
      <c r="H47" s="19">
        <v>2</v>
      </c>
      <c r="I47" s="19">
        <v>33</v>
      </c>
      <c r="J47" s="19">
        <v>16</v>
      </c>
      <c r="K47" s="19">
        <v>10</v>
      </c>
      <c r="L47" s="19">
        <v>41</v>
      </c>
      <c r="M47" s="19">
        <f t="shared" si="2"/>
        <v>154</v>
      </c>
      <c r="N47" s="27">
        <f t="shared" si="25"/>
        <v>38148</v>
      </c>
    </row>
    <row r="48" spans="1:14" x14ac:dyDescent="0.25">
      <c r="A48" s="15">
        <f t="shared" si="1"/>
        <v>1</v>
      </c>
      <c r="B48" s="20">
        <f t="shared" si="3"/>
        <v>47</v>
      </c>
      <c r="C48" s="17">
        <f t="shared" si="4"/>
        <v>47</v>
      </c>
      <c r="D48" s="17" t="str">
        <f t="shared" si="5"/>
        <v>20040614</v>
      </c>
      <c r="E48" s="20" t="str">
        <f t="shared" si="0"/>
        <v>20040614047</v>
      </c>
      <c r="F48" s="19">
        <v>43</v>
      </c>
      <c r="G48" s="19">
        <v>46</v>
      </c>
      <c r="H48" s="19">
        <v>41</v>
      </c>
      <c r="I48" s="19">
        <v>12</v>
      </c>
      <c r="J48" s="19">
        <v>5</v>
      </c>
      <c r="K48" s="19">
        <v>45</v>
      </c>
      <c r="L48" s="19">
        <v>33</v>
      </c>
      <c r="M48" s="19">
        <f t="shared" si="2"/>
        <v>225</v>
      </c>
      <c r="N48" s="27">
        <f t="shared" si="24"/>
        <v>38152</v>
      </c>
    </row>
    <row r="49" spans="1:14" x14ac:dyDescent="0.25">
      <c r="A49" s="15">
        <f t="shared" si="1"/>
        <v>4</v>
      </c>
      <c r="B49" s="20">
        <f t="shared" si="3"/>
        <v>48</v>
      </c>
      <c r="C49" s="17">
        <f t="shared" si="4"/>
        <v>48</v>
      </c>
      <c r="D49" s="17" t="str">
        <f t="shared" si="5"/>
        <v>20040617</v>
      </c>
      <c r="E49" s="20" t="str">
        <f t="shared" si="0"/>
        <v>20040617048</v>
      </c>
      <c r="F49" s="19">
        <v>30</v>
      </c>
      <c r="G49" s="19">
        <v>48</v>
      </c>
      <c r="H49" s="19">
        <v>44</v>
      </c>
      <c r="I49" s="19">
        <v>5</v>
      </c>
      <c r="J49" s="19">
        <v>34</v>
      </c>
      <c r="K49" s="19">
        <v>11</v>
      </c>
      <c r="L49" s="19">
        <v>40</v>
      </c>
      <c r="M49" s="19">
        <f t="shared" si="2"/>
        <v>212</v>
      </c>
      <c r="N49" s="27">
        <f t="shared" si="25"/>
        <v>38155</v>
      </c>
    </row>
    <row r="50" spans="1:14" x14ac:dyDescent="0.25">
      <c r="A50" s="15">
        <f t="shared" si="1"/>
        <v>1</v>
      </c>
      <c r="B50" s="20">
        <f t="shared" si="3"/>
        <v>49</v>
      </c>
      <c r="C50" s="17">
        <f t="shared" si="4"/>
        <v>49</v>
      </c>
      <c r="D50" s="17" t="str">
        <f t="shared" si="5"/>
        <v>20040621</v>
      </c>
      <c r="E50" s="20" t="str">
        <f t="shared" si="0"/>
        <v>20040621049</v>
      </c>
      <c r="F50" s="19">
        <v>17</v>
      </c>
      <c r="G50" s="19">
        <v>36</v>
      </c>
      <c r="H50" s="19">
        <v>11</v>
      </c>
      <c r="I50" s="19">
        <v>22</v>
      </c>
      <c r="J50" s="19">
        <v>6</v>
      </c>
      <c r="K50" s="19">
        <v>9</v>
      </c>
      <c r="L50" s="19">
        <v>44</v>
      </c>
      <c r="M50" s="19">
        <f t="shared" si="2"/>
        <v>145</v>
      </c>
      <c r="N50" s="27">
        <f t="shared" si="24"/>
        <v>38159</v>
      </c>
    </row>
    <row r="51" spans="1:14" x14ac:dyDescent="0.25">
      <c r="A51" s="15">
        <f t="shared" si="1"/>
        <v>4</v>
      </c>
      <c r="B51" s="20">
        <f t="shared" si="3"/>
        <v>50</v>
      </c>
      <c r="C51" s="17">
        <f t="shared" si="4"/>
        <v>50</v>
      </c>
      <c r="D51" s="17" t="str">
        <f t="shared" si="5"/>
        <v>20040624</v>
      </c>
      <c r="E51" s="20" t="str">
        <f t="shared" si="0"/>
        <v>20040624050</v>
      </c>
      <c r="F51" s="19">
        <v>17</v>
      </c>
      <c r="G51" s="19">
        <v>11</v>
      </c>
      <c r="H51" s="19">
        <v>29</v>
      </c>
      <c r="I51" s="19">
        <v>49</v>
      </c>
      <c r="J51" s="19">
        <v>44</v>
      </c>
      <c r="K51" s="19">
        <v>36</v>
      </c>
      <c r="L51" s="19">
        <v>33</v>
      </c>
      <c r="M51" s="19">
        <f t="shared" si="2"/>
        <v>219</v>
      </c>
      <c r="N51" s="27">
        <f t="shared" si="25"/>
        <v>38162</v>
      </c>
    </row>
    <row r="52" spans="1:14" x14ac:dyDescent="0.25">
      <c r="A52" s="15">
        <f t="shared" si="1"/>
        <v>1</v>
      </c>
      <c r="B52" s="20">
        <f t="shared" si="3"/>
        <v>51</v>
      </c>
      <c r="C52" s="17">
        <f t="shared" si="4"/>
        <v>51</v>
      </c>
      <c r="D52" s="17" t="str">
        <f t="shared" si="5"/>
        <v>20040628</v>
      </c>
      <c r="E52" s="20" t="str">
        <f t="shared" si="0"/>
        <v>20040628051</v>
      </c>
      <c r="F52" s="19">
        <v>19</v>
      </c>
      <c r="G52" s="19">
        <v>42</v>
      </c>
      <c r="H52" s="19">
        <v>17</v>
      </c>
      <c r="I52" s="19">
        <v>12</v>
      </c>
      <c r="J52" s="19">
        <v>22</v>
      </c>
      <c r="K52" s="19">
        <v>27</v>
      </c>
      <c r="L52" s="19">
        <v>48</v>
      </c>
      <c r="M52" s="19">
        <f t="shared" si="2"/>
        <v>187</v>
      </c>
      <c r="N52" s="27">
        <f t="shared" si="24"/>
        <v>38166</v>
      </c>
    </row>
    <row r="53" spans="1:14" x14ac:dyDescent="0.25">
      <c r="A53" s="15">
        <f t="shared" si="1"/>
        <v>4</v>
      </c>
      <c r="B53" s="20">
        <f t="shared" si="3"/>
        <v>52</v>
      </c>
      <c r="C53" s="17">
        <f t="shared" si="4"/>
        <v>52</v>
      </c>
      <c r="D53" s="17" t="str">
        <f t="shared" si="5"/>
        <v>20040701</v>
      </c>
      <c r="E53" s="20" t="str">
        <f t="shared" si="0"/>
        <v>20040701052</v>
      </c>
      <c r="F53" s="19">
        <v>16</v>
      </c>
      <c r="G53" s="19">
        <v>44</v>
      </c>
      <c r="H53" s="19">
        <v>6</v>
      </c>
      <c r="I53" s="19">
        <v>10</v>
      </c>
      <c r="J53" s="19">
        <v>29</v>
      </c>
      <c r="K53" s="19">
        <v>11</v>
      </c>
      <c r="L53" s="19">
        <v>37</v>
      </c>
      <c r="M53" s="19">
        <f t="shared" si="2"/>
        <v>153</v>
      </c>
      <c r="N53" s="27">
        <f t="shared" si="25"/>
        <v>38169</v>
      </c>
    </row>
    <row r="54" spans="1:14" x14ac:dyDescent="0.25">
      <c r="A54" s="15">
        <f t="shared" si="1"/>
        <v>1</v>
      </c>
      <c r="B54" s="20">
        <f t="shared" si="3"/>
        <v>53</v>
      </c>
      <c r="C54" s="17">
        <f t="shared" si="4"/>
        <v>53</v>
      </c>
      <c r="D54" s="17" t="str">
        <f t="shared" si="5"/>
        <v>20040705</v>
      </c>
      <c r="E54" s="20" t="str">
        <f t="shared" si="0"/>
        <v>20040705053</v>
      </c>
      <c r="F54" s="19">
        <v>7</v>
      </c>
      <c r="G54" s="19">
        <v>31</v>
      </c>
      <c r="H54" s="19">
        <v>19</v>
      </c>
      <c r="I54" s="19">
        <v>46</v>
      </c>
      <c r="J54" s="19">
        <v>42</v>
      </c>
      <c r="K54" s="19">
        <v>27</v>
      </c>
      <c r="L54" s="19">
        <v>39</v>
      </c>
      <c r="M54" s="19">
        <f t="shared" si="2"/>
        <v>211</v>
      </c>
      <c r="N54" s="27">
        <f t="shared" si="24"/>
        <v>38173</v>
      </c>
    </row>
    <row r="55" spans="1:14" x14ac:dyDescent="0.25">
      <c r="A55" s="15">
        <f t="shared" si="1"/>
        <v>4</v>
      </c>
      <c r="B55" s="20">
        <f t="shared" si="3"/>
        <v>54</v>
      </c>
      <c r="C55" s="17">
        <f t="shared" si="4"/>
        <v>54</v>
      </c>
      <c r="D55" s="17" t="str">
        <f t="shared" si="5"/>
        <v>20040708</v>
      </c>
      <c r="E55" s="20" t="str">
        <f t="shared" si="0"/>
        <v>20040708054</v>
      </c>
      <c r="F55" s="19">
        <v>30</v>
      </c>
      <c r="G55" s="19">
        <v>4</v>
      </c>
      <c r="H55" s="19">
        <v>7</v>
      </c>
      <c r="I55" s="19">
        <v>24</v>
      </c>
      <c r="J55" s="19">
        <v>13</v>
      </c>
      <c r="K55" s="19">
        <v>5</v>
      </c>
      <c r="L55" s="19">
        <v>49</v>
      </c>
      <c r="M55" s="19">
        <f t="shared" si="2"/>
        <v>132</v>
      </c>
      <c r="N55" s="27">
        <f t="shared" si="25"/>
        <v>38176</v>
      </c>
    </row>
    <row r="56" spans="1:14" x14ac:dyDescent="0.25">
      <c r="A56" s="15">
        <f t="shared" si="1"/>
        <v>1</v>
      </c>
      <c r="B56" s="20">
        <f t="shared" si="3"/>
        <v>55</v>
      </c>
      <c r="C56" s="17">
        <f t="shared" si="4"/>
        <v>55</v>
      </c>
      <c r="D56" s="17" t="str">
        <f t="shared" si="5"/>
        <v>20040712</v>
      </c>
      <c r="E56" s="20" t="str">
        <f t="shared" si="0"/>
        <v>20040712055</v>
      </c>
      <c r="F56" s="19">
        <v>42</v>
      </c>
      <c r="G56" s="19">
        <v>25</v>
      </c>
      <c r="H56" s="19">
        <v>3</v>
      </c>
      <c r="I56" s="19">
        <v>36</v>
      </c>
      <c r="J56" s="19">
        <v>8</v>
      </c>
      <c r="K56" s="19">
        <v>4</v>
      </c>
      <c r="L56" s="19">
        <v>32</v>
      </c>
      <c r="M56" s="19">
        <f t="shared" si="2"/>
        <v>150</v>
      </c>
      <c r="N56" s="27">
        <f t="shared" si="24"/>
        <v>38180</v>
      </c>
    </row>
    <row r="57" spans="1:14" x14ac:dyDescent="0.25">
      <c r="A57" s="15">
        <f t="shared" si="1"/>
        <v>4</v>
      </c>
      <c r="B57" s="20">
        <f t="shared" si="3"/>
        <v>56</v>
      </c>
      <c r="C57" s="17">
        <f t="shared" si="4"/>
        <v>56</v>
      </c>
      <c r="D57" s="17" t="str">
        <f t="shared" si="5"/>
        <v>20040715</v>
      </c>
      <c r="E57" s="20" t="str">
        <f t="shared" si="0"/>
        <v>20040715056</v>
      </c>
      <c r="F57" s="19">
        <v>38</v>
      </c>
      <c r="G57" s="19">
        <v>5</v>
      </c>
      <c r="H57" s="19">
        <v>32</v>
      </c>
      <c r="I57" s="19">
        <v>2</v>
      </c>
      <c r="J57" s="19">
        <v>42</v>
      </c>
      <c r="K57" s="19">
        <v>49</v>
      </c>
      <c r="L57" s="19">
        <v>44</v>
      </c>
      <c r="M57" s="19">
        <f t="shared" si="2"/>
        <v>212</v>
      </c>
      <c r="N57" s="27">
        <f t="shared" si="25"/>
        <v>38183</v>
      </c>
    </row>
    <row r="58" spans="1:14" x14ac:dyDescent="0.25">
      <c r="A58" s="15">
        <f t="shared" si="1"/>
        <v>1</v>
      </c>
      <c r="B58" s="20">
        <f t="shared" si="3"/>
        <v>57</v>
      </c>
      <c r="C58" s="17">
        <f t="shared" si="4"/>
        <v>57</v>
      </c>
      <c r="D58" s="17" t="str">
        <f t="shared" si="5"/>
        <v>20040719</v>
      </c>
      <c r="E58" s="20" t="str">
        <f t="shared" si="0"/>
        <v>20040719057</v>
      </c>
      <c r="F58" s="19">
        <v>49</v>
      </c>
      <c r="G58" s="19">
        <v>26</v>
      </c>
      <c r="H58" s="19">
        <v>30</v>
      </c>
      <c r="I58" s="19">
        <v>3</v>
      </c>
      <c r="J58" s="19">
        <v>7</v>
      </c>
      <c r="K58" s="19">
        <v>2</v>
      </c>
      <c r="L58" s="19">
        <v>6</v>
      </c>
      <c r="M58" s="19">
        <f t="shared" si="2"/>
        <v>123</v>
      </c>
      <c r="N58" s="27">
        <f t="shared" si="24"/>
        <v>38187</v>
      </c>
    </row>
    <row r="59" spans="1:14" x14ac:dyDescent="0.25">
      <c r="A59" s="15">
        <f t="shared" si="1"/>
        <v>4</v>
      </c>
      <c r="B59" s="20">
        <f t="shared" si="3"/>
        <v>58</v>
      </c>
      <c r="C59" s="17">
        <f t="shared" si="4"/>
        <v>58</v>
      </c>
      <c r="D59" s="17" t="str">
        <f t="shared" si="5"/>
        <v>20040722</v>
      </c>
      <c r="E59" s="20" t="str">
        <f t="shared" si="0"/>
        <v>20040722058</v>
      </c>
      <c r="F59" s="19">
        <v>24</v>
      </c>
      <c r="G59" s="19">
        <v>37</v>
      </c>
      <c r="H59" s="19">
        <v>46</v>
      </c>
      <c r="I59" s="19">
        <v>27</v>
      </c>
      <c r="J59" s="19">
        <v>11</v>
      </c>
      <c r="K59" s="19">
        <v>15</v>
      </c>
      <c r="L59" s="19">
        <v>1</v>
      </c>
      <c r="M59" s="19">
        <f t="shared" si="2"/>
        <v>161</v>
      </c>
      <c r="N59" s="27">
        <f t="shared" si="25"/>
        <v>38190</v>
      </c>
    </row>
    <row r="60" spans="1:14" x14ac:dyDescent="0.25">
      <c r="A60" s="15">
        <f t="shared" si="1"/>
        <v>1</v>
      </c>
      <c r="B60" s="20">
        <f t="shared" si="3"/>
        <v>59</v>
      </c>
      <c r="C60" s="17">
        <f t="shared" si="4"/>
        <v>59</v>
      </c>
      <c r="D60" s="17" t="str">
        <f t="shared" si="5"/>
        <v>20040726</v>
      </c>
      <c r="E60" s="20" t="str">
        <f t="shared" si="0"/>
        <v>20040726059</v>
      </c>
      <c r="F60" s="19">
        <v>28</v>
      </c>
      <c r="G60" s="19">
        <v>15</v>
      </c>
      <c r="H60" s="19">
        <v>38</v>
      </c>
      <c r="I60" s="19">
        <v>41</v>
      </c>
      <c r="J60" s="19">
        <v>42</v>
      </c>
      <c r="K60" s="19">
        <v>1</v>
      </c>
      <c r="L60" s="19">
        <v>24</v>
      </c>
      <c r="M60" s="19">
        <f t="shared" si="2"/>
        <v>189</v>
      </c>
      <c r="N60" s="27">
        <f t="shared" si="24"/>
        <v>38194</v>
      </c>
    </row>
    <row r="61" spans="1:14" x14ac:dyDescent="0.25">
      <c r="A61" s="15">
        <f t="shared" si="1"/>
        <v>4</v>
      </c>
      <c r="B61" s="20">
        <f t="shared" si="3"/>
        <v>60</v>
      </c>
      <c r="C61" s="17">
        <f t="shared" si="4"/>
        <v>60</v>
      </c>
      <c r="D61" s="17" t="str">
        <f t="shared" si="5"/>
        <v>20040729</v>
      </c>
      <c r="E61" s="20" t="str">
        <f t="shared" si="0"/>
        <v>20040729060</v>
      </c>
      <c r="F61" s="19">
        <v>46</v>
      </c>
      <c r="G61" s="19">
        <v>31</v>
      </c>
      <c r="H61" s="19">
        <v>42</v>
      </c>
      <c r="I61" s="19">
        <v>33</v>
      </c>
      <c r="J61" s="19">
        <v>40</v>
      </c>
      <c r="K61" s="19">
        <v>20</v>
      </c>
      <c r="L61" s="19">
        <v>30</v>
      </c>
      <c r="M61" s="19">
        <f t="shared" si="2"/>
        <v>242</v>
      </c>
      <c r="N61" s="27">
        <f t="shared" si="25"/>
        <v>38197</v>
      </c>
    </row>
    <row r="62" spans="1:14" x14ac:dyDescent="0.25">
      <c r="A62" s="15">
        <f t="shared" si="1"/>
        <v>1</v>
      </c>
      <c r="B62" s="20">
        <f t="shared" si="3"/>
        <v>61</v>
      </c>
      <c r="C62" s="17">
        <f t="shared" si="4"/>
        <v>61</v>
      </c>
      <c r="D62" s="17" t="str">
        <f t="shared" si="5"/>
        <v>20040802</v>
      </c>
      <c r="E62" s="20" t="str">
        <f t="shared" si="0"/>
        <v>20040802061</v>
      </c>
      <c r="F62" s="19">
        <v>40</v>
      </c>
      <c r="G62" s="19">
        <v>11</v>
      </c>
      <c r="H62" s="19">
        <v>42</v>
      </c>
      <c r="I62" s="19">
        <v>19</v>
      </c>
      <c r="J62" s="19">
        <v>21</v>
      </c>
      <c r="K62" s="19">
        <v>3</v>
      </c>
      <c r="L62" s="19">
        <v>14</v>
      </c>
      <c r="M62" s="19">
        <f t="shared" si="2"/>
        <v>150</v>
      </c>
      <c r="N62" s="27">
        <f t="shared" si="24"/>
        <v>38201</v>
      </c>
    </row>
    <row r="63" spans="1:14" x14ac:dyDescent="0.25">
      <c r="A63" s="15">
        <f t="shared" si="1"/>
        <v>4</v>
      </c>
      <c r="B63" s="20">
        <f t="shared" si="3"/>
        <v>62</v>
      </c>
      <c r="C63" s="17">
        <f t="shared" si="4"/>
        <v>62</v>
      </c>
      <c r="D63" s="17" t="str">
        <f t="shared" si="5"/>
        <v>20040805</v>
      </c>
      <c r="E63" s="20" t="str">
        <f t="shared" si="0"/>
        <v>20040805062</v>
      </c>
      <c r="F63" s="19">
        <v>30</v>
      </c>
      <c r="G63" s="19">
        <v>21</v>
      </c>
      <c r="H63" s="19">
        <v>24</v>
      </c>
      <c r="I63" s="19">
        <v>14</v>
      </c>
      <c r="J63" s="19">
        <v>27</v>
      </c>
      <c r="K63" s="19">
        <v>13</v>
      </c>
      <c r="L63" s="19">
        <v>20</v>
      </c>
      <c r="M63" s="19">
        <f t="shared" si="2"/>
        <v>149</v>
      </c>
      <c r="N63" s="27">
        <f t="shared" si="25"/>
        <v>38204</v>
      </c>
    </row>
    <row r="64" spans="1:14" x14ac:dyDescent="0.25">
      <c r="A64" s="15">
        <f t="shared" si="1"/>
        <v>1</v>
      </c>
      <c r="B64" s="20">
        <f t="shared" si="3"/>
        <v>63</v>
      </c>
      <c r="C64" s="17">
        <f t="shared" si="4"/>
        <v>63</v>
      </c>
      <c r="D64" s="17" t="str">
        <f t="shared" si="5"/>
        <v>20040809</v>
      </c>
      <c r="E64" s="20" t="str">
        <f t="shared" si="0"/>
        <v>20040809063</v>
      </c>
      <c r="F64" s="19">
        <v>19</v>
      </c>
      <c r="G64" s="19">
        <v>5</v>
      </c>
      <c r="H64" s="19">
        <v>26</v>
      </c>
      <c r="I64" s="19">
        <v>17</v>
      </c>
      <c r="J64" s="19">
        <v>28</v>
      </c>
      <c r="K64" s="19">
        <v>43</v>
      </c>
      <c r="L64" s="19">
        <v>25</v>
      </c>
      <c r="M64" s="19">
        <f t="shared" si="2"/>
        <v>163</v>
      </c>
      <c r="N64" s="27">
        <f t="shared" si="24"/>
        <v>38208</v>
      </c>
    </row>
    <row r="65" spans="1:14" x14ac:dyDescent="0.25">
      <c r="A65" s="15">
        <f t="shared" si="1"/>
        <v>4</v>
      </c>
      <c r="B65" s="20">
        <f t="shared" si="3"/>
        <v>64</v>
      </c>
      <c r="C65" s="17">
        <f t="shared" si="4"/>
        <v>64</v>
      </c>
      <c r="D65" s="17" t="str">
        <f t="shared" si="5"/>
        <v>20040812</v>
      </c>
      <c r="E65" s="20" t="str">
        <f t="shared" si="0"/>
        <v>20040812064</v>
      </c>
      <c r="F65" s="19">
        <v>34</v>
      </c>
      <c r="G65" s="19">
        <v>33</v>
      </c>
      <c r="H65" s="19">
        <v>11</v>
      </c>
      <c r="I65" s="19">
        <v>16</v>
      </c>
      <c r="J65" s="19">
        <v>27</v>
      </c>
      <c r="K65" s="19">
        <v>40</v>
      </c>
      <c r="L65" s="19">
        <v>7</v>
      </c>
      <c r="M65" s="19">
        <f t="shared" si="2"/>
        <v>168</v>
      </c>
      <c r="N65" s="27">
        <f t="shared" si="25"/>
        <v>38211</v>
      </c>
    </row>
    <row r="66" spans="1:14" x14ac:dyDescent="0.25">
      <c r="A66" s="15">
        <f t="shared" si="1"/>
        <v>1</v>
      </c>
      <c r="B66" s="20">
        <f t="shared" si="3"/>
        <v>65</v>
      </c>
      <c r="C66" s="17">
        <f t="shared" si="4"/>
        <v>65</v>
      </c>
      <c r="D66" s="17" t="str">
        <f t="shared" si="5"/>
        <v>20040816</v>
      </c>
      <c r="E66" s="20" t="str">
        <f t="shared" ref="E66:E129" si="26">CONCATENATE(D66,TEXT(C66,"000"))</f>
        <v>20040816065</v>
      </c>
      <c r="F66" s="19">
        <v>42</v>
      </c>
      <c r="G66" s="19">
        <v>5</v>
      </c>
      <c r="H66" s="19">
        <v>19</v>
      </c>
      <c r="I66" s="19">
        <v>11</v>
      </c>
      <c r="J66" s="19">
        <v>16</v>
      </c>
      <c r="K66" s="19">
        <v>6</v>
      </c>
      <c r="L66" s="19">
        <v>10</v>
      </c>
      <c r="M66" s="19">
        <f t="shared" si="2"/>
        <v>109</v>
      </c>
      <c r="N66" s="27">
        <f t="shared" si="24"/>
        <v>38215</v>
      </c>
    </row>
    <row r="67" spans="1:14" x14ac:dyDescent="0.25">
      <c r="A67" s="15">
        <f t="shared" ref="A67:A130" si="27">WEEKDAY(N67,2)</f>
        <v>4</v>
      </c>
      <c r="B67" s="20">
        <f t="shared" si="3"/>
        <v>66</v>
      </c>
      <c r="C67" s="17">
        <f t="shared" si="4"/>
        <v>66</v>
      </c>
      <c r="D67" s="17" t="str">
        <f t="shared" si="5"/>
        <v>20040819</v>
      </c>
      <c r="E67" s="20" t="str">
        <f t="shared" si="26"/>
        <v>20040819066</v>
      </c>
      <c r="F67" s="19">
        <v>41</v>
      </c>
      <c r="G67" s="19">
        <v>31</v>
      </c>
      <c r="H67" s="19">
        <v>32</v>
      </c>
      <c r="I67" s="19">
        <v>22</v>
      </c>
      <c r="J67" s="19">
        <v>10</v>
      </c>
      <c r="K67" s="19">
        <v>48</v>
      </c>
      <c r="L67" s="19">
        <v>24</v>
      </c>
      <c r="M67" s="19">
        <f t="shared" ref="M67:M130" si="28">SUM(F67:L67)</f>
        <v>208</v>
      </c>
      <c r="N67" s="27">
        <f t="shared" si="25"/>
        <v>38218</v>
      </c>
    </row>
    <row r="68" spans="1:14" x14ac:dyDescent="0.25">
      <c r="A68" s="15">
        <f t="shared" si="27"/>
        <v>1</v>
      </c>
      <c r="B68" s="20">
        <f t="shared" ref="B68:B131" si="29">B67+1</f>
        <v>67</v>
      </c>
      <c r="C68" s="17">
        <f t="shared" ref="C68:C131" si="30">C67+1</f>
        <v>67</v>
      </c>
      <c r="D68" s="17" t="str">
        <f t="shared" ref="D68:D131" si="31">CONCATENATE(TEXT(YEAR(N68),"0000"),TEXT(MONTH(N68),"00"),TEXT(DAY(N68),"00"))</f>
        <v>20040823</v>
      </c>
      <c r="E68" s="20" t="str">
        <f t="shared" si="26"/>
        <v>20040823067</v>
      </c>
      <c r="F68" s="19">
        <v>31</v>
      </c>
      <c r="G68" s="19">
        <v>38</v>
      </c>
      <c r="H68" s="19">
        <v>13</v>
      </c>
      <c r="I68" s="19">
        <v>45</v>
      </c>
      <c r="J68" s="19">
        <v>46</v>
      </c>
      <c r="K68" s="19">
        <v>29</v>
      </c>
      <c r="L68" s="19">
        <v>43</v>
      </c>
      <c r="M68" s="19">
        <f t="shared" si="28"/>
        <v>245</v>
      </c>
      <c r="N68" s="27">
        <f t="shared" si="24"/>
        <v>38222</v>
      </c>
    </row>
    <row r="69" spans="1:14" x14ac:dyDescent="0.25">
      <c r="A69" s="15">
        <f t="shared" si="27"/>
        <v>4</v>
      </c>
      <c r="B69" s="20">
        <f t="shared" si="29"/>
        <v>68</v>
      </c>
      <c r="C69" s="17">
        <f t="shared" si="30"/>
        <v>68</v>
      </c>
      <c r="D69" s="17" t="str">
        <f t="shared" si="31"/>
        <v>20040826</v>
      </c>
      <c r="E69" s="20" t="str">
        <f t="shared" si="26"/>
        <v>20040826068</v>
      </c>
      <c r="F69" s="19">
        <v>48</v>
      </c>
      <c r="G69" s="19">
        <v>31</v>
      </c>
      <c r="H69" s="19">
        <v>37</v>
      </c>
      <c r="I69" s="19">
        <v>34</v>
      </c>
      <c r="J69" s="19">
        <v>42</v>
      </c>
      <c r="K69" s="19">
        <v>14</v>
      </c>
      <c r="L69" s="19">
        <v>29</v>
      </c>
      <c r="M69" s="19">
        <f t="shared" si="28"/>
        <v>235</v>
      </c>
      <c r="N69" s="27">
        <f t="shared" si="25"/>
        <v>38225</v>
      </c>
    </row>
    <row r="70" spans="1:14" x14ac:dyDescent="0.25">
      <c r="A70" s="15">
        <f t="shared" si="27"/>
        <v>1</v>
      </c>
      <c r="B70" s="20">
        <f t="shared" si="29"/>
        <v>69</v>
      </c>
      <c r="C70" s="17">
        <f t="shared" si="30"/>
        <v>69</v>
      </c>
      <c r="D70" s="17" t="str">
        <f t="shared" si="31"/>
        <v>20040830</v>
      </c>
      <c r="E70" s="20" t="str">
        <f t="shared" si="26"/>
        <v>20040830069</v>
      </c>
      <c r="F70" s="19">
        <v>47</v>
      </c>
      <c r="G70" s="19">
        <v>22</v>
      </c>
      <c r="H70" s="19">
        <v>29</v>
      </c>
      <c r="I70" s="19">
        <v>28</v>
      </c>
      <c r="J70" s="19">
        <v>4</v>
      </c>
      <c r="K70" s="19">
        <v>44</v>
      </c>
      <c r="L70" s="19">
        <v>32</v>
      </c>
      <c r="M70" s="19">
        <f t="shared" si="28"/>
        <v>206</v>
      </c>
      <c r="N70" s="27">
        <f t="shared" si="24"/>
        <v>38229</v>
      </c>
    </row>
    <row r="71" spans="1:14" x14ac:dyDescent="0.25">
      <c r="A71" s="15">
        <f t="shared" si="27"/>
        <v>4</v>
      </c>
      <c r="B71" s="20">
        <f t="shared" si="29"/>
        <v>70</v>
      </c>
      <c r="C71" s="17">
        <f t="shared" si="30"/>
        <v>70</v>
      </c>
      <c r="D71" s="17" t="str">
        <f t="shared" si="31"/>
        <v>20040902</v>
      </c>
      <c r="E71" s="20" t="str">
        <f t="shared" si="26"/>
        <v>20040902070</v>
      </c>
      <c r="F71" s="19">
        <v>9</v>
      </c>
      <c r="G71" s="19">
        <v>47</v>
      </c>
      <c r="H71" s="19">
        <v>41</v>
      </c>
      <c r="I71" s="19">
        <v>18</v>
      </c>
      <c r="J71" s="19">
        <v>32</v>
      </c>
      <c r="K71" s="19">
        <v>16</v>
      </c>
      <c r="L71" s="19">
        <v>46</v>
      </c>
      <c r="M71" s="19">
        <f t="shared" si="28"/>
        <v>209</v>
      </c>
      <c r="N71" s="27">
        <f t="shared" si="25"/>
        <v>38232</v>
      </c>
    </row>
    <row r="72" spans="1:14" x14ac:dyDescent="0.25">
      <c r="A72" s="15">
        <f t="shared" si="27"/>
        <v>1</v>
      </c>
      <c r="B72" s="20">
        <f t="shared" si="29"/>
        <v>71</v>
      </c>
      <c r="C72" s="17">
        <f t="shared" si="30"/>
        <v>71</v>
      </c>
      <c r="D72" s="17" t="str">
        <f t="shared" si="31"/>
        <v>20040906</v>
      </c>
      <c r="E72" s="20" t="str">
        <f t="shared" si="26"/>
        <v>20040906071</v>
      </c>
      <c r="F72" s="19">
        <v>12</v>
      </c>
      <c r="G72" s="19">
        <v>26</v>
      </c>
      <c r="H72" s="19">
        <v>42</v>
      </c>
      <c r="I72" s="19">
        <v>25</v>
      </c>
      <c r="J72" s="19">
        <v>31</v>
      </c>
      <c r="K72" s="19">
        <v>36</v>
      </c>
      <c r="L72" s="19">
        <v>29</v>
      </c>
      <c r="M72" s="19">
        <f t="shared" si="28"/>
        <v>201</v>
      </c>
      <c r="N72" s="27">
        <f t="shared" si="24"/>
        <v>38236</v>
      </c>
    </row>
    <row r="73" spans="1:14" x14ac:dyDescent="0.25">
      <c r="A73" s="15">
        <f t="shared" si="27"/>
        <v>4</v>
      </c>
      <c r="B73" s="20">
        <f t="shared" si="29"/>
        <v>72</v>
      </c>
      <c r="C73" s="17">
        <f t="shared" si="30"/>
        <v>72</v>
      </c>
      <c r="D73" s="17" t="str">
        <f t="shared" si="31"/>
        <v>20040909</v>
      </c>
      <c r="E73" s="20" t="str">
        <f t="shared" si="26"/>
        <v>20040909072</v>
      </c>
      <c r="F73" s="19">
        <v>21</v>
      </c>
      <c r="G73" s="19">
        <v>14</v>
      </c>
      <c r="H73" s="19">
        <v>49</v>
      </c>
      <c r="I73" s="19">
        <v>13</v>
      </c>
      <c r="J73" s="19">
        <v>7</v>
      </c>
      <c r="K73" s="19">
        <v>20</v>
      </c>
      <c r="L73" s="19">
        <v>34</v>
      </c>
      <c r="M73" s="19">
        <f t="shared" si="28"/>
        <v>158</v>
      </c>
      <c r="N73" s="27">
        <f t="shared" si="25"/>
        <v>38239</v>
      </c>
    </row>
    <row r="74" spans="1:14" x14ac:dyDescent="0.25">
      <c r="A74" s="15">
        <f t="shared" si="27"/>
        <v>1</v>
      </c>
      <c r="B74" s="20">
        <f t="shared" si="29"/>
        <v>73</v>
      </c>
      <c r="C74" s="17">
        <f t="shared" si="30"/>
        <v>73</v>
      </c>
      <c r="D74" s="17" t="str">
        <f t="shared" si="31"/>
        <v>20040913</v>
      </c>
      <c r="E74" s="20" t="str">
        <f t="shared" si="26"/>
        <v>20040913073</v>
      </c>
      <c r="F74" s="19">
        <v>8</v>
      </c>
      <c r="G74" s="19">
        <v>10</v>
      </c>
      <c r="H74" s="19">
        <v>11</v>
      </c>
      <c r="I74" s="19">
        <v>23</v>
      </c>
      <c r="J74" s="19">
        <v>44</v>
      </c>
      <c r="K74" s="19">
        <v>21</v>
      </c>
      <c r="L74" s="19">
        <v>42</v>
      </c>
      <c r="M74" s="19">
        <f t="shared" si="28"/>
        <v>159</v>
      </c>
      <c r="N74" s="27">
        <f t="shared" si="24"/>
        <v>38243</v>
      </c>
    </row>
    <row r="75" spans="1:14" x14ac:dyDescent="0.25">
      <c r="A75" s="15">
        <f t="shared" si="27"/>
        <v>4</v>
      </c>
      <c r="B75" s="20">
        <f t="shared" si="29"/>
        <v>74</v>
      </c>
      <c r="C75" s="17">
        <f t="shared" si="30"/>
        <v>74</v>
      </c>
      <c r="D75" s="17" t="str">
        <f t="shared" si="31"/>
        <v>20040916</v>
      </c>
      <c r="E75" s="20" t="str">
        <f t="shared" si="26"/>
        <v>20040916074</v>
      </c>
      <c r="F75" s="19">
        <v>26</v>
      </c>
      <c r="G75" s="19">
        <v>38</v>
      </c>
      <c r="H75" s="19">
        <v>46</v>
      </c>
      <c r="I75" s="19">
        <v>37</v>
      </c>
      <c r="J75" s="19">
        <v>7</v>
      </c>
      <c r="K75" s="19">
        <v>19</v>
      </c>
      <c r="L75" s="19">
        <v>29</v>
      </c>
      <c r="M75" s="19">
        <f t="shared" si="28"/>
        <v>202</v>
      </c>
      <c r="N75" s="27">
        <f t="shared" si="25"/>
        <v>38246</v>
      </c>
    </row>
    <row r="76" spans="1:14" x14ac:dyDescent="0.25">
      <c r="A76" s="15">
        <f t="shared" si="27"/>
        <v>1</v>
      </c>
      <c r="B76" s="20">
        <f t="shared" si="29"/>
        <v>75</v>
      </c>
      <c r="C76" s="17">
        <f t="shared" si="30"/>
        <v>75</v>
      </c>
      <c r="D76" s="17" t="str">
        <f t="shared" si="31"/>
        <v>20040920</v>
      </c>
      <c r="E76" s="20" t="str">
        <f t="shared" si="26"/>
        <v>20040920075</v>
      </c>
      <c r="F76" s="19">
        <v>8</v>
      </c>
      <c r="G76" s="19">
        <v>43</v>
      </c>
      <c r="H76" s="19">
        <v>6</v>
      </c>
      <c r="I76" s="19">
        <v>10</v>
      </c>
      <c r="J76" s="19">
        <v>9</v>
      </c>
      <c r="K76" s="19">
        <v>5</v>
      </c>
      <c r="L76" s="19">
        <v>13</v>
      </c>
      <c r="M76" s="19">
        <f t="shared" si="28"/>
        <v>94</v>
      </c>
      <c r="N76" s="27">
        <f t="shared" si="24"/>
        <v>38250</v>
      </c>
    </row>
    <row r="77" spans="1:14" x14ac:dyDescent="0.25">
      <c r="A77" s="15">
        <f t="shared" si="27"/>
        <v>4</v>
      </c>
      <c r="B77" s="20">
        <f t="shared" si="29"/>
        <v>76</v>
      </c>
      <c r="C77" s="17">
        <f t="shared" si="30"/>
        <v>76</v>
      </c>
      <c r="D77" s="17" t="str">
        <f t="shared" si="31"/>
        <v>20040923</v>
      </c>
      <c r="E77" s="20" t="str">
        <f t="shared" si="26"/>
        <v>20040923076</v>
      </c>
      <c r="F77" s="19">
        <v>16</v>
      </c>
      <c r="G77" s="19">
        <v>48</v>
      </c>
      <c r="H77" s="19">
        <v>15</v>
      </c>
      <c r="I77" s="19">
        <v>33</v>
      </c>
      <c r="J77" s="19">
        <v>35</v>
      </c>
      <c r="K77" s="19">
        <v>1</v>
      </c>
      <c r="L77" s="19">
        <v>10</v>
      </c>
      <c r="M77" s="19">
        <f t="shared" si="28"/>
        <v>158</v>
      </c>
      <c r="N77" s="27">
        <f t="shared" si="25"/>
        <v>38253</v>
      </c>
    </row>
    <row r="78" spans="1:14" x14ac:dyDescent="0.25">
      <c r="A78" s="15">
        <f t="shared" si="27"/>
        <v>1</v>
      </c>
      <c r="B78" s="20">
        <f t="shared" si="29"/>
        <v>77</v>
      </c>
      <c r="C78" s="17">
        <f t="shared" si="30"/>
        <v>77</v>
      </c>
      <c r="D78" s="17" t="str">
        <f t="shared" si="31"/>
        <v>20040927</v>
      </c>
      <c r="E78" s="20" t="str">
        <f t="shared" si="26"/>
        <v>20040927077</v>
      </c>
      <c r="F78" s="19">
        <v>41</v>
      </c>
      <c r="G78" s="19">
        <v>42</v>
      </c>
      <c r="H78" s="19">
        <v>26</v>
      </c>
      <c r="I78" s="19">
        <v>40</v>
      </c>
      <c r="J78" s="19">
        <v>27</v>
      </c>
      <c r="K78" s="19">
        <v>43</v>
      </c>
      <c r="L78" s="19">
        <v>28</v>
      </c>
      <c r="M78" s="19">
        <f t="shared" si="28"/>
        <v>247</v>
      </c>
      <c r="N78" s="27">
        <f t="shared" si="24"/>
        <v>38257</v>
      </c>
    </row>
    <row r="79" spans="1:14" x14ac:dyDescent="0.25">
      <c r="A79" s="15">
        <f t="shared" si="27"/>
        <v>4</v>
      </c>
      <c r="B79" s="20">
        <f t="shared" si="29"/>
        <v>78</v>
      </c>
      <c r="C79" s="17">
        <f t="shared" si="30"/>
        <v>78</v>
      </c>
      <c r="D79" s="17" t="str">
        <f t="shared" si="31"/>
        <v>20040930</v>
      </c>
      <c r="E79" s="20" t="str">
        <f t="shared" si="26"/>
        <v>20040930078</v>
      </c>
      <c r="F79" s="19">
        <v>7</v>
      </c>
      <c r="G79" s="19">
        <v>13</v>
      </c>
      <c r="H79" s="19">
        <v>47</v>
      </c>
      <c r="I79" s="19">
        <v>20</v>
      </c>
      <c r="J79" s="19">
        <v>15</v>
      </c>
      <c r="K79" s="19">
        <v>22</v>
      </c>
      <c r="L79" s="19">
        <v>19</v>
      </c>
      <c r="M79" s="19">
        <f t="shared" si="28"/>
        <v>143</v>
      </c>
      <c r="N79" s="27">
        <f t="shared" si="25"/>
        <v>38260</v>
      </c>
    </row>
    <row r="80" spans="1:14" x14ac:dyDescent="0.25">
      <c r="A80" s="15">
        <f t="shared" si="27"/>
        <v>1</v>
      </c>
      <c r="B80" s="20">
        <f t="shared" si="29"/>
        <v>79</v>
      </c>
      <c r="C80" s="17">
        <f t="shared" si="30"/>
        <v>79</v>
      </c>
      <c r="D80" s="17" t="str">
        <f t="shared" si="31"/>
        <v>20041004</v>
      </c>
      <c r="E80" s="20" t="str">
        <f t="shared" si="26"/>
        <v>20041004079</v>
      </c>
      <c r="F80" s="19">
        <v>12</v>
      </c>
      <c r="G80" s="19">
        <v>25</v>
      </c>
      <c r="H80" s="19">
        <v>15</v>
      </c>
      <c r="I80" s="19">
        <v>23</v>
      </c>
      <c r="J80" s="19">
        <v>21</v>
      </c>
      <c r="K80" s="19">
        <v>35</v>
      </c>
      <c r="L80" s="19">
        <v>24</v>
      </c>
      <c r="M80" s="19">
        <f t="shared" si="28"/>
        <v>155</v>
      </c>
      <c r="N80" s="27">
        <f t="shared" si="24"/>
        <v>38264</v>
      </c>
    </row>
    <row r="81" spans="1:14" x14ac:dyDescent="0.25">
      <c r="A81" s="15">
        <f t="shared" si="27"/>
        <v>4</v>
      </c>
      <c r="B81" s="20">
        <f t="shared" si="29"/>
        <v>80</v>
      </c>
      <c r="C81" s="17">
        <f t="shared" si="30"/>
        <v>80</v>
      </c>
      <c r="D81" s="17" t="str">
        <f t="shared" si="31"/>
        <v>20041007</v>
      </c>
      <c r="E81" s="20" t="str">
        <f t="shared" si="26"/>
        <v>20041007080</v>
      </c>
      <c r="F81" s="19">
        <v>31</v>
      </c>
      <c r="G81" s="19">
        <v>19</v>
      </c>
      <c r="H81" s="19">
        <v>3</v>
      </c>
      <c r="I81" s="19">
        <v>6</v>
      </c>
      <c r="J81" s="19">
        <v>22</v>
      </c>
      <c r="K81" s="19">
        <v>32</v>
      </c>
      <c r="L81" s="19">
        <v>5</v>
      </c>
      <c r="M81" s="19">
        <f t="shared" si="28"/>
        <v>118</v>
      </c>
      <c r="N81" s="27">
        <f t="shared" si="25"/>
        <v>38267</v>
      </c>
    </row>
    <row r="82" spans="1:14" x14ac:dyDescent="0.25">
      <c r="A82" s="15">
        <f t="shared" si="27"/>
        <v>1</v>
      </c>
      <c r="B82" s="20">
        <f t="shared" si="29"/>
        <v>81</v>
      </c>
      <c r="C82" s="17">
        <f t="shared" si="30"/>
        <v>81</v>
      </c>
      <c r="D82" s="17" t="str">
        <f t="shared" si="31"/>
        <v>20041011</v>
      </c>
      <c r="E82" s="20" t="str">
        <f t="shared" si="26"/>
        <v>20041011081</v>
      </c>
      <c r="F82" s="19">
        <v>45</v>
      </c>
      <c r="G82" s="19">
        <v>1</v>
      </c>
      <c r="H82" s="19">
        <v>7</v>
      </c>
      <c r="I82" s="19">
        <v>10</v>
      </c>
      <c r="J82" s="19">
        <v>42</v>
      </c>
      <c r="K82" s="19">
        <v>32</v>
      </c>
      <c r="L82" s="19">
        <v>26</v>
      </c>
      <c r="M82" s="19">
        <f t="shared" si="28"/>
        <v>163</v>
      </c>
      <c r="N82" s="27">
        <f t="shared" si="24"/>
        <v>38271</v>
      </c>
    </row>
    <row r="83" spans="1:14" x14ac:dyDescent="0.25">
      <c r="A83" s="15">
        <f t="shared" si="27"/>
        <v>4</v>
      </c>
      <c r="B83" s="20">
        <f t="shared" si="29"/>
        <v>82</v>
      </c>
      <c r="C83" s="17">
        <f t="shared" si="30"/>
        <v>82</v>
      </c>
      <c r="D83" s="17" t="str">
        <f t="shared" si="31"/>
        <v>20041014</v>
      </c>
      <c r="E83" s="20" t="str">
        <f t="shared" si="26"/>
        <v>20041014082</v>
      </c>
      <c r="F83" s="19">
        <v>36</v>
      </c>
      <c r="G83" s="19">
        <v>4</v>
      </c>
      <c r="H83" s="19">
        <v>45</v>
      </c>
      <c r="I83" s="19">
        <v>47</v>
      </c>
      <c r="J83" s="19">
        <v>39</v>
      </c>
      <c r="K83" s="19">
        <v>23</v>
      </c>
      <c r="L83" s="19">
        <v>25</v>
      </c>
      <c r="M83" s="19">
        <f t="shared" si="28"/>
        <v>219</v>
      </c>
      <c r="N83" s="27">
        <f t="shared" si="25"/>
        <v>38274</v>
      </c>
    </row>
    <row r="84" spans="1:14" x14ac:dyDescent="0.25">
      <c r="A84" s="15">
        <f t="shared" si="27"/>
        <v>1</v>
      </c>
      <c r="B84" s="20">
        <f t="shared" si="29"/>
        <v>83</v>
      </c>
      <c r="C84" s="17">
        <f t="shared" si="30"/>
        <v>83</v>
      </c>
      <c r="D84" s="17" t="str">
        <f t="shared" si="31"/>
        <v>20041018</v>
      </c>
      <c r="E84" s="20" t="str">
        <f t="shared" si="26"/>
        <v>20041018083</v>
      </c>
      <c r="F84" s="19">
        <v>23</v>
      </c>
      <c r="G84" s="19">
        <v>42</v>
      </c>
      <c r="H84" s="19">
        <v>21</v>
      </c>
      <c r="I84" s="19">
        <v>25</v>
      </c>
      <c r="J84" s="19">
        <v>38</v>
      </c>
      <c r="K84" s="19">
        <v>10</v>
      </c>
      <c r="L84" s="19">
        <v>33</v>
      </c>
      <c r="M84" s="19">
        <f t="shared" si="28"/>
        <v>192</v>
      </c>
      <c r="N84" s="27">
        <f t="shared" si="24"/>
        <v>38278</v>
      </c>
    </row>
    <row r="85" spans="1:14" x14ac:dyDescent="0.25">
      <c r="A85" s="15">
        <f t="shared" si="27"/>
        <v>4</v>
      </c>
      <c r="B85" s="20">
        <f t="shared" si="29"/>
        <v>84</v>
      </c>
      <c r="C85" s="17">
        <f t="shared" si="30"/>
        <v>84</v>
      </c>
      <c r="D85" s="17" t="str">
        <f t="shared" si="31"/>
        <v>20041021</v>
      </c>
      <c r="E85" s="20" t="str">
        <f t="shared" si="26"/>
        <v>20041021084</v>
      </c>
      <c r="F85" s="19">
        <v>10</v>
      </c>
      <c r="G85" s="19">
        <v>21</v>
      </c>
      <c r="H85" s="19">
        <v>24</v>
      </c>
      <c r="I85" s="19">
        <v>20</v>
      </c>
      <c r="J85" s="19">
        <v>48</v>
      </c>
      <c r="K85" s="19">
        <v>3</v>
      </c>
      <c r="L85" s="19">
        <v>26</v>
      </c>
      <c r="M85" s="19">
        <f t="shared" si="28"/>
        <v>152</v>
      </c>
      <c r="N85" s="27">
        <f t="shared" si="25"/>
        <v>38281</v>
      </c>
    </row>
    <row r="86" spans="1:14" x14ac:dyDescent="0.25">
      <c r="A86" s="15">
        <f t="shared" si="27"/>
        <v>1</v>
      </c>
      <c r="B86" s="20">
        <f t="shared" si="29"/>
        <v>85</v>
      </c>
      <c r="C86" s="17">
        <f t="shared" si="30"/>
        <v>85</v>
      </c>
      <c r="D86" s="17" t="str">
        <f t="shared" si="31"/>
        <v>20041025</v>
      </c>
      <c r="E86" s="20" t="str">
        <f t="shared" si="26"/>
        <v>20041025085</v>
      </c>
      <c r="F86" s="19">
        <v>30</v>
      </c>
      <c r="G86" s="19">
        <v>6</v>
      </c>
      <c r="H86" s="19">
        <v>13</v>
      </c>
      <c r="I86" s="19">
        <v>34</v>
      </c>
      <c r="J86" s="19">
        <v>44</v>
      </c>
      <c r="K86" s="19">
        <v>38</v>
      </c>
      <c r="L86" s="19">
        <v>48</v>
      </c>
      <c r="M86" s="19">
        <f t="shared" si="28"/>
        <v>213</v>
      </c>
      <c r="N86" s="27">
        <f t="shared" si="24"/>
        <v>38285</v>
      </c>
    </row>
    <row r="87" spans="1:14" x14ac:dyDescent="0.25">
      <c r="A87" s="15">
        <f t="shared" si="27"/>
        <v>4</v>
      </c>
      <c r="B87" s="20">
        <f t="shared" si="29"/>
        <v>86</v>
      </c>
      <c r="C87" s="17">
        <f t="shared" si="30"/>
        <v>86</v>
      </c>
      <c r="D87" s="17" t="str">
        <f t="shared" si="31"/>
        <v>20041028</v>
      </c>
      <c r="E87" s="20" t="str">
        <f t="shared" si="26"/>
        <v>20041028086</v>
      </c>
      <c r="F87" s="19">
        <v>10</v>
      </c>
      <c r="G87" s="19">
        <v>31</v>
      </c>
      <c r="H87" s="19">
        <v>24</v>
      </c>
      <c r="I87" s="19">
        <v>40</v>
      </c>
      <c r="J87" s="19">
        <v>13</v>
      </c>
      <c r="K87" s="19">
        <v>12</v>
      </c>
      <c r="L87" s="19">
        <v>47</v>
      </c>
      <c r="M87" s="19">
        <f t="shared" si="28"/>
        <v>177</v>
      </c>
      <c r="N87" s="27">
        <f t="shared" si="25"/>
        <v>38288</v>
      </c>
    </row>
    <row r="88" spans="1:14" x14ac:dyDescent="0.25">
      <c r="A88" s="15">
        <f t="shared" si="27"/>
        <v>1</v>
      </c>
      <c r="B88" s="20">
        <f t="shared" si="29"/>
        <v>87</v>
      </c>
      <c r="C88" s="17">
        <f t="shared" si="30"/>
        <v>87</v>
      </c>
      <c r="D88" s="17" t="str">
        <f t="shared" si="31"/>
        <v>20041101</v>
      </c>
      <c r="E88" s="20" t="str">
        <f t="shared" si="26"/>
        <v>20041101087</v>
      </c>
      <c r="F88" s="19">
        <v>1</v>
      </c>
      <c r="G88" s="19">
        <v>38</v>
      </c>
      <c r="H88" s="19">
        <v>25</v>
      </c>
      <c r="I88" s="19">
        <v>10</v>
      </c>
      <c r="J88" s="19">
        <v>28</v>
      </c>
      <c r="K88" s="19">
        <v>49</v>
      </c>
      <c r="L88" s="19">
        <v>23</v>
      </c>
      <c r="M88" s="19">
        <f t="shared" si="28"/>
        <v>174</v>
      </c>
      <c r="N88" s="27">
        <f t="shared" ref="N88:N150" si="32">N87+4</f>
        <v>38292</v>
      </c>
    </row>
    <row r="89" spans="1:14" x14ac:dyDescent="0.25">
      <c r="A89" s="15">
        <f t="shared" si="27"/>
        <v>4</v>
      </c>
      <c r="B89" s="20">
        <f t="shared" si="29"/>
        <v>88</v>
      </c>
      <c r="C89" s="17">
        <f t="shared" si="30"/>
        <v>88</v>
      </c>
      <c r="D89" s="17" t="str">
        <f t="shared" si="31"/>
        <v>20041104</v>
      </c>
      <c r="E89" s="20" t="str">
        <f t="shared" si="26"/>
        <v>20041104088</v>
      </c>
      <c r="F89" s="19">
        <v>23</v>
      </c>
      <c r="G89" s="19">
        <v>31</v>
      </c>
      <c r="H89" s="19">
        <v>38</v>
      </c>
      <c r="I89" s="19">
        <v>36</v>
      </c>
      <c r="J89" s="19">
        <v>33</v>
      </c>
      <c r="K89" s="19">
        <v>26</v>
      </c>
      <c r="L89" s="19">
        <v>21</v>
      </c>
      <c r="M89" s="19">
        <f t="shared" si="28"/>
        <v>208</v>
      </c>
      <c r="N89" s="27">
        <f t="shared" ref="N89:N151" si="33">N88+3</f>
        <v>38295</v>
      </c>
    </row>
    <row r="90" spans="1:14" x14ac:dyDescent="0.25">
      <c r="A90" s="15">
        <f t="shared" si="27"/>
        <v>1</v>
      </c>
      <c r="B90" s="20">
        <f t="shared" si="29"/>
        <v>89</v>
      </c>
      <c r="C90" s="17">
        <f t="shared" si="30"/>
        <v>89</v>
      </c>
      <c r="D90" s="17" t="str">
        <f t="shared" si="31"/>
        <v>20041108</v>
      </c>
      <c r="E90" s="20" t="str">
        <f t="shared" si="26"/>
        <v>20041108089</v>
      </c>
      <c r="F90" s="19">
        <v>27</v>
      </c>
      <c r="G90" s="19">
        <v>24</v>
      </c>
      <c r="H90" s="19">
        <v>34</v>
      </c>
      <c r="I90" s="19">
        <v>25</v>
      </c>
      <c r="J90" s="19">
        <v>12</v>
      </c>
      <c r="K90" s="19">
        <v>36</v>
      </c>
      <c r="L90" s="19">
        <v>39</v>
      </c>
      <c r="M90" s="19">
        <f t="shared" si="28"/>
        <v>197</v>
      </c>
      <c r="N90" s="27">
        <f t="shared" si="32"/>
        <v>38299</v>
      </c>
    </row>
    <row r="91" spans="1:14" x14ac:dyDescent="0.25">
      <c r="A91" s="15">
        <f t="shared" si="27"/>
        <v>4</v>
      </c>
      <c r="B91" s="20">
        <f t="shared" si="29"/>
        <v>90</v>
      </c>
      <c r="C91" s="17">
        <f t="shared" si="30"/>
        <v>90</v>
      </c>
      <c r="D91" s="17" t="str">
        <f t="shared" si="31"/>
        <v>20041111</v>
      </c>
      <c r="E91" s="20" t="str">
        <f t="shared" si="26"/>
        <v>20041111090</v>
      </c>
      <c r="F91" s="19">
        <v>43</v>
      </c>
      <c r="G91" s="19">
        <v>17</v>
      </c>
      <c r="H91" s="19">
        <v>9</v>
      </c>
      <c r="I91" s="19">
        <v>40</v>
      </c>
      <c r="J91" s="19">
        <v>28</v>
      </c>
      <c r="K91" s="19">
        <v>12</v>
      </c>
      <c r="L91" s="19">
        <v>13</v>
      </c>
      <c r="M91" s="19">
        <f t="shared" si="28"/>
        <v>162</v>
      </c>
      <c r="N91" s="27">
        <f t="shared" si="33"/>
        <v>38302</v>
      </c>
    </row>
    <row r="92" spans="1:14" x14ac:dyDescent="0.25">
      <c r="A92" s="15">
        <f t="shared" si="27"/>
        <v>1</v>
      </c>
      <c r="B92" s="20">
        <f t="shared" si="29"/>
        <v>91</v>
      </c>
      <c r="C92" s="17">
        <f t="shared" si="30"/>
        <v>91</v>
      </c>
      <c r="D92" s="17" t="str">
        <f t="shared" si="31"/>
        <v>20041115</v>
      </c>
      <c r="E92" s="20" t="str">
        <f t="shared" si="26"/>
        <v>20041115091</v>
      </c>
      <c r="F92" s="19">
        <v>23</v>
      </c>
      <c r="G92" s="19">
        <v>11</v>
      </c>
      <c r="H92" s="19">
        <v>17</v>
      </c>
      <c r="I92" s="19">
        <v>33</v>
      </c>
      <c r="J92" s="19">
        <v>8</v>
      </c>
      <c r="K92" s="19">
        <v>14</v>
      </c>
      <c r="L92" s="19">
        <v>30</v>
      </c>
      <c r="M92" s="19">
        <f t="shared" si="28"/>
        <v>136</v>
      </c>
      <c r="N92" s="27">
        <f t="shared" si="32"/>
        <v>38306</v>
      </c>
    </row>
    <row r="93" spans="1:14" x14ac:dyDescent="0.25">
      <c r="A93" s="15">
        <f t="shared" si="27"/>
        <v>4</v>
      </c>
      <c r="B93" s="20">
        <f t="shared" si="29"/>
        <v>92</v>
      </c>
      <c r="C93" s="17">
        <f t="shared" si="30"/>
        <v>92</v>
      </c>
      <c r="D93" s="17" t="str">
        <f t="shared" si="31"/>
        <v>20041118</v>
      </c>
      <c r="E93" s="20" t="str">
        <f t="shared" si="26"/>
        <v>20041118092</v>
      </c>
      <c r="F93" s="19">
        <v>45</v>
      </c>
      <c r="G93" s="19">
        <v>7</v>
      </c>
      <c r="H93" s="19">
        <v>38</v>
      </c>
      <c r="I93" s="19">
        <v>20</v>
      </c>
      <c r="J93" s="19">
        <v>39</v>
      </c>
      <c r="K93" s="19">
        <v>11</v>
      </c>
      <c r="L93" s="19">
        <v>30</v>
      </c>
      <c r="M93" s="19">
        <f t="shared" si="28"/>
        <v>190</v>
      </c>
      <c r="N93" s="27">
        <f t="shared" si="33"/>
        <v>38309</v>
      </c>
    </row>
    <row r="94" spans="1:14" x14ac:dyDescent="0.25">
      <c r="A94" s="15">
        <f t="shared" si="27"/>
        <v>1</v>
      </c>
      <c r="B94" s="20">
        <f t="shared" si="29"/>
        <v>93</v>
      </c>
      <c r="C94" s="17">
        <f t="shared" si="30"/>
        <v>93</v>
      </c>
      <c r="D94" s="17" t="str">
        <f t="shared" si="31"/>
        <v>20041122</v>
      </c>
      <c r="E94" s="20" t="str">
        <f t="shared" si="26"/>
        <v>20041122093</v>
      </c>
      <c r="F94" s="19">
        <v>28</v>
      </c>
      <c r="G94" s="19">
        <v>2</v>
      </c>
      <c r="H94" s="19">
        <v>27</v>
      </c>
      <c r="I94" s="19">
        <v>44</v>
      </c>
      <c r="J94" s="19">
        <v>14</v>
      </c>
      <c r="K94" s="19">
        <v>49</v>
      </c>
      <c r="L94" s="19">
        <v>30</v>
      </c>
      <c r="M94" s="19">
        <f t="shared" si="28"/>
        <v>194</v>
      </c>
      <c r="N94" s="27">
        <f t="shared" si="32"/>
        <v>38313</v>
      </c>
    </row>
    <row r="95" spans="1:14" x14ac:dyDescent="0.25">
      <c r="A95" s="15">
        <f t="shared" si="27"/>
        <v>4</v>
      </c>
      <c r="B95" s="20">
        <f t="shared" si="29"/>
        <v>94</v>
      </c>
      <c r="C95" s="17">
        <f t="shared" si="30"/>
        <v>94</v>
      </c>
      <c r="D95" s="17" t="str">
        <f t="shared" si="31"/>
        <v>20041125</v>
      </c>
      <c r="E95" s="20" t="str">
        <f t="shared" si="26"/>
        <v>20041125094</v>
      </c>
      <c r="F95" s="19">
        <v>31</v>
      </c>
      <c r="G95" s="19">
        <v>3</v>
      </c>
      <c r="H95" s="19">
        <v>9</v>
      </c>
      <c r="I95" s="19">
        <v>10</v>
      </c>
      <c r="J95" s="19">
        <v>27</v>
      </c>
      <c r="K95" s="19">
        <v>4</v>
      </c>
      <c r="L95" s="19">
        <v>26</v>
      </c>
      <c r="M95" s="19">
        <f t="shared" si="28"/>
        <v>110</v>
      </c>
      <c r="N95" s="27">
        <f t="shared" si="33"/>
        <v>38316</v>
      </c>
    </row>
    <row r="96" spans="1:14" x14ac:dyDescent="0.25">
      <c r="A96" s="15">
        <f t="shared" si="27"/>
        <v>1</v>
      </c>
      <c r="B96" s="20">
        <f t="shared" si="29"/>
        <v>95</v>
      </c>
      <c r="C96" s="17">
        <f t="shared" si="30"/>
        <v>95</v>
      </c>
      <c r="D96" s="17" t="str">
        <f t="shared" si="31"/>
        <v>20041129</v>
      </c>
      <c r="E96" s="20" t="str">
        <f t="shared" si="26"/>
        <v>20041129095</v>
      </c>
      <c r="F96" s="19">
        <v>12</v>
      </c>
      <c r="G96" s="19">
        <v>4</v>
      </c>
      <c r="H96" s="19">
        <v>30</v>
      </c>
      <c r="I96" s="19">
        <v>23</v>
      </c>
      <c r="J96" s="19">
        <v>35</v>
      </c>
      <c r="K96" s="19">
        <v>48</v>
      </c>
      <c r="L96" s="19">
        <v>46</v>
      </c>
      <c r="M96" s="19">
        <f t="shared" si="28"/>
        <v>198</v>
      </c>
      <c r="N96" s="27">
        <f t="shared" si="32"/>
        <v>38320</v>
      </c>
    </row>
    <row r="97" spans="1:14" x14ac:dyDescent="0.25">
      <c r="A97" s="15">
        <f t="shared" si="27"/>
        <v>4</v>
      </c>
      <c r="B97" s="20">
        <f t="shared" si="29"/>
        <v>96</v>
      </c>
      <c r="C97" s="17">
        <f t="shared" si="30"/>
        <v>96</v>
      </c>
      <c r="D97" s="17" t="str">
        <f t="shared" si="31"/>
        <v>20041202</v>
      </c>
      <c r="E97" s="20" t="str">
        <f t="shared" si="26"/>
        <v>20041202096</v>
      </c>
      <c r="F97" s="19">
        <v>23</v>
      </c>
      <c r="G97" s="19">
        <v>28</v>
      </c>
      <c r="H97" s="19">
        <v>16</v>
      </c>
      <c r="I97" s="19">
        <v>5</v>
      </c>
      <c r="J97" s="19">
        <v>47</v>
      </c>
      <c r="K97" s="19">
        <v>38</v>
      </c>
      <c r="L97" s="19">
        <v>49</v>
      </c>
      <c r="M97" s="19">
        <f t="shared" si="28"/>
        <v>206</v>
      </c>
      <c r="N97" s="27">
        <f t="shared" si="33"/>
        <v>38323</v>
      </c>
    </row>
    <row r="98" spans="1:14" x14ac:dyDescent="0.25">
      <c r="A98" s="15">
        <f t="shared" si="27"/>
        <v>1</v>
      </c>
      <c r="B98" s="20">
        <f t="shared" si="29"/>
        <v>97</v>
      </c>
      <c r="C98" s="17">
        <f t="shared" si="30"/>
        <v>97</v>
      </c>
      <c r="D98" s="17" t="str">
        <f t="shared" si="31"/>
        <v>20041206</v>
      </c>
      <c r="E98" s="20" t="str">
        <f t="shared" si="26"/>
        <v>20041206097</v>
      </c>
      <c r="F98" s="19">
        <v>35</v>
      </c>
      <c r="G98" s="19">
        <v>26</v>
      </c>
      <c r="H98" s="19">
        <v>11</v>
      </c>
      <c r="I98" s="19">
        <v>8</v>
      </c>
      <c r="J98" s="19">
        <v>2</v>
      </c>
      <c r="K98" s="19">
        <v>12</v>
      </c>
      <c r="L98" s="19">
        <v>47</v>
      </c>
      <c r="M98" s="19">
        <f t="shared" si="28"/>
        <v>141</v>
      </c>
      <c r="N98" s="27">
        <f t="shared" si="32"/>
        <v>38327</v>
      </c>
    </row>
    <row r="99" spans="1:14" x14ac:dyDescent="0.25">
      <c r="A99" s="15">
        <f t="shared" si="27"/>
        <v>4</v>
      </c>
      <c r="B99" s="20">
        <f t="shared" si="29"/>
        <v>98</v>
      </c>
      <c r="C99" s="17">
        <f t="shared" si="30"/>
        <v>98</v>
      </c>
      <c r="D99" s="17" t="str">
        <f t="shared" si="31"/>
        <v>20041209</v>
      </c>
      <c r="E99" s="20" t="str">
        <f t="shared" si="26"/>
        <v>20041209098</v>
      </c>
      <c r="F99" s="19">
        <v>28</v>
      </c>
      <c r="G99" s="19">
        <v>16</v>
      </c>
      <c r="H99" s="19">
        <v>48</v>
      </c>
      <c r="I99" s="19">
        <v>35</v>
      </c>
      <c r="J99" s="19">
        <v>46</v>
      </c>
      <c r="K99" s="19">
        <v>44</v>
      </c>
      <c r="L99" s="19">
        <v>26</v>
      </c>
      <c r="M99" s="19">
        <f t="shared" si="28"/>
        <v>243</v>
      </c>
      <c r="N99" s="27">
        <f t="shared" si="33"/>
        <v>38330</v>
      </c>
    </row>
    <row r="100" spans="1:14" x14ac:dyDescent="0.25">
      <c r="A100" s="15">
        <f t="shared" si="27"/>
        <v>1</v>
      </c>
      <c r="B100" s="20">
        <f t="shared" si="29"/>
        <v>99</v>
      </c>
      <c r="C100" s="17">
        <f t="shared" si="30"/>
        <v>99</v>
      </c>
      <c r="D100" s="17" t="str">
        <f t="shared" si="31"/>
        <v>20041213</v>
      </c>
      <c r="E100" s="20" t="str">
        <f t="shared" si="26"/>
        <v>20041213099</v>
      </c>
      <c r="F100" s="19">
        <v>39</v>
      </c>
      <c r="G100" s="19">
        <v>24</v>
      </c>
      <c r="H100" s="19">
        <v>15</v>
      </c>
      <c r="I100" s="19">
        <v>38</v>
      </c>
      <c r="J100" s="19">
        <v>37</v>
      </c>
      <c r="K100" s="19">
        <v>5</v>
      </c>
      <c r="L100" s="19">
        <v>6</v>
      </c>
      <c r="M100" s="19">
        <f t="shared" si="28"/>
        <v>164</v>
      </c>
      <c r="N100" s="27">
        <f t="shared" si="32"/>
        <v>38334</v>
      </c>
    </row>
    <row r="101" spans="1:14" x14ac:dyDescent="0.25">
      <c r="A101" s="15">
        <f t="shared" si="27"/>
        <v>4</v>
      </c>
      <c r="B101" s="20">
        <f t="shared" si="29"/>
        <v>100</v>
      </c>
      <c r="C101" s="17">
        <f t="shared" si="30"/>
        <v>100</v>
      </c>
      <c r="D101" s="17" t="str">
        <f t="shared" si="31"/>
        <v>20041216</v>
      </c>
      <c r="E101" s="20" t="str">
        <f t="shared" si="26"/>
        <v>20041216100</v>
      </c>
      <c r="F101" s="19">
        <v>18</v>
      </c>
      <c r="G101" s="19">
        <v>22</v>
      </c>
      <c r="H101" s="19">
        <v>34</v>
      </c>
      <c r="I101" s="19">
        <v>36</v>
      </c>
      <c r="J101" s="19">
        <v>2</v>
      </c>
      <c r="K101" s="19">
        <v>12</v>
      </c>
      <c r="L101" s="19">
        <v>8</v>
      </c>
      <c r="M101" s="19">
        <f t="shared" si="28"/>
        <v>132</v>
      </c>
      <c r="N101" s="27">
        <f t="shared" si="33"/>
        <v>38337</v>
      </c>
    </row>
    <row r="102" spans="1:14" x14ac:dyDescent="0.25">
      <c r="A102" s="15">
        <f t="shared" si="27"/>
        <v>1</v>
      </c>
      <c r="B102" s="20">
        <f t="shared" si="29"/>
        <v>101</v>
      </c>
      <c r="C102" s="17">
        <f t="shared" si="30"/>
        <v>101</v>
      </c>
      <c r="D102" s="17" t="str">
        <f t="shared" si="31"/>
        <v>20041220</v>
      </c>
      <c r="E102" s="20" t="str">
        <f t="shared" si="26"/>
        <v>20041220101</v>
      </c>
      <c r="F102" s="19">
        <v>3</v>
      </c>
      <c r="G102" s="19">
        <v>13</v>
      </c>
      <c r="H102" s="19">
        <v>4</v>
      </c>
      <c r="I102" s="19">
        <v>42</v>
      </c>
      <c r="J102" s="19">
        <v>39</v>
      </c>
      <c r="K102" s="19">
        <v>26</v>
      </c>
      <c r="L102" s="19">
        <v>18</v>
      </c>
      <c r="M102" s="19">
        <f t="shared" si="28"/>
        <v>145</v>
      </c>
      <c r="N102" s="27">
        <f t="shared" si="32"/>
        <v>38341</v>
      </c>
    </row>
    <row r="103" spans="1:14" x14ac:dyDescent="0.25">
      <c r="A103" s="15">
        <f t="shared" si="27"/>
        <v>4</v>
      </c>
      <c r="B103" s="20">
        <f t="shared" si="29"/>
        <v>102</v>
      </c>
      <c r="C103" s="17">
        <f t="shared" si="30"/>
        <v>102</v>
      </c>
      <c r="D103" s="17" t="str">
        <f t="shared" si="31"/>
        <v>20041223</v>
      </c>
      <c r="E103" s="20" t="str">
        <f t="shared" si="26"/>
        <v>20041223102</v>
      </c>
      <c r="F103" s="19">
        <v>18</v>
      </c>
      <c r="G103" s="19">
        <v>3</v>
      </c>
      <c r="H103" s="19">
        <v>23</v>
      </c>
      <c r="I103" s="19">
        <v>40</v>
      </c>
      <c r="J103" s="19">
        <v>5</v>
      </c>
      <c r="K103" s="19">
        <v>45</v>
      </c>
      <c r="L103" s="19">
        <v>41</v>
      </c>
      <c r="M103" s="19">
        <f t="shared" si="28"/>
        <v>175</v>
      </c>
      <c r="N103" s="27">
        <f t="shared" si="33"/>
        <v>38344</v>
      </c>
    </row>
    <row r="104" spans="1:14" x14ac:dyDescent="0.25">
      <c r="A104" s="15">
        <f t="shared" si="27"/>
        <v>1</v>
      </c>
      <c r="B104" s="20">
        <f t="shared" si="29"/>
        <v>103</v>
      </c>
      <c r="C104" s="17">
        <f t="shared" si="30"/>
        <v>103</v>
      </c>
      <c r="D104" s="17" t="str">
        <f t="shared" si="31"/>
        <v>20041227</v>
      </c>
      <c r="E104" s="20" t="str">
        <f t="shared" si="26"/>
        <v>20041227103</v>
      </c>
      <c r="F104" s="19">
        <v>16</v>
      </c>
      <c r="G104" s="19">
        <v>24</v>
      </c>
      <c r="H104" s="19">
        <v>8</v>
      </c>
      <c r="I104" s="19">
        <v>1</v>
      </c>
      <c r="J104" s="19">
        <v>22</v>
      </c>
      <c r="K104" s="19">
        <v>30</v>
      </c>
      <c r="L104" s="19">
        <v>14</v>
      </c>
      <c r="M104" s="19">
        <f t="shared" si="28"/>
        <v>115</v>
      </c>
      <c r="N104" s="27">
        <f t="shared" si="32"/>
        <v>38348</v>
      </c>
    </row>
    <row r="105" spans="1:14" x14ac:dyDescent="0.25">
      <c r="A105" s="15">
        <f t="shared" si="27"/>
        <v>4</v>
      </c>
      <c r="B105" s="20">
        <f t="shared" si="29"/>
        <v>104</v>
      </c>
      <c r="C105" s="17">
        <f t="shared" si="30"/>
        <v>104</v>
      </c>
      <c r="D105" s="17" t="str">
        <f t="shared" si="31"/>
        <v>20041230</v>
      </c>
      <c r="E105" s="20" t="str">
        <f t="shared" si="26"/>
        <v>20041230104</v>
      </c>
      <c r="F105" s="19">
        <v>34</v>
      </c>
      <c r="G105" s="19">
        <v>43</v>
      </c>
      <c r="H105" s="19">
        <v>33</v>
      </c>
      <c r="I105" s="19">
        <v>18</v>
      </c>
      <c r="J105" s="19">
        <v>49</v>
      </c>
      <c r="K105" s="19">
        <v>3</v>
      </c>
      <c r="L105" s="19">
        <v>2</v>
      </c>
      <c r="M105" s="19">
        <f t="shared" si="28"/>
        <v>182</v>
      </c>
      <c r="N105" s="27">
        <f t="shared" si="33"/>
        <v>38351</v>
      </c>
    </row>
    <row r="106" spans="1:14" x14ac:dyDescent="0.25">
      <c r="A106" s="15">
        <f t="shared" si="27"/>
        <v>1</v>
      </c>
      <c r="B106" s="20">
        <f t="shared" si="29"/>
        <v>105</v>
      </c>
      <c r="C106" s="17">
        <v>1</v>
      </c>
      <c r="D106" s="17" t="str">
        <f t="shared" si="31"/>
        <v>20050103</v>
      </c>
      <c r="E106" s="20" t="str">
        <f t="shared" si="26"/>
        <v>20050103001</v>
      </c>
      <c r="F106" s="19">
        <v>5</v>
      </c>
      <c r="G106" s="19">
        <v>37</v>
      </c>
      <c r="H106" s="19">
        <v>10</v>
      </c>
      <c r="I106" s="19">
        <v>39</v>
      </c>
      <c r="J106" s="19">
        <v>46</v>
      </c>
      <c r="K106" s="19">
        <v>27</v>
      </c>
      <c r="L106" s="19">
        <v>8</v>
      </c>
      <c r="M106" s="19">
        <f t="shared" si="28"/>
        <v>172</v>
      </c>
      <c r="N106" s="27">
        <f t="shared" si="32"/>
        <v>38355</v>
      </c>
    </row>
    <row r="107" spans="1:14" x14ac:dyDescent="0.25">
      <c r="A107" s="15">
        <f t="shared" si="27"/>
        <v>4</v>
      </c>
      <c r="B107" s="20">
        <f t="shared" si="29"/>
        <v>106</v>
      </c>
      <c r="C107" s="17">
        <f t="shared" si="30"/>
        <v>2</v>
      </c>
      <c r="D107" s="17" t="str">
        <f t="shared" si="31"/>
        <v>20050106</v>
      </c>
      <c r="E107" s="20" t="str">
        <f t="shared" si="26"/>
        <v>20050106002</v>
      </c>
      <c r="F107" s="19">
        <v>46</v>
      </c>
      <c r="G107" s="19">
        <v>6</v>
      </c>
      <c r="H107" s="19">
        <v>47</v>
      </c>
      <c r="I107" s="19">
        <v>23</v>
      </c>
      <c r="J107" s="19">
        <v>45</v>
      </c>
      <c r="K107" s="19">
        <v>39</v>
      </c>
      <c r="L107" s="19">
        <v>18</v>
      </c>
      <c r="M107" s="19">
        <f t="shared" si="28"/>
        <v>224</v>
      </c>
      <c r="N107" s="27">
        <f t="shared" si="33"/>
        <v>38358</v>
      </c>
    </row>
    <row r="108" spans="1:14" x14ac:dyDescent="0.25">
      <c r="A108" s="15">
        <f t="shared" si="27"/>
        <v>1</v>
      </c>
      <c r="B108" s="20">
        <f t="shared" si="29"/>
        <v>107</v>
      </c>
      <c r="C108" s="17">
        <f t="shared" si="30"/>
        <v>3</v>
      </c>
      <c r="D108" s="17" t="str">
        <f t="shared" si="31"/>
        <v>20050110</v>
      </c>
      <c r="E108" s="20" t="str">
        <f t="shared" si="26"/>
        <v>20050110003</v>
      </c>
      <c r="F108" s="19">
        <v>17</v>
      </c>
      <c r="G108" s="19">
        <v>36</v>
      </c>
      <c r="H108" s="19">
        <v>14</v>
      </c>
      <c r="I108" s="19">
        <v>1</v>
      </c>
      <c r="J108" s="19">
        <v>49</v>
      </c>
      <c r="K108" s="19">
        <v>3</v>
      </c>
      <c r="L108" s="19">
        <v>10</v>
      </c>
      <c r="M108" s="19">
        <f t="shared" si="28"/>
        <v>130</v>
      </c>
      <c r="N108" s="27">
        <f t="shared" si="32"/>
        <v>38362</v>
      </c>
    </row>
    <row r="109" spans="1:14" x14ac:dyDescent="0.25">
      <c r="A109" s="15">
        <f t="shared" si="27"/>
        <v>4</v>
      </c>
      <c r="B109" s="20">
        <f t="shared" si="29"/>
        <v>108</v>
      </c>
      <c r="C109" s="17">
        <f t="shared" si="30"/>
        <v>4</v>
      </c>
      <c r="D109" s="17" t="str">
        <f t="shared" si="31"/>
        <v>20050113</v>
      </c>
      <c r="E109" s="20" t="str">
        <f t="shared" si="26"/>
        <v>20050113004</v>
      </c>
      <c r="F109" s="19">
        <v>31</v>
      </c>
      <c r="G109" s="19">
        <v>35</v>
      </c>
      <c r="H109" s="19">
        <v>15</v>
      </c>
      <c r="I109" s="19">
        <v>1</v>
      </c>
      <c r="J109" s="19">
        <v>2</v>
      </c>
      <c r="K109" s="19">
        <v>21</v>
      </c>
      <c r="L109" s="19">
        <v>33</v>
      </c>
      <c r="M109" s="19">
        <f t="shared" si="28"/>
        <v>138</v>
      </c>
      <c r="N109" s="27">
        <f t="shared" si="33"/>
        <v>38365</v>
      </c>
    </row>
    <row r="110" spans="1:14" x14ac:dyDescent="0.25">
      <c r="A110" s="15">
        <f t="shared" si="27"/>
        <v>1</v>
      </c>
      <c r="B110" s="20">
        <f t="shared" si="29"/>
        <v>109</v>
      </c>
      <c r="C110" s="17">
        <f t="shared" si="30"/>
        <v>5</v>
      </c>
      <c r="D110" s="17" t="str">
        <f t="shared" si="31"/>
        <v>20050117</v>
      </c>
      <c r="E110" s="20" t="str">
        <f t="shared" si="26"/>
        <v>20050117005</v>
      </c>
      <c r="F110" s="19">
        <v>49</v>
      </c>
      <c r="G110" s="19">
        <v>38</v>
      </c>
      <c r="H110" s="19">
        <v>16</v>
      </c>
      <c r="I110" s="19">
        <v>7</v>
      </c>
      <c r="J110" s="19">
        <v>14</v>
      </c>
      <c r="K110" s="19">
        <v>45</v>
      </c>
      <c r="L110" s="19">
        <v>25</v>
      </c>
      <c r="M110" s="19">
        <f t="shared" si="28"/>
        <v>194</v>
      </c>
      <c r="N110" s="27">
        <f t="shared" si="32"/>
        <v>38369</v>
      </c>
    </row>
    <row r="111" spans="1:14" x14ac:dyDescent="0.25">
      <c r="A111" s="15">
        <f t="shared" si="27"/>
        <v>4</v>
      </c>
      <c r="B111" s="20">
        <f t="shared" si="29"/>
        <v>110</v>
      </c>
      <c r="C111" s="17">
        <f t="shared" si="30"/>
        <v>6</v>
      </c>
      <c r="D111" s="17" t="str">
        <f t="shared" si="31"/>
        <v>20050120</v>
      </c>
      <c r="E111" s="20" t="str">
        <f t="shared" si="26"/>
        <v>20050120006</v>
      </c>
      <c r="F111" s="19">
        <v>26</v>
      </c>
      <c r="G111" s="19">
        <v>23</v>
      </c>
      <c r="H111" s="19">
        <v>1</v>
      </c>
      <c r="I111" s="19">
        <v>41</v>
      </c>
      <c r="J111" s="19">
        <v>27</v>
      </c>
      <c r="K111" s="19">
        <v>33</v>
      </c>
      <c r="L111" s="19">
        <v>18</v>
      </c>
      <c r="M111" s="19">
        <f t="shared" si="28"/>
        <v>169</v>
      </c>
      <c r="N111" s="27">
        <f t="shared" si="33"/>
        <v>38372</v>
      </c>
    </row>
    <row r="112" spans="1:14" x14ac:dyDescent="0.25">
      <c r="A112" s="15">
        <f t="shared" si="27"/>
        <v>1</v>
      </c>
      <c r="B112" s="20">
        <f t="shared" si="29"/>
        <v>111</v>
      </c>
      <c r="C112" s="17">
        <f t="shared" si="30"/>
        <v>7</v>
      </c>
      <c r="D112" s="17" t="str">
        <f t="shared" si="31"/>
        <v>20050124</v>
      </c>
      <c r="E112" s="20" t="str">
        <f t="shared" si="26"/>
        <v>20050124007</v>
      </c>
      <c r="F112" s="19">
        <v>31</v>
      </c>
      <c r="G112" s="19">
        <v>36</v>
      </c>
      <c r="H112" s="19">
        <v>14</v>
      </c>
      <c r="I112" s="19">
        <v>17</v>
      </c>
      <c r="J112" s="19">
        <v>30</v>
      </c>
      <c r="K112" s="19">
        <v>47</v>
      </c>
      <c r="L112" s="19">
        <v>28</v>
      </c>
      <c r="M112" s="19">
        <f t="shared" si="28"/>
        <v>203</v>
      </c>
      <c r="N112" s="27">
        <f t="shared" si="32"/>
        <v>38376</v>
      </c>
    </row>
    <row r="113" spans="1:14" x14ac:dyDescent="0.25">
      <c r="A113" s="15">
        <f t="shared" si="27"/>
        <v>4</v>
      </c>
      <c r="B113" s="20">
        <f t="shared" si="29"/>
        <v>112</v>
      </c>
      <c r="C113" s="17">
        <f t="shared" si="30"/>
        <v>8</v>
      </c>
      <c r="D113" s="17" t="str">
        <f t="shared" si="31"/>
        <v>20050127</v>
      </c>
      <c r="E113" s="20" t="str">
        <f t="shared" si="26"/>
        <v>20050127008</v>
      </c>
      <c r="F113" s="19">
        <v>25</v>
      </c>
      <c r="G113" s="19">
        <v>45</v>
      </c>
      <c r="H113" s="19">
        <v>44</v>
      </c>
      <c r="I113" s="19">
        <v>39</v>
      </c>
      <c r="J113" s="19">
        <v>48</v>
      </c>
      <c r="K113" s="19">
        <v>3</v>
      </c>
      <c r="L113" s="19">
        <v>13</v>
      </c>
      <c r="M113" s="19">
        <f t="shared" si="28"/>
        <v>217</v>
      </c>
      <c r="N113" s="27">
        <f t="shared" si="33"/>
        <v>38379</v>
      </c>
    </row>
    <row r="114" spans="1:14" x14ac:dyDescent="0.25">
      <c r="A114" s="15">
        <f t="shared" si="27"/>
        <v>1</v>
      </c>
      <c r="B114" s="20">
        <f t="shared" si="29"/>
        <v>113</v>
      </c>
      <c r="C114" s="17">
        <f t="shared" si="30"/>
        <v>9</v>
      </c>
      <c r="D114" s="17" t="str">
        <f t="shared" si="31"/>
        <v>20050131</v>
      </c>
      <c r="E114" s="20" t="str">
        <f t="shared" si="26"/>
        <v>20050131009</v>
      </c>
      <c r="F114" s="19">
        <v>37</v>
      </c>
      <c r="G114" s="19">
        <v>35</v>
      </c>
      <c r="H114" s="19">
        <v>2</v>
      </c>
      <c r="I114" s="19">
        <v>46</v>
      </c>
      <c r="J114" s="19">
        <v>17</v>
      </c>
      <c r="K114" s="19">
        <v>31</v>
      </c>
      <c r="L114" s="19">
        <v>3</v>
      </c>
      <c r="M114" s="19">
        <f t="shared" si="28"/>
        <v>171</v>
      </c>
      <c r="N114" s="27">
        <f t="shared" si="32"/>
        <v>38383</v>
      </c>
    </row>
    <row r="115" spans="1:14" x14ac:dyDescent="0.25">
      <c r="A115" s="15">
        <f t="shared" si="27"/>
        <v>4</v>
      </c>
      <c r="B115" s="20">
        <f t="shared" si="29"/>
        <v>114</v>
      </c>
      <c r="C115" s="17">
        <f t="shared" si="30"/>
        <v>10</v>
      </c>
      <c r="D115" s="17" t="str">
        <f t="shared" si="31"/>
        <v>20050203</v>
      </c>
      <c r="E115" s="20" t="str">
        <f t="shared" si="26"/>
        <v>20050203010</v>
      </c>
      <c r="F115" s="19">
        <v>48</v>
      </c>
      <c r="G115" s="19">
        <v>19</v>
      </c>
      <c r="H115" s="19">
        <v>43</v>
      </c>
      <c r="I115" s="19">
        <v>7</v>
      </c>
      <c r="J115" s="19">
        <v>30</v>
      </c>
      <c r="K115" s="19">
        <v>8</v>
      </c>
      <c r="L115" s="19">
        <v>49</v>
      </c>
      <c r="M115" s="19">
        <f t="shared" si="28"/>
        <v>204</v>
      </c>
      <c r="N115" s="27">
        <f t="shared" si="33"/>
        <v>38386</v>
      </c>
    </row>
    <row r="116" spans="1:14" x14ac:dyDescent="0.25">
      <c r="A116" s="15">
        <f t="shared" si="27"/>
        <v>1</v>
      </c>
      <c r="B116" s="20">
        <f t="shared" si="29"/>
        <v>115</v>
      </c>
      <c r="C116" s="17">
        <f t="shared" si="30"/>
        <v>11</v>
      </c>
      <c r="D116" s="17" t="str">
        <f t="shared" si="31"/>
        <v>20050207</v>
      </c>
      <c r="E116" s="20" t="str">
        <f t="shared" si="26"/>
        <v>20050207011</v>
      </c>
      <c r="F116" s="19">
        <v>49</v>
      </c>
      <c r="G116" s="19">
        <v>47</v>
      </c>
      <c r="H116" s="19">
        <v>31</v>
      </c>
      <c r="I116" s="19">
        <v>41</v>
      </c>
      <c r="J116" s="19">
        <v>44</v>
      </c>
      <c r="K116" s="19">
        <v>11</v>
      </c>
      <c r="L116" s="19">
        <v>25</v>
      </c>
      <c r="M116" s="19">
        <f t="shared" si="28"/>
        <v>248</v>
      </c>
      <c r="N116" s="27">
        <f t="shared" si="32"/>
        <v>38390</v>
      </c>
    </row>
    <row r="117" spans="1:14" x14ac:dyDescent="0.25">
      <c r="A117" s="15">
        <f t="shared" si="27"/>
        <v>4</v>
      </c>
      <c r="B117" s="20">
        <f t="shared" si="29"/>
        <v>116</v>
      </c>
      <c r="C117" s="17">
        <f t="shared" si="30"/>
        <v>12</v>
      </c>
      <c r="D117" s="17" t="str">
        <f t="shared" si="31"/>
        <v>20050210</v>
      </c>
      <c r="E117" s="20" t="str">
        <f t="shared" si="26"/>
        <v>20050210012</v>
      </c>
      <c r="F117" s="19">
        <v>19</v>
      </c>
      <c r="G117" s="19">
        <v>28</v>
      </c>
      <c r="H117" s="19">
        <v>33</v>
      </c>
      <c r="I117" s="19">
        <v>38</v>
      </c>
      <c r="J117" s="19">
        <v>46</v>
      </c>
      <c r="K117" s="19">
        <v>26</v>
      </c>
      <c r="L117" s="19">
        <v>48</v>
      </c>
      <c r="M117" s="19">
        <f t="shared" si="28"/>
        <v>238</v>
      </c>
      <c r="N117" s="27">
        <f t="shared" si="33"/>
        <v>38393</v>
      </c>
    </row>
    <row r="118" spans="1:14" x14ac:dyDescent="0.25">
      <c r="A118" s="15">
        <f t="shared" si="27"/>
        <v>1</v>
      </c>
      <c r="B118" s="20">
        <f t="shared" si="29"/>
        <v>117</v>
      </c>
      <c r="C118" s="17">
        <f t="shared" si="30"/>
        <v>13</v>
      </c>
      <c r="D118" s="17" t="str">
        <f t="shared" si="31"/>
        <v>20050214</v>
      </c>
      <c r="E118" s="20" t="str">
        <f t="shared" si="26"/>
        <v>20050214013</v>
      </c>
      <c r="F118" s="19">
        <v>7</v>
      </c>
      <c r="G118" s="19">
        <v>5</v>
      </c>
      <c r="H118" s="19">
        <v>47</v>
      </c>
      <c r="I118" s="19">
        <v>26</v>
      </c>
      <c r="J118" s="19">
        <v>24</v>
      </c>
      <c r="K118" s="19">
        <v>30</v>
      </c>
      <c r="L118" s="19">
        <v>36</v>
      </c>
      <c r="M118" s="19">
        <f t="shared" si="28"/>
        <v>175</v>
      </c>
      <c r="N118" s="27">
        <f t="shared" si="32"/>
        <v>38397</v>
      </c>
    </row>
    <row r="119" spans="1:14" x14ac:dyDescent="0.25">
      <c r="A119" s="15">
        <f t="shared" si="27"/>
        <v>4</v>
      </c>
      <c r="B119" s="20">
        <f t="shared" si="29"/>
        <v>118</v>
      </c>
      <c r="C119" s="17">
        <f t="shared" si="30"/>
        <v>14</v>
      </c>
      <c r="D119" s="17" t="str">
        <f t="shared" si="31"/>
        <v>20050217</v>
      </c>
      <c r="E119" s="20" t="str">
        <f t="shared" si="26"/>
        <v>20050217014</v>
      </c>
      <c r="F119" s="19">
        <v>12</v>
      </c>
      <c r="G119" s="19">
        <v>23</v>
      </c>
      <c r="H119" s="19">
        <v>21</v>
      </c>
      <c r="I119" s="19">
        <v>14</v>
      </c>
      <c r="J119" s="19">
        <v>30</v>
      </c>
      <c r="K119" s="19">
        <v>25</v>
      </c>
      <c r="L119" s="19">
        <v>3</v>
      </c>
      <c r="M119" s="19">
        <f t="shared" si="28"/>
        <v>128</v>
      </c>
      <c r="N119" s="27">
        <f t="shared" si="33"/>
        <v>38400</v>
      </c>
    </row>
    <row r="120" spans="1:14" x14ac:dyDescent="0.25">
      <c r="A120" s="15">
        <f t="shared" si="27"/>
        <v>1</v>
      </c>
      <c r="B120" s="20">
        <f t="shared" si="29"/>
        <v>119</v>
      </c>
      <c r="C120" s="17">
        <f t="shared" si="30"/>
        <v>15</v>
      </c>
      <c r="D120" s="17" t="str">
        <f t="shared" si="31"/>
        <v>20050221</v>
      </c>
      <c r="E120" s="20" t="str">
        <f t="shared" si="26"/>
        <v>20050221015</v>
      </c>
      <c r="F120" s="19">
        <v>6</v>
      </c>
      <c r="G120" s="19">
        <v>35</v>
      </c>
      <c r="H120" s="19">
        <v>21</v>
      </c>
      <c r="I120" s="19">
        <v>11</v>
      </c>
      <c r="J120" s="19">
        <v>22</v>
      </c>
      <c r="K120" s="19">
        <v>41</v>
      </c>
      <c r="L120" s="19">
        <v>27</v>
      </c>
      <c r="M120" s="19">
        <f t="shared" si="28"/>
        <v>163</v>
      </c>
      <c r="N120" s="27">
        <f t="shared" si="32"/>
        <v>38404</v>
      </c>
    </row>
    <row r="121" spans="1:14" x14ac:dyDescent="0.25">
      <c r="A121" s="15">
        <f t="shared" si="27"/>
        <v>4</v>
      </c>
      <c r="B121" s="20">
        <f t="shared" si="29"/>
        <v>120</v>
      </c>
      <c r="C121" s="17">
        <f t="shared" si="30"/>
        <v>16</v>
      </c>
      <c r="D121" s="17" t="str">
        <f t="shared" si="31"/>
        <v>20050224</v>
      </c>
      <c r="E121" s="20" t="str">
        <f t="shared" si="26"/>
        <v>20050224016</v>
      </c>
      <c r="F121" s="19">
        <v>36</v>
      </c>
      <c r="G121" s="19">
        <v>42</v>
      </c>
      <c r="H121" s="19">
        <v>2</v>
      </c>
      <c r="I121" s="19">
        <v>4</v>
      </c>
      <c r="J121" s="19">
        <v>48</v>
      </c>
      <c r="K121" s="19">
        <v>41</v>
      </c>
      <c r="L121" s="19">
        <v>34</v>
      </c>
      <c r="M121" s="19">
        <f t="shared" si="28"/>
        <v>207</v>
      </c>
      <c r="N121" s="27">
        <f t="shared" si="33"/>
        <v>38407</v>
      </c>
    </row>
    <row r="122" spans="1:14" x14ac:dyDescent="0.25">
      <c r="A122" s="15">
        <f t="shared" si="27"/>
        <v>1</v>
      </c>
      <c r="B122" s="20">
        <f t="shared" si="29"/>
        <v>121</v>
      </c>
      <c r="C122" s="17">
        <f t="shared" si="30"/>
        <v>17</v>
      </c>
      <c r="D122" s="17" t="str">
        <f t="shared" si="31"/>
        <v>20050228</v>
      </c>
      <c r="E122" s="20" t="str">
        <f t="shared" si="26"/>
        <v>20050228017</v>
      </c>
      <c r="F122" s="19">
        <v>21</v>
      </c>
      <c r="G122" s="19">
        <v>47</v>
      </c>
      <c r="H122" s="19">
        <v>14</v>
      </c>
      <c r="I122" s="19">
        <v>25</v>
      </c>
      <c r="J122" s="19">
        <v>43</v>
      </c>
      <c r="K122" s="19">
        <v>27</v>
      </c>
      <c r="L122" s="19">
        <v>5</v>
      </c>
      <c r="M122" s="19">
        <f t="shared" si="28"/>
        <v>182</v>
      </c>
      <c r="N122" s="27">
        <f t="shared" si="32"/>
        <v>38411</v>
      </c>
    </row>
    <row r="123" spans="1:14" x14ac:dyDescent="0.25">
      <c r="A123" s="15">
        <f t="shared" si="27"/>
        <v>4</v>
      </c>
      <c r="B123" s="20">
        <f t="shared" si="29"/>
        <v>122</v>
      </c>
      <c r="C123" s="17">
        <f t="shared" si="30"/>
        <v>18</v>
      </c>
      <c r="D123" s="17" t="str">
        <f t="shared" si="31"/>
        <v>20050303</v>
      </c>
      <c r="E123" s="20" t="str">
        <f t="shared" si="26"/>
        <v>20050303018</v>
      </c>
      <c r="F123" s="19">
        <v>36</v>
      </c>
      <c r="G123" s="19">
        <v>32</v>
      </c>
      <c r="H123" s="19">
        <v>31</v>
      </c>
      <c r="I123" s="19">
        <v>25</v>
      </c>
      <c r="J123" s="19">
        <v>28</v>
      </c>
      <c r="K123" s="19">
        <v>34</v>
      </c>
      <c r="L123" s="19">
        <v>43</v>
      </c>
      <c r="M123" s="19">
        <f t="shared" si="28"/>
        <v>229</v>
      </c>
      <c r="N123" s="27">
        <f t="shared" si="33"/>
        <v>38414</v>
      </c>
    </row>
    <row r="124" spans="1:14" x14ac:dyDescent="0.25">
      <c r="A124" s="15">
        <f t="shared" si="27"/>
        <v>1</v>
      </c>
      <c r="B124" s="20">
        <f t="shared" si="29"/>
        <v>123</v>
      </c>
      <c r="C124" s="17">
        <f t="shared" si="30"/>
        <v>19</v>
      </c>
      <c r="D124" s="17" t="str">
        <f t="shared" si="31"/>
        <v>20050307</v>
      </c>
      <c r="E124" s="20" t="str">
        <f t="shared" si="26"/>
        <v>20050307019</v>
      </c>
      <c r="F124" s="19">
        <v>36</v>
      </c>
      <c r="G124" s="19">
        <v>6</v>
      </c>
      <c r="H124" s="19">
        <v>34</v>
      </c>
      <c r="I124" s="19">
        <v>1</v>
      </c>
      <c r="J124" s="19">
        <v>16</v>
      </c>
      <c r="K124" s="19">
        <v>40</v>
      </c>
      <c r="L124" s="19">
        <v>38</v>
      </c>
      <c r="M124" s="19">
        <f t="shared" si="28"/>
        <v>171</v>
      </c>
      <c r="N124" s="27">
        <f t="shared" si="32"/>
        <v>38418</v>
      </c>
    </row>
    <row r="125" spans="1:14" x14ac:dyDescent="0.25">
      <c r="A125" s="15">
        <f t="shared" si="27"/>
        <v>4</v>
      </c>
      <c r="B125" s="20">
        <f t="shared" si="29"/>
        <v>124</v>
      </c>
      <c r="C125" s="17">
        <f t="shared" si="30"/>
        <v>20</v>
      </c>
      <c r="D125" s="17" t="str">
        <f t="shared" si="31"/>
        <v>20050310</v>
      </c>
      <c r="E125" s="20" t="str">
        <f t="shared" si="26"/>
        <v>20050310020</v>
      </c>
      <c r="F125" s="19">
        <v>48</v>
      </c>
      <c r="G125" s="19">
        <v>3</v>
      </c>
      <c r="H125" s="19">
        <v>42</v>
      </c>
      <c r="I125" s="19">
        <v>31</v>
      </c>
      <c r="J125" s="19">
        <v>16</v>
      </c>
      <c r="K125" s="19">
        <v>1</v>
      </c>
      <c r="L125" s="19">
        <v>23</v>
      </c>
      <c r="M125" s="19">
        <f t="shared" si="28"/>
        <v>164</v>
      </c>
      <c r="N125" s="27">
        <f t="shared" si="33"/>
        <v>38421</v>
      </c>
    </row>
    <row r="126" spans="1:14" x14ac:dyDescent="0.25">
      <c r="A126" s="15">
        <f t="shared" si="27"/>
        <v>1</v>
      </c>
      <c r="B126" s="20">
        <f t="shared" si="29"/>
        <v>125</v>
      </c>
      <c r="C126" s="17">
        <f t="shared" si="30"/>
        <v>21</v>
      </c>
      <c r="D126" s="17" t="str">
        <f t="shared" si="31"/>
        <v>20050314</v>
      </c>
      <c r="E126" s="20" t="str">
        <f t="shared" si="26"/>
        <v>20050314021</v>
      </c>
      <c r="F126" s="19">
        <v>12</v>
      </c>
      <c r="G126" s="19">
        <v>21</v>
      </c>
      <c r="H126" s="19">
        <v>5</v>
      </c>
      <c r="I126" s="19">
        <v>33</v>
      </c>
      <c r="J126" s="19">
        <v>19</v>
      </c>
      <c r="K126" s="19">
        <v>42</v>
      </c>
      <c r="L126" s="19">
        <v>9</v>
      </c>
      <c r="M126" s="19">
        <f t="shared" si="28"/>
        <v>141</v>
      </c>
      <c r="N126" s="27">
        <f t="shared" si="32"/>
        <v>38425</v>
      </c>
    </row>
    <row r="127" spans="1:14" x14ac:dyDescent="0.25">
      <c r="A127" s="15">
        <f t="shared" si="27"/>
        <v>4</v>
      </c>
      <c r="B127" s="20">
        <f t="shared" si="29"/>
        <v>126</v>
      </c>
      <c r="C127" s="17">
        <f t="shared" si="30"/>
        <v>22</v>
      </c>
      <c r="D127" s="17" t="str">
        <f t="shared" si="31"/>
        <v>20050317</v>
      </c>
      <c r="E127" s="20" t="str">
        <f t="shared" si="26"/>
        <v>20050317022</v>
      </c>
      <c r="F127" s="19">
        <v>12</v>
      </c>
      <c r="G127" s="19">
        <v>30</v>
      </c>
      <c r="H127" s="19">
        <v>7</v>
      </c>
      <c r="I127" s="19">
        <v>10</v>
      </c>
      <c r="J127" s="19">
        <v>34</v>
      </c>
      <c r="K127" s="19">
        <v>22</v>
      </c>
      <c r="L127" s="19">
        <v>8</v>
      </c>
      <c r="M127" s="19">
        <f t="shared" si="28"/>
        <v>123</v>
      </c>
      <c r="N127" s="27">
        <f t="shared" si="33"/>
        <v>38428</v>
      </c>
    </row>
    <row r="128" spans="1:14" x14ac:dyDescent="0.25">
      <c r="A128" s="15">
        <f t="shared" si="27"/>
        <v>1</v>
      </c>
      <c r="B128" s="20">
        <f t="shared" si="29"/>
        <v>127</v>
      </c>
      <c r="C128" s="17">
        <f t="shared" si="30"/>
        <v>23</v>
      </c>
      <c r="D128" s="17" t="str">
        <f t="shared" si="31"/>
        <v>20050321</v>
      </c>
      <c r="E128" s="20" t="str">
        <f t="shared" si="26"/>
        <v>20050321023</v>
      </c>
      <c r="F128" s="19">
        <v>19</v>
      </c>
      <c r="G128" s="19">
        <v>5</v>
      </c>
      <c r="H128" s="19">
        <v>2</v>
      </c>
      <c r="I128" s="19">
        <v>38</v>
      </c>
      <c r="J128" s="19">
        <v>45</v>
      </c>
      <c r="K128" s="19">
        <v>6</v>
      </c>
      <c r="L128" s="19">
        <v>1</v>
      </c>
      <c r="M128" s="19">
        <f t="shared" si="28"/>
        <v>116</v>
      </c>
      <c r="N128" s="27">
        <f t="shared" si="32"/>
        <v>38432</v>
      </c>
    </row>
    <row r="129" spans="1:14" x14ac:dyDescent="0.25">
      <c r="A129" s="15">
        <f t="shared" si="27"/>
        <v>4</v>
      </c>
      <c r="B129" s="20">
        <f t="shared" si="29"/>
        <v>128</v>
      </c>
      <c r="C129" s="17">
        <f t="shared" si="30"/>
        <v>24</v>
      </c>
      <c r="D129" s="17" t="str">
        <f t="shared" si="31"/>
        <v>20050324</v>
      </c>
      <c r="E129" s="20" t="str">
        <f t="shared" si="26"/>
        <v>20050324024</v>
      </c>
      <c r="F129" s="19">
        <v>23</v>
      </c>
      <c r="G129" s="19">
        <v>7</v>
      </c>
      <c r="H129" s="19">
        <v>10</v>
      </c>
      <c r="I129" s="19">
        <v>45</v>
      </c>
      <c r="J129" s="19">
        <v>47</v>
      </c>
      <c r="K129" s="19">
        <v>44</v>
      </c>
      <c r="L129" s="19">
        <v>38</v>
      </c>
      <c r="M129" s="19">
        <f t="shared" si="28"/>
        <v>214</v>
      </c>
      <c r="N129" s="27">
        <f t="shared" si="33"/>
        <v>38435</v>
      </c>
    </row>
    <row r="130" spans="1:14" x14ac:dyDescent="0.25">
      <c r="A130" s="15">
        <f t="shared" si="27"/>
        <v>1</v>
      </c>
      <c r="B130" s="20">
        <f t="shared" si="29"/>
        <v>129</v>
      </c>
      <c r="C130" s="17">
        <f t="shared" si="30"/>
        <v>25</v>
      </c>
      <c r="D130" s="17" t="str">
        <f t="shared" si="31"/>
        <v>20050328</v>
      </c>
      <c r="E130" s="20" t="str">
        <f t="shared" ref="E130:E193" si="34">CONCATENATE(D130,TEXT(C130,"000"))</f>
        <v>20050328025</v>
      </c>
      <c r="F130" s="19">
        <v>1</v>
      </c>
      <c r="G130" s="19">
        <v>9</v>
      </c>
      <c r="H130" s="19">
        <v>2</v>
      </c>
      <c r="I130" s="19">
        <v>25</v>
      </c>
      <c r="J130" s="19">
        <v>44</v>
      </c>
      <c r="K130" s="19">
        <v>28</v>
      </c>
      <c r="L130" s="19">
        <v>42</v>
      </c>
      <c r="M130" s="19">
        <f t="shared" si="28"/>
        <v>151</v>
      </c>
      <c r="N130" s="27">
        <f t="shared" si="32"/>
        <v>38439</v>
      </c>
    </row>
    <row r="131" spans="1:14" x14ac:dyDescent="0.25">
      <c r="A131" s="15">
        <f t="shared" ref="A131:A194" si="35">WEEKDAY(N131,2)</f>
        <v>4</v>
      </c>
      <c r="B131" s="20">
        <f t="shared" si="29"/>
        <v>130</v>
      </c>
      <c r="C131" s="17">
        <f t="shared" si="30"/>
        <v>26</v>
      </c>
      <c r="D131" s="17" t="str">
        <f t="shared" si="31"/>
        <v>20050331</v>
      </c>
      <c r="E131" s="20" t="str">
        <f t="shared" si="34"/>
        <v>20050331026</v>
      </c>
      <c r="F131" s="19">
        <v>47</v>
      </c>
      <c r="G131" s="19">
        <v>38</v>
      </c>
      <c r="H131" s="19">
        <v>28</v>
      </c>
      <c r="I131" s="19">
        <v>22</v>
      </c>
      <c r="J131" s="19">
        <v>20</v>
      </c>
      <c r="K131" s="19">
        <v>41</v>
      </c>
      <c r="L131" s="19">
        <v>25</v>
      </c>
      <c r="M131" s="19">
        <f t="shared" ref="M131:M194" si="36">SUM(F131:L131)</f>
        <v>221</v>
      </c>
      <c r="N131" s="27">
        <f t="shared" si="33"/>
        <v>38442</v>
      </c>
    </row>
    <row r="132" spans="1:14" x14ac:dyDescent="0.25">
      <c r="A132" s="15">
        <f t="shared" si="35"/>
        <v>1</v>
      </c>
      <c r="B132" s="20">
        <f t="shared" ref="B132:B195" si="37">B131+1</f>
        <v>131</v>
      </c>
      <c r="C132" s="17">
        <f t="shared" ref="C132:C195" si="38">C131+1</f>
        <v>27</v>
      </c>
      <c r="D132" s="17" t="str">
        <f t="shared" ref="D132:D195" si="39">CONCATENATE(TEXT(YEAR(N132),"0000"),TEXT(MONTH(N132),"00"),TEXT(DAY(N132),"00"))</f>
        <v>20050404</v>
      </c>
      <c r="E132" s="20" t="str">
        <f t="shared" si="34"/>
        <v>20050404027</v>
      </c>
      <c r="F132" s="19">
        <v>40</v>
      </c>
      <c r="G132" s="19">
        <v>29</v>
      </c>
      <c r="H132" s="19">
        <v>5</v>
      </c>
      <c r="I132" s="19">
        <v>33</v>
      </c>
      <c r="J132" s="19">
        <v>28</v>
      </c>
      <c r="K132" s="19">
        <v>15</v>
      </c>
      <c r="L132" s="19">
        <v>26</v>
      </c>
      <c r="M132" s="19">
        <f t="shared" si="36"/>
        <v>176</v>
      </c>
      <c r="N132" s="27">
        <f t="shared" si="32"/>
        <v>38446</v>
      </c>
    </row>
    <row r="133" spans="1:14" x14ac:dyDescent="0.25">
      <c r="A133" s="15">
        <f t="shared" si="35"/>
        <v>4</v>
      </c>
      <c r="B133" s="20">
        <f t="shared" si="37"/>
        <v>132</v>
      </c>
      <c r="C133" s="17">
        <f t="shared" si="38"/>
        <v>28</v>
      </c>
      <c r="D133" s="17" t="str">
        <f t="shared" si="39"/>
        <v>20050407</v>
      </c>
      <c r="E133" s="20" t="str">
        <f t="shared" si="34"/>
        <v>20050407028</v>
      </c>
      <c r="F133" s="19">
        <v>44</v>
      </c>
      <c r="G133" s="19">
        <v>23</v>
      </c>
      <c r="H133" s="19">
        <v>5</v>
      </c>
      <c r="I133" s="19">
        <v>15</v>
      </c>
      <c r="J133" s="19">
        <v>29</v>
      </c>
      <c r="K133" s="19">
        <v>31</v>
      </c>
      <c r="L133" s="19">
        <v>17</v>
      </c>
      <c r="M133" s="19">
        <f t="shared" si="36"/>
        <v>164</v>
      </c>
      <c r="N133" s="27">
        <f t="shared" si="33"/>
        <v>38449</v>
      </c>
    </row>
    <row r="134" spans="1:14" x14ac:dyDescent="0.25">
      <c r="A134" s="15">
        <f t="shared" si="35"/>
        <v>1</v>
      </c>
      <c r="B134" s="20">
        <f t="shared" si="37"/>
        <v>133</v>
      </c>
      <c r="C134" s="17">
        <f t="shared" si="38"/>
        <v>29</v>
      </c>
      <c r="D134" s="17" t="str">
        <f t="shared" si="39"/>
        <v>20050411</v>
      </c>
      <c r="E134" s="20" t="str">
        <f t="shared" si="34"/>
        <v>20050411029</v>
      </c>
      <c r="F134" s="19">
        <v>45</v>
      </c>
      <c r="G134" s="19">
        <v>6</v>
      </c>
      <c r="H134" s="19">
        <v>27</v>
      </c>
      <c r="I134" s="19">
        <v>2</v>
      </c>
      <c r="J134" s="19">
        <v>24</v>
      </c>
      <c r="K134" s="19">
        <v>9</v>
      </c>
      <c r="L134" s="19">
        <v>49</v>
      </c>
      <c r="M134" s="19">
        <f t="shared" si="36"/>
        <v>162</v>
      </c>
      <c r="N134" s="27">
        <f t="shared" si="32"/>
        <v>38453</v>
      </c>
    </row>
    <row r="135" spans="1:14" x14ac:dyDescent="0.25">
      <c r="A135" s="15">
        <f t="shared" si="35"/>
        <v>4</v>
      </c>
      <c r="B135" s="20">
        <f t="shared" si="37"/>
        <v>134</v>
      </c>
      <c r="C135" s="17">
        <f t="shared" si="38"/>
        <v>30</v>
      </c>
      <c r="D135" s="17" t="str">
        <f t="shared" si="39"/>
        <v>20050414</v>
      </c>
      <c r="E135" s="20" t="str">
        <f t="shared" si="34"/>
        <v>20050414030</v>
      </c>
      <c r="F135" s="19">
        <v>25</v>
      </c>
      <c r="G135" s="19">
        <v>20</v>
      </c>
      <c r="H135" s="19">
        <v>36</v>
      </c>
      <c r="I135" s="19">
        <v>49</v>
      </c>
      <c r="J135" s="19">
        <v>18</v>
      </c>
      <c r="K135" s="19">
        <v>48</v>
      </c>
      <c r="L135" s="19">
        <v>21</v>
      </c>
      <c r="M135" s="19">
        <f t="shared" si="36"/>
        <v>217</v>
      </c>
      <c r="N135" s="27">
        <f t="shared" si="33"/>
        <v>38456</v>
      </c>
    </row>
    <row r="136" spans="1:14" x14ac:dyDescent="0.25">
      <c r="A136" s="15">
        <f t="shared" si="35"/>
        <v>1</v>
      </c>
      <c r="B136" s="20">
        <f t="shared" si="37"/>
        <v>135</v>
      </c>
      <c r="C136" s="17">
        <f t="shared" si="38"/>
        <v>31</v>
      </c>
      <c r="D136" s="17" t="str">
        <f t="shared" si="39"/>
        <v>20050418</v>
      </c>
      <c r="E136" s="20" t="str">
        <f t="shared" si="34"/>
        <v>20050418031</v>
      </c>
      <c r="F136" s="19">
        <v>41</v>
      </c>
      <c r="G136" s="19">
        <v>20</v>
      </c>
      <c r="H136" s="19">
        <v>45</v>
      </c>
      <c r="I136" s="19">
        <v>40</v>
      </c>
      <c r="J136" s="19">
        <v>49</v>
      </c>
      <c r="K136" s="19">
        <v>11</v>
      </c>
      <c r="L136" s="19">
        <v>36</v>
      </c>
      <c r="M136" s="19">
        <f t="shared" si="36"/>
        <v>242</v>
      </c>
      <c r="N136" s="27">
        <f t="shared" si="32"/>
        <v>38460</v>
      </c>
    </row>
    <row r="137" spans="1:14" x14ac:dyDescent="0.25">
      <c r="A137" s="15">
        <f t="shared" si="35"/>
        <v>4</v>
      </c>
      <c r="B137" s="20">
        <f t="shared" si="37"/>
        <v>136</v>
      </c>
      <c r="C137" s="17">
        <f t="shared" si="38"/>
        <v>32</v>
      </c>
      <c r="D137" s="17" t="str">
        <f t="shared" si="39"/>
        <v>20050421</v>
      </c>
      <c r="E137" s="20" t="str">
        <f t="shared" si="34"/>
        <v>20050421032</v>
      </c>
      <c r="F137" s="19">
        <v>43</v>
      </c>
      <c r="G137" s="19">
        <v>5</v>
      </c>
      <c r="H137" s="19">
        <v>36</v>
      </c>
      <c r="I137" s="19">
        <v>33</v>
      </c>
      <c r="J137" s="19">
        <v>4</v>
      </c>
      <c r="K137" s="19">
        <v>22</v>
      </c>
      <c r="L137" s="19">
        <v>26</v>
      </c>
      <c r="M137" s="19">
        <f t="shared" si="36"/>
        <v>169</v>
      </c>
      <c r="N137" s="27">
        <f t="shared" si="33"/>
        <v>38463</v>
      </c>
    </row>
    <row r="138" spans="1:14" x14ac:dyDescent="0.25">
      <c r="A138" s="15">
        <f t="shared" si="35"/>
        <v>1</v>
      </c>
      <c r="B138" s="20">
        <f t="shared" si="37"/>
        <v>137</v>
      </c>
      <c r="C138" s="17">
        <f t="shared" si="38"/>
        <v>33</v>
      </c>
      <c r="D138" s="17" t="str">
        <f t="shared" si="39"/>
        <v>20050425</v>
      </c>
      <c r="E138" s="20" t="str">
        <f t="shared" si="34"/>
        <v>20050425033</v>
      </c>
      <c r="F138" s="19">
        <v>38</v>
      </c>
      <c r="G138" s="19">
        <v>1</v>
      </c>
      <c r="H138" s="19">
        <v>34</v>
      </c>
      <c r="I138" s="19">
        <v>16</v>
      </c>
      <c r="J138" s="19">
        <v>36</v>
      </c>
      <c r="K138" s="19">
        <v>25</v>
      </c>
      <c r="L138" s="19">
        <v>41</v>
      </c>
      <c r="M138" s="19">
        <f t="shared" si="36"/>
        <v>191</v>
      </c>
      <c r="N138" s="27">
        <f t="shared" si="32"/>
        <v>38467</v>
      </c>
    </row>
    <row r="139" spans="1:14" x14ac:dyDescent="0.25">
      <c r="A139" s="15">
        <f t="shared" si="35"/>
        <v>4</v>
      </c>
      <c r="B139" s="20">
        <f t="shared" si="37"/>
        <v>138</v>
      </c>
      <c r="C139" s="17">
        <f t="shared" si="38"/>
        <v>34</v>
      </c>
      <c r="D139" s="17" t="str">
        <f t="shared" si="39"/>
        <v>20050428</v>
      </c>
      <c r="E139" s="20" t="str">
        <f t="shared" si="34"/>
        <v>20050428034</v>
      </c>
      <c r="F139" s="19">
        <v>29</v>
      </c>
      <c r="G139" s="19">
        <v>39</v>
      </c>
      <c r="H139" s="19">
        <v>4</v>
      </c>
      <c r="I139" s="19">
        <v>5</v>
      </c>
      <c r="J139" s="19">
        <v>15</v>
      </c>
      <c r="K139" s="19">
        <v>20</v>
      </c>
      <c r="L139" s="19">
        <v>34</v>
      </c>
      <c r="M139" s="19">
        <f t="shared" si="36"/>
        <v>146</v>
      </c>
      <c r="N139" s="27">
        <f t="shared" si="33"/>
        <v>38470</v>
      </c>
    </row>
    <row r="140" spans="1:14" x14ac:dyDescent="0.25">
      <c r="A140" s="15">
        <f t="shared" si="35"/>
        <v>1</v>
      </c>
      <c r="B140" s="20">
        <f t="shared" si="37"/>
        <v>139</v>
      </c>
      <c r="C140" s="17">
        <f t="shared" si="38"/>
        <v>35</v>
      </c>
      <c r="D140" s="17" t="str">
        <f t="shared" si="39"/>
        <v>20050502</v>
      </c>
      <c r="E140" s="20" t="str">
        <f t="shared" si="34"/>
        <v>20050502035</v>
      </c>
      <c r="F140" s="19">
        <v>1</v>
      </c>
      <c r="G140" s="19">
        <v>43</v>
      </c>
      <c r="H140" s="19">
        <v>29</v>
      </c>
      <c r="I140" s="19">
        <v>35</v>
      </c>
      <c r="J140" s="19">
        <v>47</v>
      </c>
      <c r="K140" s="19">
        <v>3</v>
      </c>
      <c r="L140" s="19">
        <v>40</v>
      </c>
      <c r="M140" s="19">
        <f t="shared" si="36"/>
        <v>198</v>
      </c>
      <c r="N140" s="27">
        <f t="shared" si="32"/>
        <v>38474</v>
      </c>
    </row>
    <row r="141" spans="1:14" x14ac:dyDescent="0.25">
      <c r="A141" s="15">
        <f t="shared" si="35"/>
        <v>4</v>
      </c>
      <c r="B141" s="20">
        <f t="shared" si="37"/>
        <v>140</v>
      </c>
      <c r="C141" s="17">
        <f t="shared" si="38"/>
        <v>36</v>
      </c>
      <c r="D141" s="17" t="str">
        <f t="shared" si="39"/>
        <v>20050505</v>
      </c>
      <c r="E141" s="20" t="str">
        <f t="shared" si="34"/>
        <v>20050505036</v>
      </c>
      <c r="F141" s="19">
        <v>14</v>
      </c>
      <c r="G141" s="19">
        <v>47</v>
      </c>
      <c r="H141" s="19">
        <v>5</v>
      </c>
      <c r="I141" s="19">
        <v>18</v>
      </c>
      <c r="J141" s="19">
        <v>44</v>
      </c>
      <c r="K141" s="19">
        <v>34</v>
      </c>
      <c r="L141" s="19">
        <v>10</v>
      </c>
      <c r="M141" s="19">
        <f t="shared" si="36"/>
        <v>172</v>
      </c>
      <c r="N141" s="27">
        <f t="shared" si="33"/>
        <v>38477</v>
      </c>
    </row>
    <row r="142" spans="1:14" x14ac:dyDescent="0.25">
      <c r="A142" s="15">
        <f t="shared" si="35"/>
        <v>1</v>
      </c>
      <c r="B142" s="20">
        <f t="shared" si="37"/>
        <v>141</v>
      </c>
      <c r="C142" s="17">
        <f t="shared" si="38"/>
        <v>37</v>
      </c>
      <c r="D142" s="17" t="str">
        <f t="shared" si="39"/>
        <v>20050509</v>
      </c>
      <c r="E142" s="20" t="str">
        <f t="shared" si="34"/>
        <v>20050509037</v>
      </c>
      <c r="F142" s="19">
        <v>1</v>
      </c>
      <c r="G142" s="19">
        <v>29</v>
      </c>
      <c r="H142" s="19">
        <v>16</v>
      </c>
      <c r="I142" s="19">
        <v>9</v>
      </c>
      <c r="J142" s="19">
        <v>2</v>
      </c>
      <c r="K142" s="19">
        <v>7</v>
      </c>
      <c r="L142" s="19">
        <v>15</v>
      </c>
      <c r="M142" s="19">
        <f t="shared" si="36"/>
        <v>79</v>
      </c>
      <c r="N142" s="27">
        <f t="shared" si="32"/>
        <v>38481</v>
      </c>
    </row>
    <row r="143" spans="1:14" x14ac:dyDescent="0.25">
      <c r="A143" s="15">
        <f t="shared" si="35"/>
        <v>4</v>
      </c>
      <c r="B143" s="20">
        <f t="shared" si="37"/>
        <v>142</v>
      </c>
      <c r="C143" s="17">
        <f t="shared" si="38"/>
        <v>38</v>
      </c>
      <c r="D143" s="17" t="str">
        <f t="shared" si="39"/>
        <v>20050512</v>
      </c>
      <c r="E143" s="20" t="str">
        <f t="shared" si="34"/>
        <v>20050512038</v>
      </c>
      <c r="F143" s="19">
        <v>32</v>
      </c>
      <c r="G143" s="19">
        <v>29</v>
      </c>
      <c r="H143" s="19">
        <v>28</v>
      </c>
      <c r="I143" s="19">
        <v>31</v>
      </c>
      <c r="J143" s="19">
        <v>15</v>
      </c>
      <c r="K143" s="19">
        <v>47</v>
      </c>
      <c r="L143" s="19">
        <v>18</v>
      </c>
      <c r="M143" s="19">
        <f t="shared" si="36"/>
        <v>200</v>
      </c>
      <c r="N143" s="27">
        <f t="shared" si="33"/>
        <v>38484</v>
      </c>
    </row>
    <row r="144" spans="1:14" x14ac:dyDescent="0.25">
      <c r="A144" s="15">
        <f t="shared" si="35"/>
        <v>1</v>
      </c>
      <c r="B144" s="20">
        <f t="shared" si="37"/>
        <v>143</v>
      </c>
      <c r="C144" s="17">
        <f t="shared" si="38"/>
        <v>39</v>
      </c>
      <c r="D144" s="17" t="str">
        <f t="shared" si="39"/>
        <v>20050516</v>
      </c>
      <c r="E144" s="20" t="str">
        <f t="shared" si="34"/>
        <v>20050516039</v>
      </c>
      <c r="F144" s="19">
        <v>6</v>
      </c>
      <c r="G144" s="19">
        <v>44</v>
      </c>
      <c r="H144" s="19">
        <v>1</v>
      </c>
      <c r="I144" s="19">
        <v>37</v>
      </c>
      <c r="J144" s="19">
        <v>41</v>
      </c>
      <c r="K144" s="19">
        <v>11</v>
      </c>
      <c r="L144" s="19">
        <v>4</v>
      </c>
      <c r="M144" s="19">
        <f t="shared" si="36"/>
        <v>144</v>
      </c>
      <c r="N144" s="27">
        <f t="shared" si="32"/>
        <v>38488</v>
      </c>
    </row>
    <row r="145" spans="1:14" x14ac:dyDescent="0.25">
      <c r="A145" s="15">
        <f t="shared" si="35"/>
        <v>4</v>
      </c>
      <c r="B145" s="20">
        <f t="shared" si="37"/>
        <v>144</v>
      </c>
      <c r="C145" s="17">
        <f t="shared" si="38"/>
        <v>40</v>
      </c>
      <c r="D145" s="17" t="str">
        <f t="shared" si="39"/>
        <v>20050519</v>
      </c>
      <c r="E145" s="20" t="str">
        <f t="shared" si="34"/>
        <v>20050519040</v>
      </c>
      <c r="F145" s="19">
        <v>27</v>
      </c>
      <c r="G145" s="19">
        <v>4</v>
      </c>
      <c r="H145" s="19">
        <v>46</v>
      </c>
      <c r="I145" s="19">
        <v>2</v>
      </c>
      <c r="J145" s="19">
        <v>24</v>
      </c>
      <c r="K145" s="19">
        <v>14</v>
      </c>
      <c r="L145" s="19">
        <v>28</v>
      </c>
      <c r="M145" s="19">
        <f t="shared" si="36"/>
        <v>145</v>
      </c>
      <c r="N145" s="27">
        <f t="shared" si="33"/>
        <v>38491</v>
      </c>
    </row>
    <row r="146" spans="1:14" x14ac:dyDescent="0.25">
      <c r="A146" s="15">
        <f t="shared" si="35"/>
        <v>1</v>
      </c>
      <c r="B146" s="20">
        <f t="shared" si="37"/>
        <v>145</v>
      </c>
      <c r="C146" s="17">
        <f t="shared" si="38"/>
        <v>41</v>
      </c>
      <c r="D146" s="17" t="str">
        <f t="shared" si="39"/>
        <v>20050523</v>
      </c>
      <c r="E146" s="20" t="str">
        <f t="shared" si="34"/>
        <v>20050523041</v>
      </c>
      <c r="F146" s="19">
        <v>10</v>
      </c>
      <c r="G146" s="19">
        <v>9</v>
      </c>
      <c r="H146" s="19">
        <v>2</v>
      </c>
      <c r="I146" s="19">
        <v>31</v>
      </c>
      <c r="J146" s="19">
        <v>21</v>
      </c>
      <c r="K146" s="19">
        <v>8</v>
      </c>
      <c r="L146" s="19">
        <v>44</v>
      </c>
      <c r="M146" s="19">
        <f t="shared" si="36"/>
        <v>125</v>
      </c>
      <c r="N146" s="27">
        <f t="shared" si="32"/>
        <v>38495</v>
      </c>
    </row>
    <row r="147" spans="1:14" x14ac:dyDescent="0.25">
      <c r="A147" s="15">
        <f t="shared" si="35"/>
        <v>4</v>
      </c>
      <c r="B147" s="20">
        <f t="shared" si="37"/>
        <v>146</v>
      </c>
      <c r="C147" s="17">
        <f t="shared" si="38"/>
        <v>42</v>
      </c>
      <c r="D147" s="17" t="str">
        <f t="shared" si="39"/>
        <v>20050526</v>
      </c>
      <c r="E147" s="20" t="str">
        <f t="shared" si="34"/>
        <v>20050526042</v>
      </c>
      <c r="F147" s="19">
        <v>16</v>
      </c>
      <c r="G147" s="19">
        <v>48</v>
      </c>
      <c r="H147" s="19">
        <v>18</v>
      </c>
      <c r="I147" s="19">
        <v>3</v>
      </c>
      <c r="J147" s="19">
        <v>9</v>
      </c>
      <c r="K147" s="19">
        <v>41</v>
      </c>
      <c r="L147" s="19">
        <v>22</v>
      </c>
      <c r="M147" s="19">
        <f t="shared" si="36"/>
        <v>157</v>
      </c>
      <c r="N147" s="27">
        <f t="shared" si="33"/>
        <v>38498</v>
      </c>
    </row>
    <row r="148" spans="1:14" x14ac:dyDescent="0.25">
      <c r="A148" s="15">
        <f t="shared" si="35"/>
        <v>1</v>
      </c>
      <c r="B148" s="20">
        <f t="shared" si="37"/>
        <v>147</v>
      </c>
      <c r="C148" s="17">
        <f t="shared" si="38"/>
        <v>43</v>
      </c>
      <c r="D148" s="17" t="str">
        <f t="shared" si="39"/>
        <v>20050530</v>
      </c>
      <c r="E148" s="20" t="str">
        <f t="shared" si="34"/>
        <v>20050530043</v>
      </c>
      <c r="F148" s="19">
        <v>16</v>
      </c>
      <c r="G148" s="19">
        <v>4</v>
      </c>
      <c r="H148" s="19">
        <v>25</v>
      </c>
      <c r="I148" s="19">
        <v>8</v>
      </c>
      <c r="J148" s="19">
        <v>15</v>
      </c>
      <c r="K148" s="19">
        <v>11</v>
      </c>
      <c r="L148" s="19">
        <v>43</v>
      </c>
      <c r="M148" s="19">
        <f t="shared" si="36"/>
        <v>122</v>
      </c>
      <c r="N148" s="27">
        <f t="shared" si="32"/>
        <v>38502</v>
      </c>
    </row>
    <row r="149" spans="1:14" x14ac:dyDescent="0.25">
      <c r="A149" s="15">
        <f t="shared" si="35"/>
        <v>4</v>
      </c>
      <c r="B149" s="20">
        <f t="shared" si="37"/>
        <v>148</v>
      </c>
      <c r="C149" s="17">
        <f t="shared" si="38"/>
        <v>44</v>
      </c>
      <c r="D149" s="17" t="str">
        <f t="shared" si="39"/>
        <v>20050602</v>
      </c>
      <c r="E149" s="20" t="str">
        <f t="shared" si="34"/>
        <v>20050602044</v>
      </c>
      <c r="F149" s="19">
        <v>46</v>
      </c>
      <c r="G149" s="19">
        <v>41</v>
      </c>
      <c r="H149" s="19">
        <v>4</v>
      </c>
      <c r="I149" s="19">
        <v>15</v>
      </c>
      <c r="J149" s="19">
        <v>21</v>
      </c>
      <c r="K149" s="19">
        <v>30</v>
      </c>
      <c r="L149" s="19">
        <v>48</v>
      </c>
      <c r="M149" s="19">
        <f t="shared" si="36"/>
        <v>205</v>
      </c>
      <c r="N149" s="27">
        <f t="shared" si="33"/>
        <v>38505</v>
      </c>
    </row>
    <row r="150" spans="1:14" x14ac:dyDescent="0.25">
      <c r="A150" s="15">
        <f t="shared" si="35"/>
        <v>1</v>
      </c>
      <c r="B150" s="20">
        <f t="shared" si="37"/>
        <v>149</v>
      </c>
      <c r="C150" s="17">
        <f t="shared" si="38"/>
        <v>45</v>
      </c>
      <c r="D150" s="17" t="str">
        <f t="shared" si="39"/>
        <v>20050606</v>
      </c>
      <c r="E150" s="20" t="str">
        <f t="shared" si="34"/>
        <v>20050606045</v>
      </c>
      <c r="F150" s="19">
        <v>10</v>
      </c>
      <c r="G150" s="19">
        <v>28</v>
      </c>
      <c r="H150" s="19">
        <v>9</v>
      </c>
      <c r="I150" s="19">
        <v>45</v>
      </c>
      <c r="J150" s="19">
        <v>4</v>
      </c>
      <c r="K150" s="19">
        <v>3</v>
      </c>
      <c r="L150" s="19">
        <v>37</v>
      </c>
      <c r="M150" s="19">
        <f t="shared" si="36"/>
        <v>136</v>
      </c>
      <c r="N150" s="27">
        <f t="shared" si="32"/>
        <v>38509</v>
      </c>
    </row>
    <row r="151" spans="1:14" x14ac:dyDescent="0.25">
      <c r="A151" s="15">
        <f t="shared" si="35"/>
        <v>4</v>
      </c>
      <c r="B151" s="20">
        <f t="shared" si="37"/>
        <v>150</v>
      </c>
      <c r="C151" s="17">
        <f t="shared" si="38"/>
        <v>46</v>
      </c>
      <c r="D151" s="17" t="str">
        <f t="shared" si="39"/>
        <v>20050609</v>
      </c>
      <c r="E151" s="20" t="str">
        <f t="shared" si="34"/>
        <v>20050609046</v>
      </c>
      <c r="F151" s="19">
        <v>6</v>
      </c>
      <c r="G151" s="19">
        <v>30</v>
      </c>
      <c r="H151" s="19">
        <v>13</v>
      </c>
      <c r="I151" s="19">
        <v>44</v>
      </c>
      <c r="J151" s="19">
        <v>4</v>
      </c>
      <c r="K151" s="19">
        <v>22</v>
      </c>
      <c r="L151" s="19">
        <v>5</v>
      </c>
      <c r="M151" s="19">
        <f t="shared" si="36"/>
        <v>124</v>
      </c>
      <c r="N151" s="27">
        <f t="shared" si="33"/>
        <v>38512</v>
      </c>
    </row>
    <row r="152" spans="1:14" x14ac:dyDescent="0.25">
      <c r="A152" s="15">
        <f t="shared" si="35"/>
        <v>1</v>
      </c>
      <c r="B152" s="20">
        <f t="shared" si="37"/>
        <v>151</v>
      </c>
      <c r="C152" s="17">
        <f t="shared" si="38"/>
        <v>47</v>
      </c>
      <c r="D152" s="17" t="str">
        <f t="shared" si="39"/>
        <v>20050613</v>
      </c>
      <c r="E152" s="20" t="str">
        <f t="shared" si="34"/>
        <v>20050613047</v>
      </c>
      <c r="F152" s="19">
        <v>46</v>
      </c>
      <c r="G152" s="19">
        <v>31</v>
      </c>
      <c r="H152" s="19">
        <v>25</v>
      </c>
      <c r="I152" s="19">
        <v>14</v>
      </c>
      <c r="J152" s="19">
        <v>9</v>
      </c>
      <c r="K152" s="19">
        <v>36</v>
      </c>
      <c r="L152" s="19">
        <v>40</v>
      </c>
      <c r="M152" s="19">
        <f t="shared" si="36"/>
        <v>201</v>
      </c>
      <c r="N152" s="27">
        <f t="shared" ref="N152:N214" si="40">N151+4</f>
        <v>38516</v>
      </c>
    </row>
    <row r="153" spans="1:14" x14ac:dyDescent="0.25">
      <c r="A153" s="15">
        <f t="shared" si="35"/>
        <v>4</v>
      </c>
      <c r="B153" s="20">
        <f t="shared" si="37"/>
        <v>152</v>
      </c>
      <c r="C153" s="17">
        <f t="shared" si="38"/>
        <v>48</v>
      </c>
      <c r="D153" s="17" t="str">
        <f t="shared" si="39"/>
        <v>20050616</v>
      </c>
      <c r="E153" s="20" t="str">
        <f t="shared" si="34"/>
        <v>20050616048</v>
      </c>
      <c r="F153" s="19">
        <v>8</v>
      </c>
      <c r="G153" s="19">
        <v>45</v>
      </c>
      <c r="H153" s="19">
        <v>25</v>
      </c>
      <c r="I153" s="19">
        <v>16</v>
      </c>
      <c r="J153" s="19">
        <v>28</v>
      </c>
      <c r="K153" s="19">
        <v>12</v>
      </c>
      <c r="L153" s="19">
        <v>49</v>
      </c>
      <c r="M153" s="19">
        <f t="shared" si="36"/>
        <v>183</v>
      </c>
      <c r="N153" s="27">
        <f t="shared" ref="N153:N215" si="41">N152+3</f>
        <v>38519</v>
      </c>
    </row>
    <row r="154" spans="1:14" x14ac:dyDescent="0.25">
      <c r="A154" s="15">
        <f t="shared" si="35"/>
        <v>1</v>
      </c>
      <c r="B154" s="20">
        <f t="shared" si="37"/>
        <v>153</v>
      </c>
      <c r="C154" s="17">
        <f t="shared" si="38"/>
        <v>49</v>
      </c>
      <c r="D154" s="17" t="str">
        <f t="shared" si="39"/>
        <v>20050620</v>
      </c>
      <c r="E154" s="20" t="str">
        <f t="shared" si="34"/>
        <v>20050620049</v>
      </c>
      <c r="F154" s="19">
        <v>22</v>
      </c>
      <c r="G154" s="19">
        <v>47</v>
      </c>
      <c r="H154" s="19">
        <v>48</v>
      </c>
      <c r="I154" s="19">
        <v>28</v>
      </c>
      <c r="J154" s="19">
        <v>4</v>
      </c>
      <c r="K154" s="19">
        <v>20</v>
      </c>
      <c r="L154" s="19">
        <v>43</v>
      </c>
      <c r="M154" s="19">
        <f t="shared" si="36"/>
        <v>212</v>
      </c>
      <c r="N154" s="27">
        <f t="shared" si="40"/>
        <v>38523</v>
      </c>
    </row>
    <row r="155" spans="1:14" x14ac:dyDescent="0.25">
      <c r="A155" s="15">
        <f t="shared" si="35"/>
        <v>4</v>
      </c>
      <c r="B155" s="20">
        <f t="shared" si="37"/>
        <v>154</v>
      </c>
      <c r="C155" s="17">
        <f t="shared" si="38"/>
        <v>50</v>
      </c>
      <c r="D155" s="17" t="str">
        <f t="shared" si="39"/>
        <v>20050623</v>
      </c>
      <c r="E155" s="20" t="str">
        <f t="shared" si="34"/>
        <v>20050623050</v>
      </c>
      <c r="F155" s="19">
        <v>43</v>
      </c>
      <c r="G155" s="19">
        <v>34</v>
      </c>
      <c r="H155" s="19">
        <v>10</v>
      </c>
      <c r="I155" s="19">
        <v>18</v>
      </c>
      <c r="J155" s="19">
        <v>4</v>
      </c>
      <c r="K155" s="19">
        <v>40</v>
      </c>
      <c r="L155" s="19">
        <v>3</v>
      </c>
      <c r="M155" s="19">
        <f t="shared" si="36"/>
        <v>152</v>
      </c>
      <c r="N155" s="27">
        <f t="shared" si="41"/>
        <v>38526</v>
      </c>
    </row>
    <row r="156" spans="1:14" x14ac:dyDescent="0.25">
      <c r="A156" s="15">
        <f t="shared" si="35"/>
        <v>1</v>
      </c>
      <c r="B156" s="20">
        <f t="shared" si="37"/>
        <v>155</v>
      </c>
      <c r="C156" s="17">
        <f t="shared" si="38"/>
        <v>51</v>
      </c>
      <c r="D156" s="17" t="str">
        <f t="shared" si="39"/>
        <v>20050627</v>
      </c>
      <c r="E156" s="20" t="str">
        <f t="shared" si="34"/>
        <v>20050627051</v>
      </c>
      <c r="F156" s="19">
        <v>49</v>
      </c>
      <c r="G156" s="19">
        <v>43</v>
      </c>
      <c r="H156" s="19">
        <v>17</v>
      </c>
      <c r="I156" s="19">
        <v>22</v>
      </c>
      <c r="J156" s="19">
        <v>37</v>
      </c>
      <c r="K156" s="19">
        <v>10</v>
      </c>
      <c r="L156" s="19">
        <v>8</v>
      </c>
      <c r="M156" s="19">
        <f t="shared" si="36"/>
        <v>186</v>
      </c>
      <c r="N156" s="27">
        <f t="shared" si="40"/>
        <v>38530</v>
      </c>
    </row>
    <row r="157" spans="1:14" x14ac:dyDescent="0.25">
      <c r="A157" s="15">
        <f t="shared" si="35"/>
        <v>4</v>
      </c>
      <c r="B157" s="20">
        <f t="shared" si="37"/>
        <v>156</v>
      </c>
      <c r="C157" s="17">
        <f t="shared" si="38"/>
        <v>52</v>
      </c>
      <c r="D157" s="17" t="str">
        <f t="shared" si="39"/>
        <v>20050630</v>
      </c>
      <c r="E157" s="20" t="str">
        <f t="shared" si="34"/>
        <v>20050630052</v>
      </c>
      <c r="F157" s="19">
        <v>45</v>
      </c>
      <c r="G157" s="19">
        <v>5</v>
      </c>
      <c r="H157" s="19">
        <v>4</v>
      </c>
      <c r="I157" s="19">
        <v>35</v>
      </c>
      <c r="J157" s="19">
        <v>9</v>
      </c>
      <c r="K157" s="19">
        <v>2</v>
      </c>
      <c r="L157" s="19">
        <v>48</v>
      </c>
      <c r="M157" s="19">
        <f t="shared" si="36"/>
        <v>148</v>
      </c>
      <c r="N157" s="27">
        <f t="shared" si="41"/>
        <v>38533</v>
      </c>
    </row>
    <row r="158" spans="1:14" x14ac:dyDescent="0.25">
      <c r="A158" s="15">
        <f t="shared" si="35"/>
        <v>1</v>
      </c>
      <c r="B158" s="20">
        <f t="shared" si="37"/>
        <v>157</v>
      </c>
      <c r="C158" s="17">
        <f t="shared" si="38"/>
        <v>53</v>
      </c>
      <c r="D158" s="17" t="str">
        <f t="shared" si="39"/>
        <v>20050704</v>
      </c>
      <c r="E158" s="20" t="str">
        <f t="shared" si="34"/>
        <v>20050704053</v>
      </c>
      <c r="F158" s="19">
        <v>15</v>
      </c>
      <c r="G158" s="19">
        <v>31</v>
      </c>
      <c r="H158" s="19">
        <v>32</v>
      </c>
      <c r="I158" s="19">
        <v>2</v>
      </c>
      <c r="J158" s="19">
        <v>38</v>
      </c>
      <c r="K158" s="19">
        <v>17</v>
      </c>
      <c r="L158" s="19">
        <v>11</v>
      </c>
      <c r="M158" s="19">
        <f t="shared" si="36"/>
        <v>146</v>
      </c>
      <c r="N158" s="27">
        <f t="shared" si="40"/>
        <v>38537</v>
      </c>
    </row>
    <row r="159" spans="1:14" x14ac:dyDescent="0.25">
      <c r="A159" s="15">
        <f t="shared" si="35"/>
        <v>4</v>
      </c>
      <c r="B159" s="20">
        <f t="shared" si="37"/>
        <v>158</v>
      </c>
      <c r="C159" s="17">
        <f t="shared" si="38"/>
        <v>54</v>
      </c>
      <c r="D159" s="17" t="str">
        <f t="shared" si="39"/>
        <v>20050707</v>
      </c>
      <c r="E159" s="20" t="str">
        <f t="shared" si="34"/>
        <v>20050707054</v>
      </c>
      <c r="F159" s="19">
        <v>27</v>
      </c>
      <c r="G159" s="19">
        <v>21</v>
      </c>
      <c r="H159" s="19">
        <v>36</v>
      </c>
      <c r="I159" s="19">
        <v>12</v>
      </c>
      <c r="J159" s="19">
        <v>6</v>
      </c>
      <c r="K159" s="19">
        <v>48</v>
      </c>
      <c r="L159" s="19">
        <v>18</v>
      </c>
      <c r="M159" s="19">
        <f t="shared" si="36"/>
        <v>168</v>
      </c>
      <c r="N159" s="27">
        <f t="shared" si="41"/>
        <v>38540</v>
      </c>
    </row>
    <row r="160" spans="1:14" x14ac:dyDescent="0.25">
      <c r="A160" s="15">
        <f t="shared" si="35"/>
        <v>1</v>
      </c>
      <c r="B160" s="20">
        <f t="shared" si="37"/>
        <v>159</v>
      </c>
      <c r="C160" s="17">
        <f t="shared" si="38"/>
        <v>55</v>
      </c>
      <c r="D160" s="17" t="str">
        <f t="shared" si="39"/>
        <v>20050711</v>
      </c>
      <c r="E160" s="20" t="str">
        <f t="shared" si="34"/>
        <v>20050711055</v>
      </c>
      <c r="F160" s="19">
        <v>1</v>
      </c>
      <c r="G160" s="19">
        <v>43</v>
      </c>
      <c r="H160" s="19">
        <v>11</v>
      </c>
      <c r="I160" s="19">
        <v>18</v>
      </c>
      <c r="J160" s="19">
        <v>14</v>
      </c>
      <c r="K160" s="19">
        <v>35</v>
      </c>
      <c r="L160" s="19">
        <v>25</v>
      </c>
      <c r="M160" s="19">
        <f t="shared" si="36"/>
        <v>147</v>
      </c>
      <c r="N160" s="27">
        <f t="shared" si="40"/>
        <v>38544</v>
      </c>
    </row>
    <row r="161" spans="1:14" x14ac:dyDescent="0.25">
      <c r="A161" s="15">
        <f t="shared" si="35"/>
        <v>4</v>
      </c>
      <c r="B161" s="20">
        <f t="shared" si="37"/>
        <v>160</v>
      </c>
      <c r="C161" s="17">
        <f t="shared" si="38"/>
        <v>56</v>
      </c>
      <c r="D161" s="17" t="str">
        <f t="shared" si="39"/>
        <v>20050714</v>
      </c>
      <c r="E161" s="20" t="str">
        <f t="shared" si="34"/>
        <v>20050714056</v>
      </c>
      <c r="F161" s="19">
        <v>3</v>
      </c>
      <c r="G161" s="19">
        <v>43</v>
      </c>
      <c r="H161" s="19">
        <v>46</v>
      </c>
      <c r="I161" s="19">
        <v>31</v>
      </c>
      <c r="J161" s="19">
        <v>22</v>
      </c>
      <c r="K161" s="19">
        <v>47</v>
      </c>
      <c r="L161" s="19">
        <v>14</v>
      </c>
      <c r="M161" s="19">
        <f t="shared" si="36"/>
        <v>206</v>
      </c>
      <c r="N161" s="27">
        <f t="shared" si="41"/>
        <v>38547</v>
      </c>
    </row>
    <row r="162" spans="1:14" x14ac:dyDescent="0.25">
      <c r="A162" s="15">
        <f t="shared" si="35"/>
        <v>1</v>
      </c>
      <c r="B162" s="20">
        <f t="shared" si="37"/>
        <v>161</v>
      </c>
      <c r="C162" s="17">
        <f t="shared" si="38"/>
        <v>57</v>
      </c>
      <c r="D162" s="17" t="str">
        <f t="shared" si="39"/>
        <v>20050718</v>
      </c>
      <c r="E162" s="20" t="str">
        <f t="shared" si="34"/>
        <v>20050718057</v>
      </c>
      <c r="F162" s="19">
        <v>11</v>
      </c>
      <c r="G162" s="19">
        <v>25</v>
      </c>
      <c r="H162" s="19">
        <v>13</v>
      </c>
      <c r="I162" s="19">
        <v>7</v>
      </c>
      <c r="J162" s="19">
        <v>30</v>
      </c>
      <c r="K162" s="19">
        <v>40</v>
      </c>
      <c r="L162" s="19">
        <v>6</v>
      </c>
      <c r="M162" s="19">
        <f t="shared" si="36"/>
        <v>132</v>
      </c>
      <c r="N162" s="27">
        <f t="shared" si="40"/>
        <v>38551</v>
      </c>
    </row>
    <row r="163" spans="1:14" x14ac:dyDescent="0.25">
      <c r="A163" s="15">
        <f t="shared" si="35"/>
        <v>4</v>
      </c>
      <c r="B163" s="20">
        <f t="shared" si="37"/>
        <v>162</v>
      </c>
      <c r="C163" s="17">
        <f t="shared" si="38"/>
        <v>58</v>
      </c>
      <c r="D163" s="17" t="str">
        <f t="shared" si="39"/>
        <v>20050721</v>
      </c>
      <c r="E163" s="20" t="str">
        <f t="shared" si="34"/>
        <v>20050721058</v>
      </c>
      <c r="F163" s="19">
        <v>33</v>
      </c>
      <c r="G163" s="19">
        <v>11</v>
      </c>
      <c r="H163" s="19">
        <v>37</v>
      </c>
      <c r="I163" s="19">
        <v>26</v>
      </c>
      <c r="J163" s="19">
        <v>28</v>
      </c>
      <c r="K163" s="19">
        <v>22</v>
      </c>
      <c r="L163" s="19">
        <v>42</v>
      </c>
      <c r="M163" s="19">
        <f t="shared" si="36"/>
        <v>199</v>
      </c>
      <c r="N163" s="27">
        <f t="shared" si="41"/>
        <v>38554</v>
      </c>
    </row>
    <row r="164" spans="1:14" x14ac:dyDescent="0.25">
      <c r="A164" s="15">
        <f t="shared" si="35"/>
        <v>1</v>
      </c>
      <c r="B164" s="20">
        <f t="shared" si="37"/>
        <v>163</v>
      </c>
      <c r="C164" s="17">
        <f t="shared" si="38"/>
        <v>59</v>
      </c>
      <c r="D164" s="17" t="str">
        <f t="shared" si="39"/>
        <v>20050725</v>
      </c>
      <c r="E164" s="20" t="str">
        <f t="shared" si="34"/>
        <v>20050725059</v>
      </c>
      <c r="F164" s="19">
        <v>12</v>
      </c>
      <c r="G164" s="19">
        <v>5</v>
      </c>
      <c r="H164" s="19">
        <v>25</v>
      </c>
      <c r="I164" s="19">
        <v>27</v>
      </c>
      <c r="J164" s="19">
        <v>41</v>
      </c>
      <c r="K164" s="19">
        <v>44</v>
      </c>
      <c r="L164" s="19">
        <v>18</v>
      </c>
      <c r="M164" s="19">
        <f t="shared" si="36"/>
        <v>172</v>
      </c>
      <c r="N164" s="27">
        <f t="shared" si="40"/>
        <v>38558</v>
      </c>
    </row>
    <row r="165" spans="1:14" x14ac:dyDescent="0.25">
      <c r="A165" s="15">
        <f t="shared" si="35"/>
        <v>4</v>
      </c>
      <c r="B165" s="20">
        <f t="shared" si="37"/>
        <v>164</v>
      </c>
      <c r="C165" s="17">
        <f t="shared" si="38"/>
        <v>60</v>
      </c>
      <c r="D165" s="17" t="str">
        <f t="shared" si="39"/>
        <v>20050728</v>
      </c>
      <c r="E165" s="20" t="str">
        <f t="shared" si="34"/>
        <v>20050728060</v>
      </c>
      <c r="F165" s="19">
        <v>41</v>
      </c>
      <c r="G165" s="19">
        <v>24</v>
      </c>
      <c r="H165" s="19">
        <v>9</v>
      </c>
      <c r="I165" s="19">
        <v>27</v>
      </c>
      <c r="J165" s="19">
        <v>14</v>
      </c>
      <c r="K165" s="19">
        <v>37</v>
      </c>
      <c r="L165" s="19">
        <v>12</v>
      </c>
      <c r="M165" s="19">
        <f t="shared" si="36"/>
        <v>164</v>
      </c>
      <c r="N165" s="27">
        <f t="shared" si="41"/>
        <v>38561</v>
      </c>
    </row>
    <row r="166" spans="1:14" x14ac:dyDescent="0.25">
      <c r="A166" s="15">
        <f t="shared" si="35"/>
        <v>1</v>
      </c>
      <c r="B166" s="20">
        <f t="shared" si="37"/>
        <v>165</v>
      </c>
      <c r="C166" s="17">
        <f t="shared" si="38"/>
        <v>61</v>
      </c>
      <c r="D166" s="17" t="str">
        <f t="shared" si="39"/>
        <v>20050801</v>
      </c>
      <c r="E166" s="20" t="str">
        <f t="shared" si="34"/>
        <v>20050801061</v>
      </c>
      <c r="F166" s="19">
        <v>2</v>
      </c>
      <c r="G166" s="19">
        <v>44</v>
      </c>
      <c r="H166" s="19">
        <v>47</v>
      </c>
      <c r="I166" s="19">
        <v>36</v>
      </c>
      <c r="J166" s="19">
        <v>16</v>
      </c>
      <c r="K166" s="19">
        <v>13</v>
      </c>
      <c r="L166" s="19">
        <v>21</v>
      </c>
      <c r="M166" s="19">
        <f t="shared" si="36"/>
        <v>179</v>
      </c>
      <c r="N166" s="27">
        <f t="shared" si="40"/>
        <v>38565</v>
      </c>
    </row>
    <row r="167" spans="1:14" x14ac:dyDescent="0.25">
      <c r="A167" s="15">
        <f t="shared" si="35"/>
        <v>4</v>
      </c>
      <c r="B167" s="20">
        <f t="shared" si="37"/>
        <v>166</v>
      </c>
      <c r="C167" s="17">
        <f t="shared" si="38"/>
        <v>62</v>
      </c>
      <c r="D167" s="17" t="str">
        <f t="shared" si="39"/>
        <v>20050804</v>
      </c>
      <c r="E167" s="20" t="str">
        <f t="shared" si="34"/>
        <v>20050804062</v>
      </c>
      <c r="F167" s="19">
        <v>26</v>
      </c>
      <c r="G167" s="19">
        <v>20</v>
      </c>
      <c r="H167" s="19">
        <v>40</v>
      </c>
      <c r="I167" s="19">
        <v>9</v>
      </c>
      <c r="J167" s="19">
        <v>41</v>
      </c>
      <c r="K167" s="19">
        <v>29</v>
      </c>
      <c r="L167" s="19">
        <v>21</v>
      </c>
      <c r="M167" s="19">
        <f t="shared" si="36"/>
        <v>186</v>
      </c>
      <c r="N167" s="27">
        <f t="shared" si="41"/>
        <v>38568</v>
      </c>
    </row>
    <row r="168" spans="1:14" x14ac:dyDescent="0.25">
      <c r="A168" s="15">
        <f t="shared" si="35"/>
        <v>1</v>
      </c>
      <c r="B168" s="20">
        <f t="shared" si="37"/>
        <v>167</v>
      </c>
      <c r="C168" s="17">
        <f t="shared" si="38"/>
        <v>63</v>
      </c>
      <c r="D168" s="17" t="str">
        <f t="shared" si="39"/>
        <v>20050808</v>
      </c>
      <c r="E168" s="20" t="str">
        <f t="shared" si="34"/>
        <v>20050808063</v>
      </c>
      <c r="F168" s="19">
        <v>37</v>
      </c>
      <c r="G168" s="19">
        <v>45</v>
      </c>
      <c r="H168" s="19">
        <v>38</v>
      </c>
      <c r="I168" s="19">
        <v>28</v>
      </c>
      <c r="J168" s="19">
        <v>43</v>
      </c>
      <c r="K168" s="19">
        <v>24</v>
      </c>
      <c r="L168" s="19">
        <v>18</v>
      </c>
      <c r="M168" s="19">
        <f t="shared" si="36"/>
        <v>233</v>
      </c>
      <c r="N168" s="27">
        <f t="shared" si="40"/>
        <v>38572</v>
      </c>
    </row>
    <row r="169" spans="1:14" x14ac:dyDescent="0.25">
      <c r="A169" s="15">
        <f t="shared" si="35"/>
        <v>4</v>
      </c>
      <c r="B169" s="20">
        <f t="shared" si="37"/>
        <v>168</v>
      </c>
      <c r="C169" s="17">
        <f t="shared" si="38"/>
        <v>64</v>
      </c>
      <c r="D169" s="17" t="str">
        <f t="shared" si="39"/>
        <v>20050811</v>
      </c>
      <c r="E169" s="20" t="str">
        <f t="shared" si="34"/>
        <v>20050811064</v>
      </c>
      <c r="F169" s="19">
        <v>45</v>
      </c>
      <c r="G169" s="19">
        <v>20</v>
      </c>
      <c r="H169" s="19">
        <v>9</v>
      </c>
      <c r="I169" s="19">
        <v>22</v>
      </c>
      <c r="J169" s="19">
        <v>46</v>
      </c>
      <c r="K169" s="19">
        <v>31</v>
      </c>
      <c r="L169" s="19">
        <v>3</v>
      </c>
      <c r="M169" s="19">
        <f t="shared" si="36"/>
        <v>176</v>
      </c>
      <c r="N169" s="27">
        <f t="shared" si="41"/>
        <v>38575</v>
      </c>
    </row>
    <row r="170" spans="1:14" x14ac:dyDescent="0.25">
      <c r="A170" s="15">
        <f t="shared" si="35"/>
        <v>1</v>
      </c>
      <c r="B170" s="20">
        <f t="shared" si="37"/>
        <v>169</v>
      </c>
      <c r="C170" s="17">
        <f t="shared" si="38"/>
        <v>65</v>
      </c>
      <c r="D170" s="17" t="str">
        <f t="shared" si="39"/>
        <v>20050815</v>
      </c>
      <c r="E170" s="20" t="str">
        <f t="shared" si="34"/>
        <v>20050815065</v>
      </c>
      <c r="F170" s="19">
        <v>41</v>
      </c>
      <c r="G170" s="19">
        <v>37</v>
      </c>
      <c r="H170" s="19">
        <v>38</v>
      </c>
      <c r="I170" s="19">
        <v>13</v>
      </c>
      <c r="J170" s="19">
        <v>33</v>
      </c>
      <c r="K170" s="19">
        <v>15</v>
      </c>
      <c r="L170" s="19">
        <v>47</v>
      </c>
      <c r="M170" s="19">
        <f t="shared" si="36"/>
        <v>224</v>
      </c>
      <c r="N170" s="27">
        <f t="shared" si="40"/>
        <v>38579</v>
      </c>
    </row>
    <row r="171" spans="1:14" x14ac:dyDescent="0.25">
      <c r="A171" s="15">
        <f t="shared" si="35"/>
        <v>4</v>
      </c>
      <c r="B171" s="20">
        <f t="shared" si="37"/>
        <v>170</v>
      </c>
      <c r="C171" s="17">
        <f t="shared" si="38"/>
        <v>66</v>
      </c>
      <c r="D171" s="17" t="str">
        <f t="shared" si="39"/>
        <v>20050818</v>
      </c>
      <c r="E171" s="20" t="str">
        <f t="shared" si="34"/>
        <v>20050818066</v>
      </c>
      <c r="F171" s="19">
        <v>3</v>
      </c>
      <c r="G171" s="19">
        <v>38</v>
      </c>
      <c r="H171" s="19">
        <v>11</v>
      </c>
      <c r="I171" s="19">
        <v>36</v>
      </c>
      <c r="J171" s="19">
        <v>8</v>
      </c>
      <c r="K171" s="19">
        <v>49</v>
      </c>
      <c r="L171" s="19">
        <v>19</v>
      </c>
      <c r="M171" s="19">
        <f t="shared" si="36"/>
        <v>164</v>
      </c>
      <c r="N171" s="27">
        <f t="shared" si="41"/>
        <v>38582</v>
      </c>
    </row>
    <row r="172" spans="1:14" x14ac:dyDescent="0.25">
      <c r="A172" s="15">
        <f t="shared" si="35"/>
        <v>1</v>
      </c>
      <c r="B172" s="20">
        <f t="shared" si="37"/>
        <v>171</v>
      </c>
      <c r="C172" s="17">
        <f t="shared" si="38"/>
        <v>67</v>
      </c>
      <c r="D172" s="17" t="str">
        <f t="shared" si="39"/>
        <v>20050822</v>
      </c>
      <c r="E172" s="20" t="str">
        <f t="shared" si="34"/>
        <v>20050822067</v>
      </c>
      <c r="F172" s="19">
        <v>23</v>
      </c>
      <c r="G172" s="19">
        <v>17</v>
      </c>
      <c r="H172" s="19">
        <v>25</v>
      </c>
      <c r="I172" s="19">
        <v>28</v>
      </c>
      <c r="J172" s="19">
        <v>18</v>
      </c>
      <c r="K172" s="19">
        <v>24</v>
      </c>
      <c r="L172" s="19">
        <v>41</v>
      </c>
      <c r="M172" s="19">
        <f t="shared" si="36"/>
        <v>176</v>
      </c>
      <c r="N172" s="27">
        <f t="shared" si="40"/>
        <v>38586</v>
      </c>
    </row>
    <row r="173" spans="1:14" x14ac:dyDescent="0.25">
      <c r="A173" s="15">
        <f t="shared" si="35"/>
        <v>4</v>
      </c>
      <c r="B173" s="20">
        <f t="shared" si="37"/>
        <v>172</v>
      </c>
      <c r="C173" s="17">
        <f t="shared" si="38"/>
        <v>68</v>
      </c>
      <c r="D173" s="17" t="str">
        <f t="shared" si="39"/>
        <v>20050825</v>
      </c>
      <c r="E173" s="20" t="str">
        <f t="shared" si="34"/>
        <v>20050825068</v>
      </c>
      <c r="F173" s="19">
        <v>4</v>
      </c>
      <c r="G173" s="19">
        <v>25</v>
      </c>
      <c r="H173" s="19">
        <v>2</v>
      </c>
      <c r="I173" s="19">
        <v>6</v>
      </c>
      <c r="J173" s="19">
        <v>46</v>
      </c>
      <c r="K173" s="19">
        <v>21</v>
      </c>
      <c r="L173" s="19">
        <v>28</v>
      </c>
      <c r="M173" s="19">
        <f t="shared" si="36"/>
        <v>132</v>
      </c>
      <c r="N173" s="27">
        <f t="shared" si="41"/>
        <v>38589</v>
      </c>
    </row>
    <row r="174" spans="1:14" x14ac:dyDescent="0.25">
      <c r="A174" s="15">
        <f t="shared" si="35"/>
        <v>1</v>
      </c>
      <c r="B174" s="20">
        <f t="shared" si="37"/>
        <v>173</v>
      </c>
      <c r="C174" s="17">
        <f t="shared" si="38"/>
        <v>69</v>
      </c>
      <c r="D174" s="17" t="str">
        <f t="shared" si="39"/>
        <v>20050829</v>
      </c>
      <c r="E174" s="20" t="str">
        <f t="shared" si="34"/>
        <v>20050829069</v>
      </c>
      <c r="F174" s="19">
        <v>43</v>
      </c>
      <c r="G174" s="19">
        <v>9</v>
      </c>
      <c r="H174" s="19">
        <v>10</v>
      </c>
      <c r="I174" s="19">
        <v>40</v>
      </c>
      <c r="J174" s="19">
        <v>42</v>
      </c>
      <c r="K174" s="19">
        <v>36</v>
      </c>
      <c r="L174" s="19">
        <v>41</v>
      </c>
      <c r="M174" s="19">
        <f t="shared" si="36"/>
        <v>221</v>
      </c>
      <c r="N174" s="27">
        <f t="shared" si="40"/>
        <v>38593</v>
      </c>
    </row>
    <row r="175" spans="1:14" x14ac:dyDescent="0.25">
      <c r="A175" s="15">
        <f t="shared" si="35"/>
        <v>4</v>
      </c>
      <c r="B175" s="20">
        <f t="shared" si="37"/>
        <v>174</v>
      </c>
      <c r="C175" s="17">
        <f t="shared" si="38"/>
        <v>70</v>
      </c>
      <c r="D175" s="17" t="str">
        <f t="shared" si="39"/>
        <v>20050901</v>
      </c>
      <c r="E175" s="20" t="str">
        <f t="shared" si="34"/>
        <v>20050901070</v>
      </c>
      <c r="F175" s="19">
        <v>48</v>
      </c>
      <c r="G175" s="19">
        <v>20</v>
      </c>
      <c r="H175" s="19">
        <v>12</v>
      </c>
      <c r="I175" s="19">
        <v>43</v>
      </c>
      <c r="J175" s="19">
        <v>6</v>
      </c>
      <c r="K175" s="19">
        <v>47</v>
      </c>
      <c r="L175" s="19">
        <v>41</v>
      </c>
      <c r="M175" s="19">
        <f t="shared" si="36"/>
        <v>217</v>
      </c>
      <c r="N175" s="27">
        <f t="shared" si="41"/>
        <v>38596</v>
      </c>
    </row>
    <row r="176" spans="1:14" x14ac:dyDescent="0.25">
      <c r="A176" s="15">
        <f t="shared" si="35"/>
        <v>1</v>
      </c>
      <c r="B176" s="20">
        <f t="shared" si="37"/>
        <v>175</v>
      </c>
      <c r="C176" s="17">
        <f t="shared" si="38"/>
        <v>71</v>
      </c>
      <c r="D176" s="17" t="str">
        <f t="shared" si="39"/>
        <v>20050905</v>
      </c>
      <c r="E176" s="20" t="str">
        <f t="shared" si="34"/>
        <v>20050905071</v>
      </c>
      <c r="F176" s="19">
        <v>44</v>
      </c>
      <c r="G176" s="19">
        <v>5</v>
      </c>
      <c r="H176" s="19">
        <v>27</v>
      </c>
      <c r="I176" s="19">
        <v>8</v>
      </c>
      <c r="J176" s="19">
        <v>26</v>
      </c>
      <c r="K176" s="19">
        <v>22</v>
      </c>
      <c r="L176" s="19">
        <v>10</v>
      </c>
      <c r="M176" s="19">
        <f t="shared" si="36"/>
        <v>142</v>
      </c>
      <c r="N176" s="27">
        <f t="shared" si="40"/>
        <v>38600</v>
      </c>
    </row>
    <row r="177" spans="1:14" x14ac:dyDescent="0.25">
      <c r="A177" s="15">
        <f t="shared" si="35"/>
        <v>4</v>
      </c>
      <c r="B177" s="20">
        <f t="shared" si="37"/>
        <v>176</v>
      </c>
      <c r="C177" s="17">
        <f t="shared" si="38"/>
        <v>72</v>
      </c>
      <c r="D177" s="17" t="str">
        <f t="shared" si="39"/>
        <v>20050908</v>
      </c>
      <c r="E177" s="20" t="str">
        <f t="shared" si="34"/>
        <v>20050908072</v>
      </c>
      <c r="F177" s="19">
        <v>3</v>
      </c>
      <c r="G177" s="19">
        <v>11</v>
      </c>
      <c r="H177" s="19">
        <v>45</v>
      </c>
      <c r="I177" s="19">
        <v>10</v>
      </c>
      <c r="J177" s="19">
        <v>36</v>
      </c>
      <c r="K177" s="19">
        <v>37</v>
      </c>
      <c r="L177" s="19">
        <v>29</v>
      </c>
      <c r="M177" s="19">
        <f t="shared" si="36"/>
        <v>171</v>
      </c>
      <c r="N177" s="27">
        <f t="shared" si="41"/>
        <v>38603</v>
      </c>
    </row>
    <row r="178" spans="1:14" x14ac:dyDescent="0.25">
      <c r="A178" s="15">
        <f t="shared" si="35"/>
        <v>1</v>
      </c>
      <c r="B178" s="20">
        <f t="shared" si="37"/>
        <v>177</v>
      </c>
      <c r="C178" s="17">
        <f t="shared" si="38"/>
        <v>73</v>
      </c>
      <c r="D178" s="17" t="str">
        <f t="shared" si="39"/>
        <v>20050912</v>
      </c>
      <c r="E178" s="20" t="str">
        <f t="shared" si="34"/>
        <v>20050912073</v>
      </c>
      <c r="F178" s="19">
        <v>35</v>
      </c>
      <c r="G178" s="19">
        <v>39</v>
      </c>
      <c r="H178" s="19">
        <v>28</v>
      </c>
      <c r="I178" s="19">
        <v>24</v>
      </c>
      <c r="J178" s="19">
        <v>30</v>
      </c>
      <c r="K178" s="19">
        <v>4</v>
      </c>
      <c r="L178" s="19">
        <v>19</v>
      </c>
      <c r="M178" s="19">
        <f t="shared" si="36"/>
        <v>179</v>
      </c>
      <c r="N178" s="27">
        <f t="shared" si="40"/>
        <v>38607</v>
      </c>
    </row>
    <row r="179" spans="1:14" x14ac:dyDescent="0.25">
      <c r="A179" s="15">
        <f t="shared" si="35"/>
        <v>4</v>
      </c>
      <c r="B179" s="20">
        <f t="shared" si="37"/>
        <v>178</v>
      </c>
      <c r="C179" s="17">
        <f t="shared" si="38"/>
        <v>74</v>
      </c>
      <c r="D179" s="17" t="str">
        <f t="shared" si="39"/>
        <v>20050915</v>
      </c>
      <c r="E179" s="20" t="str">
        <f t="shared" si="34"/>
        <v>20050915074</v>
      </c>
      <c r="F179" s="19">
        <v>44</v>
      </c>
      <c r="G179" s="19">
        <v>41</v>
      </c>
      <c r="H179" s="19">
        <v>45</v>
      </c>
      <c r="I179" s="19">
        <v>15</v>
      </c>
      <c r="J179" s="19">
        <v>4</v>
      </c>
      <c r="K179" s="19">
        <v>23</v>
      </c>
      <c r="L179" s="19">
        <v>46</v>
      </c>
      <c r="M179" s="19">
        <f t="shared" si="36"/>
        <v>218</v>
      </c>
      <c r="N179" s="27">
        <f t="shared" si="41"/>
        <v>38610</v>
      </c>
    </row>
    <row r="180" spans="1:14" x14ac:dyDescent="0.25">
      <c r="A180" s="15">
        <f t="shared" si="35"/>
        <v>1</v>
      </c>
      <c r="B180" s="20">
        <f t="shared" si="37"/>
        <v>179</v>
      </c>
      <c r="C180" s="17">
        <f t="shared" si="38"/>
        <v>75</v>
      </c>
      <c r="D180" s="17" t="str">
        <f t="shared" si="39"/>
        <v>20050919</v>
      </c>
      <c r="E180" s="20" t="str">
        <f t="shared" si="34"/>
        <v>20050919075</v>
      </c>
      <c r="F180" s="19">
        <v>38</v>
      </c>
      <c r="G180" s="19">
        <v>3</v>
      </c>
      <c r="H180" s="19">
        <v>45</v>
      </c>
      <c r="I180" s="19">
        <v>43</v>
      </c>
      <c r="J180" s="19">
        <v>29</v>
      </c>
      <c r="K180" s="19">
        <v>26</v>
      </c>
      <c r="L180" s="19">
        <v>28</v>
      </c>
      <c r="M180" s="19">
        <f t="shared" si="36"/>
        <v>212</v>
      </c>
      <c r="N180" s="27">
        <f t="shared" si="40"/>
        <v>38614</v>
      </c>
    </row>
    <row r="181" spans="1:14" x14ac:dyDescent="0.25">
      <c r="A181" s="15">
        <f t="shared" si="35"/>
        <v>4</v>
      </c>
      <c r="B181" s="20">
        <f t="shared" si="37"/>
        <v>180</v>
      </c>
      <c r="C181" s="17">
        <f t="shared" si="38"/>
        <v>76</v>
      </c>
      <c r="D181" s="17" t="str">
        <f t="shared" si="39"/>
        <v>20050922</v>
      </c>
      <c r="E181" s="20" t="str">
        <f t="shared" si="34"/>
        <v>20050922076</v>
      </c>
      <c r="F181" s="19">
        <v>2</v>
      </c>
      <c r="G181" s="19">
        <v>37</v>
      </c>
      <c r="H181" s="19">
        <v>49</v>
      </c>
      <c r="I181" s="19">
        <v>11</v>
      </c>
      <c r="J181" s="19">
        <v>35</v>
      </c>
      <c r="K181" s="19">
        <v>48</v>
      </c>
      <c r="L181" s="19">
        <v>5</v>
      </c>
      <c r="M181" s="19">
        <f t="shared" si="36"/>
        <v>187</v>
      </c>
      <c r="N181" s="27">
        <f t="shared" si="41"/>
        <v>38617</v>
      </c>
    </row>
    <row r="182" spans="1:14" x14ac:dyDescent="0.25">
      <c r="A182" s="15">
        <f t="shared" si="35"/>
        <v>1</v>
      </c>
      <c r="B182" s="20">
        <f t="shared" si="37"/>
        <v>181</v>
      </c>
      <c r="C182" s="17">
        <f t="shared" si="38"/>
        <v>77</v>
      </c>
      <c r="D182" s="17" t="str">
        <f t="shared" si="39"/>
        <v>20050926</v>
      </c>
      <c r="E182" s="20" t="str">
        <f t="shared" si="34"/>
        <v>20050926077</v>
      </c>
      <c r="F182" s="19">
        <v>44</v>
      </c>
      <c r="G182" s="19">
        <v>26</v>
      </c>
      <c r="H182" s="19">
        <v>41</v>
      </c>
      <c r="I182" s="19">
        <v>18</v>
      </c>
      <c r="J182" s="19">
        <v>37</v>
      </c>
      <c r="K182" s="19">
        <v>4</v>
      </c>
      <c r="L182" s="19">
        <v>6</v>
      </c>
      <c r="M182" s="19">
        <f t="shared" si="36"/>
        <v>176</v>
      </c>
      <c r="N182" s="27">
        <f t="shared" si="40"/>
        <v>38621</v>
      </c>
    </row>
    <row r="183" spans="1:14" x14ac:dyDescent="0.25">
      <c r="A183" s="15">
        <f t="shared" si="35"/>
        <v>4</v>
      </c>
      <c r="B183" s="20">
        <f t="shared" si="37"/>
        <v>182</v>
      </c>
      <c r="C183" s="17">
        <f t="shared" si="38"/>
        <v>78</v>
      </c>
      <c r="D183" s="17" t="str">
        <f t="shared" si="39"/>
        <v>20050929</v>
      </c>
      <c r="E183" s="20" t="str">
        <f t="shared" si="34"/>
        <v>20050929078</v>
      </c>
      <c r="F183" s="19">
        <v>23</v>
      </c>
      <c r="G183" s="19">
        <v>1</v>
      </c>
      <c r="H183" s="19">
        <v>40</v>
      </c>
      <c r="I183" s="19">
        <v>19</v>
      </c>
      <c r="J183" s="19">
        <v>38</v>
      </c>
      <c r="K183" s="19">
        <v>8</v>
      </c>
      <c r="L183" s="19">
        <v>5</v>
      </c>
      <c r="M183" s="19">
        <f t="shared" si="36"/>
        <v>134</v>
      </c>
      <c r="N183" s="27">
        <f t="shared" si="41"/>
        <v>38624</v>
      </c>
    </row>
    <row r="184" spans="1:14" x14ac:dyDescent="0.25">
      <c r="A184" s="15">
        <f t="shared" si="35"/>
        <v>1</v>
      </c>
      <c r="B184" s="20">
        <f t="shared" si="37"/>
        <v>183</v>
      </c>
      <c r="C184" s="17">
        <f t="shared" si="38"/>
        <v>79</v>
      </c>
      <c r="D184" s="17" t="str">
        <f t="shared" si="39"/>
        <v>20051003</v>
      </c>
      <c r="E184" s="20" t="str">
        <f t="shared" si="34"/>
        <v>20051003079</v>
      </c>
      <c r="F184" s="19">
        <v>3</v>
      </c>
      <c r="G184" s="19">
        <v>16</v>
      </c>
      <c r="H184" s="19">
        <v>15</v>
      </c>
      <c r="I184" s="19">
        <v>40</v>
      </c>
      <c r="J184" s="19">
        <v>48</v>
      </c>
      <c r="K184" s="19">
        <v>25</v>
      </c>
      <c r="L184" s="19">
        <v>18</v>
      </c>
      <c r="M184" s="19">
        <f t="shared" si="36"/>
        <v>165</v>
      </c>
      <c r="N184" s="27">
        <f t="shared" si="40"/>
        <v>38628</v>
      </c>
    </row>
    <row r="185" spans="1:14" x14ac:dyDescent="0.25">
      <c r="A185" s="15">
        <f t="shared" si="35"/>
        <v>4</v>
      </c>
      <c r="B185" s="20">
        <f t="shared" si="37"/>
        <v>184</v>
      </c>
      <c r="C185" s="17">
        <f t="shared" si="38"/>
        <v>80</v>
      </c>
      <c r="D185" s="17" t="str">
        <f t="shared" si="39"/>
        <v>20051006</v>
      </c>
      <c r="E185" s="20" t="str">
        <f t="shared" si="34"/>
        <v>20051006080</v>
      </c>
      <c r="F185" s="19">
        <v>24</v>
      </c>
      <c r="G185" s="19">
        <v>8</v>
      </c>
      <c r="H185" s="19">
        <v>28</v>
      </c>
      <c r="I185" s="19">
        <v>31</v>
      </c>
      <c r="J185" s="19">
        <v>48</v>
      </c>
      <c r="K185" s="19">
        <v>2</v>
      </c>
      <c r="L185" s="19">
        <v>15</v>
      </c>
      <c r="M185" s="19">
        <f t="shared" si="36"/>
        <v>156</v>
      </c>
      <c r="N185" s="27">
        <f t="shared" si="41"/>
        <v>38631</v>
      </c>
    </row>
    <row r="186" spans="1:14" x14ac:dyDescent="0.25">
      <c r="A186" s="15">
        <f t="shared" si="35"/>
        <v>1</v>
      </c>
      <c r="B186" s="20">
        <f t="shared" si="37"/>
        <v>185</v>
      </c>
      <c r="C186" s="17">
        <f t="shared" si="38"/>
        <v>81</v>
      </c>
      <c r="D186" s="17" t="str">
        <f t="shared" si="39"/>
        <v>20051010</v>
      </c>
      <c r="E186" s="20" t="str">
        <f t="shared" si="34"/>
        <v>20051010081</v>
      </c>
      <c r="F186" s="19">
        <v>29</v>
      </c>
      <c r="G186" s="19">
        <v>45</v>
      </c>
      <c r="H186" s="19">
        <v>23</v>
      </c>
      <c r="I186" s="19">
        <v>11</v>
      </c>
      <c r="J186" s="19">
        <v>6</v>
      </c>
      <c r="K186" s="19">
        <v>49</v>
      </c>
      <c r="L186" s="19">
        <v>26</v>
      </c>
      <c r="M186" s="19">
        <f t="shared" si="36"/>
        <v>189</v>
      </c>
      <c r="N186" s="27">
        <f t="shared" si="40"/>
        <v>38635</v>
      </c>
    </row>
    <row r="187" spans="1:14" x14ac:dyDescent="0.25">
      <c r="A187" s="15">
        <f t="shared" si="35"/>
        <v>4</v>
      </c>
      <c r="B187" s="20">
        <f t="shared" si="37"/>
        <v>186</v>
      </c>
      <c r="C187" s="17">
        <f t="shared" si="38"/>
        <v>82</v>
      </c>
      <c r="D187" s="17" t="str">
        <f t="shared" si="39"/>
        <v>20051013</v>
      </c>
      <c r="E187" s="20" t="str">
        <f t="shared" si="34"/>
        <v>20051013082</v>
      </c>
      <c r="F187" s="19">
        <v>43</v>
      </c>
      <c r="G187" s="19">
        <v>48</v>
      </c>
      <c r="H187" s="19">
        <v>3</v>
      </c>
      <c r="I187" s="19">
        <v>11</v>
      </c>
      <c r="J187" s="19">
        <v>46</v>
      </c>
      <c r="K187" s="19">
        <v>26</v>
      </c>
      <c r="L187" s="19">
        <v>5</v>
      </c>
      <c r="M187" s="19">
        <f t="shared" si="36"/>
        <v>182</v>
      </c>
      <c r="N187" s="27">
        <f t="shared" si="41"/>
        <v>38638</v>
      </c>
    </row>
    <row r="188" spans="1:14" x14ac:dyDescent="0.25">
      <c r="A188" s="15">
        <f t="shared" si="35"/>
        <v>1</v>
      </c>
      <c r="B188" s="20">
        <f t="shared" si="37"/>
        <v>187</v>
      </c>
      <c r="C188" s="17">
        <f t="shared" si="38"/>
        <v>83</v>
      </c>
      <c r="D188" s="17" t="str">
        <f t="shared" si="39"/>
        <v>20051017</v>
      </c>
      <c r="E188" s="20" t="str">
        <f t="shared" si="34"/>
        <v>20051017083</v>
      </c>
      <c r="F188" s="19">
        <v>30</v>
      </c>
      <c r="G188" s="19">
        <v>43</v>
      </c>
      <c r="H188" s="19">
        <v>27</v>
      </c>
      <c r="I188" s="19">
        <v>47</v>
      </c>
      <c r="J188" s="19">
        <v>39</v>
      </c>
      <c r="K188" s="19">
        <v>35</v>
      </c>
      <c r="L188" s="19">
        <v>25</v>
      </c>
      <c r="M188" s="19">
        <f t="shared" si="36"/>
        <v>246</v>
      </c>
      <c r="N188" s="27">
        <f t="shared" si="40"/>
        <v>38642</v>
      </c>
    </row>
    <row r="189" spans="1:14" x14ac:dyDescent="0.25">
      <c r="A189" s="15">
        <f t="shared" si="35"/>
        <v>4</v>
      </c>
      <c r="B189" s="20">
        <f t="shared" si="37"/>
        <v>188</v>
      </c>
      <c r="C189" s="17">
        <f t="shared" si="38"/>
        <v>84</v>
      </c>
      <c r="D189" s="17" t="str">
        <f t="shared" si="39"/>
        <v>20051020</v>
      </c>
      <c r="E189" s="20" t="str">
        <f t="shared" si="34"/>
        <v>20051020084</v>
      </c>
      <c r="F189" s="19">
        <v>21</v>
      </c>
      <c r="G189" s="19">
        <v>13</v>
      </c>
      <c r="H189" s="19">
        <v>14</v>
      </c>
      <c r="I189" s="19">
        <v>42</v>
      </c>
      <c r="J189" s="19">
        <v>47</v>
      </c>
      <c r="K189" s="19">
        <v>11</v>
      </c>
      <c r="L189" s="19">
        <v>22</v>
      </c>
      <c r="M189" s="19">
        <f t="shared" si="36"/>
        <v>170</v>
      </c>
      <c r="N189" s="27">
        <f t="shared" si="41"/>
        <v>38645</v>
      </c>
    </row>
    <row r="190" spans="1:14" x14ac:dyDescent="0.25">
      <c r="A190" s="15">
        <f t="shared" si="35"/>
        <v>1</v>
      </c>
      <c r="B190" s="20">
        <f t="shared" si="37"/>
        <v>189</v>
      </c>
      <c r="C190" s="17">
        <f t="shared" si="38"/>
        <v>85</v>
      </c>
      <c r="D190" s="17" t="str">
        <f t="shared" si="39"/>
        <v>20051024</v>
      </c>
      <c r="E190" s="20" t="str">
        <f t="shared" si="34"/>
        <v>20051024085</v>
      </c>
      <c r="F190" s="19">
        <v>44</v>
      </c>
      <c r="G190" s="19">
        <v>8</v>
      </c>
      <c r="H190" s="19">
        <v>22</v>
      </c>
      <c r="I190" s="19">
        <v>27</v>
      </c>
      <c r="J190" s="19">
        <v>7</v>
      </c>
      <c r="K190" s="19">
        <v>17</v>
      </c>
      <c r="L190" s="19">
        <v>28</v>
      </c>
      <c r="M190" s="19">
        <f t="shared" si="36"/>
        <v>153</v>
      </c>
      <c r="N190" s="27">
        <f t="shared" si="40"/>
        <v>38649</v>
      </c>
    </row>
    <row r="191" spans="1:14" x14ac:dyDescent="0.25">
      <c r="A191" s="15">
        <f t="shared" si="35"/>
        <v>4</v>
      </c>
      <c r="B191" s="20">
        <f t="shared" si="37"/>
        <v>190</v>
      </c>
      <c r="C191" s="17">
        <f t="shared" si="38"/>
        <v>86</v>
      </c>
      <c r="D191" s="17" t="str">
        <f t="shared" si="39"/>
        <v>20051027</v>
      </c>
      <c r="E191" s="20" t="str">
        <f t="shared" si="34"/>
        <v>20051027086</v>
      </c>
      <c r="F191" s="19">
        <v>26</v>
      </c>
      <c r="G191" s="19">
        <v>8</v>
      </c>
      <c r="H191" s="19">
        <v>28</v>
      </c>
      <c r="I191" s="19">
        <v>36</v>
      </c>
      <c r="J191" s="19">
        <v>6</v>
      </c>
      <c r="K191" s="19">
        <v>23</v>
      </c>
      <c r="L191" s="19">
        <v>37</v>
      </c>
      <c r="M191" s="19">
        <f t="shared" si="36"/>
        <v>164</v>
      </c>
      <c r="N191" s="27">
        <f t="shared" si="41"/>
        <v>38652</v>
      </c>
    </row>
    <row r="192" spans="1:14" x14ac:dyDescent="0.25">
      <c r="A192" s="15">
        <f t="shared" si="35"/>
        <v>1</v>
      </c>
      <c r="B192" s="20">
        <f t="shared" si="37"/>
        <v>191</v>
      </c>
      <c r="C192" s="17">
        <f t="shared" si="38"/>
        <v>87</v>
      </c>
      <c r="D192" s="17" t="str">
        <f t="shared" si="39"/>
        <v>20051031</v>
      </c>
      <c r="E192" s="20" t="str">
        <f t="shared" si="34"/>
        <v>20051031087</v>
      </c>
      <c r="F192" s="19">
        <v>22</v>
      </c>
      <c r="G192" s="19">
        <v>26</v>
      </c>
      <c r="H192" s="19">
        <v>48</v>
      </c>
      <c r="I192" s="19">
        <v>5</v>
      </c>
      <c r="J192" s="19">
        <v>10</v>
      </c>
      <c r="K192" s="19">
        <v>31</v>
      </c>
      <c r="L192" s="19">
        <v>41</v>
      </c>
      <c r="M192" s="19">
        <f t="shared" si="36"/>
        <v>183</v>
      </c>
      <c r="N192" s="27">
        <f t="shared" si="40"/>
        <v>38656</v>
      </c>
    </row>
    <row r="193" spans="1:14" x14ac:dyDescent="0.25">
      <c r="A193" s="15">
        <f t="shared" si="35"/>
        <v>4</v>
      </c>
      <c r="B193" s="20">
        <f t="shared" si="37"/>
        <v>192</v>
      </c>
      <c r="C193" s="17">
        <f t="shared" si="38"/>
        <v>88</v>
      </c>
      <c r="D193" s="17" t="str">
        <f t="shared" si="39"/>
        <v>20051103</v>
      </c>
      <c r="E193" s="20" t="str">
        <f t="shared" si="34"/>
        <v>20051103088</v>
      </c>
      <c r="F193" s="19">
        <v>6</v>
      </c>
      <c r="G193" s="19">
        <v>17</v>
      </c>
      <c r="H193" s="19">
        <v>8</v>
      </c>
      <c r="I193" s="19">
        <v>19</v>
      </c>
      <c r="J193" s="19">
        <v>30</v>
      </c>
      <c r="K193" s="19">
        <v>47</v>
      </c>
      <c r="L193" s="19">
        <v>23</v>
      </c>
      <c r="M193" s="19">
        <f t="shared" si="36"/>
        <v>150</v>
      </c>
      <c r="N193" s="27">
        <f t="shared" si="41"/>
        <v>38659</v>
      </c>
    </row>
    <row r="194" spans="1:14" x14ac:dyDescent="0.25">
      <c r="A194" s="15">
        <f t="shared" si="35"/>
        <v>1</v>
      </c>
      <c r="B194" s="20">
        <f t="shared" si="37"/>
        <v>193</v>
      </c>
      <c r="C194" s="17">
        <f t="shared" si="38"/>
        <v>89</v>
      </c>
      <c r="D194" s="17" t="str">
        <f t="shared" si="39"/>
        <v>20051107</v>
      </c>
      <c r="E194" s="20" t="str">
        <f t="shared" ref="E194:E257" si="42">CONCATENATE(D194,TEXT(C194,"000"))</f>
        <v>20051107089</v>
      </c>
      <c r="F194" s="19">
        <v>42</v>
      </c>
      <c r="G194" s="19">
        <v>48</v>
      </c>
      <c r="H194" s="19">
        <v>17</v>
      </c>
      <c r="I194" s="19">
        <v>16</v>
      </c>
      <c r="J194" s="19">
        <v>32</v>
      </c>
      <c r="K194" s="19">
        <v>23</v>
      </c>
      <c r="L194" s="19">
        <v>2</v>
      </c>
      <c r="M194" s="19">
        <f t="shared" si="36"/>
        <v>180</v>
      </c>
      <c r="N194" s="27">
        <f t="shared" si="40"/>
        <v>38663</v>
      </c>
    </row>
    <row r="195" spans="1:14" x14ac:dyDescent="0.25">
      <c r="A195" s="15">
        <f t="shared" ref="A195:A258" si="43">WEEKDAY(N195,2)</f>
        <v>4</v>
      </c>
      <c r="B195" s="20">
        <f t="shared" si="37"/>
        <v>194</v>
      </c>
      <c r="C195" s="17">
        <f t="shared" si="38"/>
        <v>90</v>
      </c>
      <c r="D195" s="17" t="str">
        <f t="shared" si="39"/>
        <v>20051110</v>
      </c>
      <c r="E195" s="20" t="str">
        <f t="shared" si="42"/>
        <v>20051110090</v>
      </c>
      <c r="F195" s="19">
        <v>4</v>
      </c>
      <c r="G195" s="19">
        <v>36</v>
      </c>
      <c r="H195" s="19">
        <v>7</v>
      </c>
      <c r="I195" s="19">
        <v>19</v>
      </c>
      <c r="J195" s="19">
        <v>30</v>
      </c>
      <c r="K195" s="19">
        <v>46</v>
      </c>
      <c r="L195" s="19">
        <v>48</v>
      </c>
      <c r="M195" s="19">
        <f t="shared" ref="M195:M258" si="44">SUM(F195:L195)</f>
        <v>190</v>
      </c>
      <c r="N195" s="27">
        <f t="shared" si="41"/>
        <v>38666</v>
      </c>
    </row>
    <row r="196" spans="1:14" x14ac:dyDescent="0.25">
      <c r="A196" s="15">
        <f t="shared" si="43"/>
        <v>1</v>
      </c>
      <c r="B196" s="20">
        <f t="shared" ref="B196:B259" si="45">B195+1</f>
        <v>195</v>
      </c>
      <c r="C196" s="17">
        <f t="shared" ref="C196:C259" si="46">C195+1</f>
        <v>91</v>
      </c>
      <c r="D196" s="17" t="str">
        <f t="shared" ref="D196:D259" si="47">CONCATENATE(TEXT(YEAR(N196),"0000"),TEXT(MONTH(N196),"00"),TEXT(DAY(N196),"00"))</f>
        <v>20051114</v>
      </c>
      <c r="E196" s="20" t="str">
        <f t="shared" si="42"/>
        <v>20051114091</v>
      </c>
      <c r="F196" s="19">
        <v>44</v>
      </c>
      <c r="G196" s="19">
        <v>29</v>
      </c>
      <c r="H196" s="19">
        <v>2</v>
      </c>
      <c r="I196" s="19">
        <v>49</v>
      </c>
      <c r="J196" s="19">
        <v>39</v>
      </c>
      <c r="K196" s="19">
        <v>13</v>
      </c>
      <c r="L196" s="19">
        <v>35</v>
      </c>
      <c r="M196" s="19">
        <f t="shared" si="44"/>
        <v>211</v>
      </c>
      <c r="N196" s="27">
        <f t="shared" si="40"/>
        <v>38670</v>
      </c>
    </row>
    <row r="197" spans="1:14" x14ac:dyDescent="0.25">
      <c r="A197" s="15">
        <f t="shared" si="43"/>
        <v>4</v>
      </c>
      <c r="B197" s="20">
        <f t="shared" si="45"/>
        <v>196</v>
      </c>
      <c r="C197" s="17">
        <f t="shared" si="46"/>
        <v>92</v>
      </c>
      <c r="D197" s="17" t="str">
        <f t="shared" si="47"/>
        <v>20051117</v>
      </c>
      <c r="E197" s="20" t="str">
        <f t="shared" si="42"/>
        <v>20051117092</v>
      </c>
      <c r="F197" s="19">
        <v>4</v>
      </c>
      <c r="G197" s="19">
        <v>2</v>
      </c>
      <c r="H197" s="19">
        <v>17</v>
      </c>
      <c r="I197" s="19">
        <v>27</v>
      </c>
      <c r="J197" s="19">
        <v>39</v>
      </c>
      <c r="K197" s="19">
        <v>3</v>
      </c>
      <c r="L197" s="19">
        <v>15</v>
      </c>
      <c r="M197" s="19">
        <f t="shared" si="44"/>
        <v>107</v>
      </c>
      <c r="N197" s="27">
        <f t="shared" si="41"/>
        <v>38673</v>
      </c>
    </row>
    <row r="198" spans="1:14" x14ac:dyDescent="0.25">
      <c r="A198" s="15">
        <f t="shared" si="43"/>
        <v>1</v>
      </c>
      <c r="B198" s="20">
        <f t="shared" si="45"/>
        <v>197</v>
      </c>
      <c r="C198" s="17">
        <f t="shared" si="46"/>
        <v>93</v>
      </c>
      <c r="D198" s="17" t="str">
        <f t="shared" si="47"/>
        <v>20051121</v>
      </c>
      <c r="E198" s="20" t="str">
        <f t="shared" si="42"/>
        <v>20051121093</v>
      </c>
      <c r="F198" s="19">
        <v>34</v>
      </c>
      <c r="G198" s="19">
        <v>7</v>
      </c>
      <c r="H198" s="19">
        <v>33</v>
      </c>
      <c r="I198" s="19">
        <v>42</v>
      </c>
      <c r="J198" s="19">
        <v>23</v>
      </c>
      <c r="K198" s="19">
        <v>13</v>
      </c>
      <c r="L198" s="19">
        <v>30</v>
      </c>
      <c r="M198" s="19">
        <f t="shared" si="44"/>
        <v>182</v>
      </c>
      <c r="N198" s="27">
        <f t="shared" si="40"/>
        <v>38677</v>
      </c>
    </row>
    <row r="199" spans="1:14" x14ac:dyDescent="0.25">
      <c r="A199" s="15">
        <f t="shared" si="43"/>
        <v>4</v>
      </c>
      <c r="B199" s="20">
        <f t="shared" si="45"/>
        <v>198</v>
      </c>
      <c r="C199" s="17">
        <f t="shared" si="46"/>
        <v>94</v>
      </c>
      <c r="D199" s="17" t="str">
        <f t="shared" si="47"/>
        <v>20051124</v>
      </c>
      <c r="E199" s="20" t="str">
        <f t="shared" si="42"/>
        <v>20051124094</v>
      </c>
      <c r="F199" s="19">
        <v>49</v>
      </c>
      <c r="G199" s="19">
        <v>11</v>
      </c>
      <c r="H199" s="19">
        <v>30</v>
      </c>
      <c r="I199" s="19">
        <v>41</v>
      </c>
      <c r="J199" s="19">
        <v>47</v>
      </c>
      <c r="K199" s="19">
        <v>9</v>
      </c>
      <c r="L199" s="19">
        <v>4</v>
      </c>
      <c r="M199" s="19">
        <f t="shared" si="44"/>
        <v>191</v>
      </c>
      <c r="N199" s="27">
        <f t="shared" si="41"/>
        <v>38680</v>
      </c>
    </row>
    <row r="200" spans="1:14" x14ac:dyDescent="0.25">
      <c r="A200" s="15">
        <f t="shared" si="43"/>
        <v>1</v>
      </c>
      <c r="B200" s="20">
        <f t="shared" si="45"/>
        <v>199</v>
      </c>
      <c r="C200" s="17">
        <f t="shared" si="46"/>
        <v>95</v>
      </c>
      <c r="D200" s="17" t="str">
        <f t="shared" si="47"/>
        <v>20051128</v>
      </c>
      <c r="E200" s="20" t="str">
        <f t="shared" si="42"/>
        <v>20051128095</v>
      </c>
      <c r="F200" s="19">
        <v>23</v>
      </c>
      <c r="G200" s="19">
        <v>40</v>
      </c>
      <c r="H200" s="19">
        <v>2</v>
      </c>
      <c r="I200" s="19">
        <v>25</v>
      </c>
      <c r="J200" s="19">
        <v>14</v>
      </c>
      <c r="K200" s="19">
        <v>26</v>
      </c>
      <c r="L200" s="19">
        <v>6</v>
      </c>
      <c r="M200" s="19">
        <f t="shared" si="44"/>
        <v>136</v>
      </c>
      <c r="N200" s="27">
        <f t="shared" si="40"/>
        <v>38684</v>
      </c>
    </row>
    <row r="201" spans="1:14" x14ac:dyDescent="0.25">
      <c r="A201" s="15">
        <f t="shared" si="43"/>
        <v>4</v>
      </c>
      <c r="B201" s="20">
        <f t="shared" si="45"/>
        <v>200</v>
      </c>
      <c r="C201" s="17">
        <f t="shared" si="46"/>
        <v>96</v>
      </c>
      <c r="D201" s="17" t="str">
        <f t="shared" si="47"/>
        <v>20051201</v>
      </c>
      <c r="E201" s="20" t="str">
        <f t="shared" si="42"/>
        <v>20051201096</v>
      </c>
      <c r="F201" s="19">
        <v>40</v>
      </c>
      <c r="G201" s="19">
        <v>39</v>
      </c>
      <c r="H201" s="19">
        <v>30</v>
      </c>
      <c r="I201" s="19">
        <v>43</v>
      </c>
      <c r="J201" s="19">
        <v>38</v>
      </c>
      <c r="K201" s="19">
        <v>7</v>
      </c>
      <c r="L201" s="19">
        <v>13</v>
      </c>
      <c r="M201" s="19">
        <f t="shared" si="44"/>
        <v>210</v>
      </c>
      <c r="N201" s="27">
        <f t="shared" si="41"/>
        <v>38687</v>
      </c>
    </row>
    <row r="202" spans="1:14" x14ac:dyDescent="0.25">
      <c r="A202" s="15">
        <f t="shared" si="43"/>
        <v>1</v>
      </c>
      <c r="B202" s="20">
        <f t="shared" si="45"/>
        <v>201</v>
      </c>
      <c r="C202" s="17">
        <f t="shared" si="46"/>
        <v>97</v>
      </c>
      <c r="D202" s="17" t="str">
        <f t="shared" si="47"/>
        <v>20051205</v>
      </c>
      <c r="E202" s="20" t="str">
        <f t="shared" si="42"/>
        <v>20051205097</v>
      </c>
      <c r="F202" s="19">
        <v>34</v>
      </c>
      <c r="G202" s="19">
        <v>47</v>
      </c>
      <c r="H202" s="19">
        <v>25</v>
      </c>
      <c r="I202" s="19">
        <v>40</v>
      </c>
      <c r="J202" s="19">
        <v>41</v>
      </c>
      <c r="K202" s="19">
        <v>31</v>
      </c>
      <c r="L202" s="19">
        <v>15</v>
      </c>
      <c r="M202" s="19">
        <f t="shared" si="44"/>
        <v>233</v>
      </c>
      <c r="N202" s="27">
        <f t="shared" si="40"/>
        <v>38691</v>
      </c>
    </row>
    <row r="203" spans="1:14" x14ac:dyDescent="0.25">
      <c r="A203" s="15">
        <f t="shared" si="43"/>
        <v>4</v>
      </c>
      <c r="B203" s="20">
        <f t="shared" si="45"/>
        <v>202</v>
      </c>
      <c r="C203" s="17">
        <f t="shared" si="46"/>
        <v>98</v>
      </c>
      <c r="D203" s="17" t="str">
        <f t="shared" si="47"/>
        <v>20051208</v>
      </c>
      <c r="E203" s="20" t="str">
        <f t="shared" si="42"/>
        <v>20051208098</v>
      </c>
      <c r="F203" s="19">
        <v>35</v>
      </c>
      <c r="G203" s="19">
        <v>26</v>
      </c>
      <c r="H203" s="19">
        <v>28</v>
      </c>
      <c r="I203" s="19">
        <v>48</v>
      </c>
      <c r="J203" s="19">
        <v>18</v>
      </c>
      <c r="K203" s="19">
        <v>13</v>
      </c>
      <c r="L203" s="19">
        <v>42</v>
      </c>
      <c r="M203" s="19">
        <f t="shared" si="44"/>
        <v>210</v>
      </c>
      <c r="N203" s="27">
        <f t="shared" si="41"/>
        <v>38694</v>
      </c>
    </row>
    <row r="204" spans="1:14" x14ac:dyDescent="0.25">
      <c r="A204" s="15">
        <f t="shared" si="43"/>
        <v>1</v>
      </c>
      <c r="B204" s="20">
        <f t="shared" si="45"/>
        <v>203</v>
      </c>
      <c r="C204" s="17">
        <f t="shared" si="46"/>
        <v>99</v>
      </c>
      <c r="D204" s="17" t="str">
        <f t="shared" si="47"/>
        <v>20051212</v>
      </c>
      <c r="E204" s="20" t="str">
        <f t="shared" si="42"/>
        <v>20051212099</v>
      </c>
      <c r="F204" s="19">
        <v>37</v>
      </c>
      <c r="G204" s="19">
        <v>28</v>
      </c>
      <c r="H204" s="19">
        <v>29</v>
      </c>
      <c r="I204" s="19">
        <v>36</v>
      </c>
      <c r="J204" s="19">
        <v>30</v>
      </c>
      <c r="K204" s="19">
        <v>26</v>
      </c>
      <c r="L204" s="19">
        <v>18</v>
      </c>
      <c r="M204" s="19">
        <f t="shared" si="44"/>
        <v>204</v>
      </c>
      <c r="N204" s="27">
        <f t="shared" si="40"/>
        <v>38698</v>
      </c>
    </row>
    <row r="205" spans="1:14" x14ac:dyDescent="0.25">
      <c r="A205" s="15">
        <f t="shared" si="43"/>
        <v>4</v>
      </c>
      <c r="B205" s="20">
        <f t="shared" si="45"/>
        <v>204</v>
      </c>
      <c r="C205" s="17">
        <f t="shared" si="46"/>
        <v>100</v>
      </c>
      <c r="D205" s="17" t="str">
        <f t="shared" si="47"/>
        <v>20051215</v>
      </c>
      <c r="E205" s="20" t="str">
        <f t="shared" si="42"/>
        <v>20051215100</v>
      </c>
      <c r="F205" s="19">
        <v>49</v>
      </c>
      <c r="G205" s="19">
        <v>32</v>
      </c>
      <c r="H205" s="19">
        <v>39</v>
      </c>
      <c r="I205" s="19">
        <v>16</v>
      </c>
      <c r="J205" s="19">
        <v>45</v>
      </c>
      <c r="K205" s="19">
        <v>7</v>
      </c>
      <c r="L205" s="19">
        <v>30</v>
      </c>
      <c r="M205" s="19">
        <f t="shared" si="44"/>
        <v>218</v>
      </c>
      <c r="N205" s="27">
        <f t="shared" si="41"/>
        <v>38701</v>
      </c>
    </row>
    <row r="206" spans="1:14" x14ac:dyDescent="0.25">
      <c r="A206" s="15">
        <f t="shared" si="43"/>
        <v>1</v>
      </c>
      <c r="B206" s="20">
        <f t="shared" si="45"/>
        <v>205</v>
      </c>
      <c r="C206" s="17">
        <f t="shared" si="46"/>
        <v>101</v>
      </c>
      <c r="D206" s="17" t="str">
        <f t="shared" si="47"/>
        <v>20051219</v>
      </c>
      <c r="E206" s="20" t="str">
        <f t="shared" si="42"/>
        <v>20051219101</v>
      </c>
      <c r="F206" s="19">
        <v>27</v>
      </c>
      <c r="G206" s="19">
        <v>20</v>
      </c>
      <c r="H206" s="19">
        <v>3</v>
      </c>
      <c r="I206" s="19">
        <v>22</v>
      </c>
      <c r="J206" s="19">
        <v>26</v>
      </c>
      <c r="K206" s="19">
        <v>21</v>
      </c>
      <c r="L206" s="19">
        <v>25</v>
      </c>
      <c r="M206" s="19">
        <f t="shared" si="44"/>
        <v>144</v>
      </c>
      <c r="N206" s="27">
        <f t="shared" si="40"/>
        <v>38705</v>
      </c>
    </row>
    <row r="207" spans="1:14" x14ac:dyDescent="0.25">
      <c r="A207" s="15">
        <f t="shared" si="43"/>
        <v>4</v>
      </c>
      <c r="B207" s="20">
        <f t="shared" si="45"/>
        <v>206</v>
      </c>
      <c r="C207" s="17">
        <f t="shared" si="46"/>
        <v>102</v>
      </c>
      <c r="D207" s="17" t="str">
        <f t="shared" si="47"/>
        <v>20051222</v>
      </c>
      <c r="E207" s="20" t="str">
        <f t="shared" si="42"/>
        <v>20051222102</v>
      </c>
      <c r="F207" s="19">
        <v>12</v>
      </c>
      <c r="G207" s="19">
        <v>22</v>
      </c>
      <c r="H207" s="19">
        <v>27</v>
      </c>
      <c r="I207" s="19">
        <v>47</v>
      </c>
      <c r="J207" s="19">
        <v>26</v>
      </c>
      <c r="K207" s="19">
        <v>24</v>
      </c>
      <c r="L207" s="19">
        <v>40</v>
      </c>
      <c r="M207" s="19">
        <f t="shared" si="44"/>
        <v>198</v>
      </c>
      <c r="N207" s="27">
        <f t="shared" si="41"/>
        <v>38708</v>
      </c>
    </row>
    <row r="208" spans="1:14" x14ac:dyDescent="0.25">
      <c r="A208" s="15">
        <f t="shared" si="43"/>
        <v>1</v>
      </c>
      <c r="B208" s="20">
        <f t="shared" si="45"/>
        <v>207</v>
      </c>
      <c r="C208" s="17">
        <f t="shared" si="46"/>
        <v>103</v>
      </c>
      <c r="D208" s="17" t="str">
        <f t="shared" si="47"/>
        <v>20051226</v>
      </c>
      <c r="E208" s="20" t="str">
        <f t="shared" si="42"/>
        <v>20051226103</v>
      </c>
      <c r="F208" s="19">
        <v>45</v>
      </c>
      <c r="G208" s="19">
        <v>27</v>
      </c>
      <c r="H208" s="19">
        <v>2</v>
      </c>
      <c r="I208" s="19">
        <v>1</v>
      </c>
      <c r="J208" s="19">
        <v>8</v>
      </c>
      <c r="K208" s="19">
        <v>7</v>
      </c>
      <c r="L208" s="19">
        <v>19</v>
      </c>
      <c r="M208" s="19">
        <f t="shared" si="44"/>
        <v>109</v>
      </c>
      <c r="N208" s="27">
        <f t="shared" si="40"/>
        <v>38712</v>
      </c>
    </row>
    <row r="209" spans="1:14" x14ac:dyDescent="0.25">
      <c r="A209" s="15">
        <f t="shared" si="43"/>
        <v>4</v>
      </c>
      <c r="B209" s="20">
        <f t="shared" si="45"/>
        <v>208</v>
      </c>
      <c r="C209" s="17">
        <f t="shared" si="46"/>
        <v>104</v>
      </c>
      <c r="D209" s="17" t="str">
        <f t="shared" si="47"/>
        <v>20051229</v>
      </c>
      <c r="E209" s="20" t="str">
        <f t="shared" si="42"/>
        <v>20051229104</v>
      </c>
      <c r="F209" s="19">
        <v>39</v>
      </c>
      <c r="G209" s="19">
        <v>13</v>
      </c>
      <c r="H209" s="19">
        <v>7</v>
      </c>
      <c r="I209" s="19">
        <v>31</v>
      </c>
      <c r="J209" s="19">
        <v>10</v>
      </c>
      <c r="K209" s="19">
        <v>6</v>
      </c>
      <c r="L209" s="19">
        <v>18</v>
      </c>
      <c r="M209" s="19">
        <f t="shared" si="44"/>
        <v>124</v>
      </c>
      <c r="N209" s="27">
        <f t="shared" si="41"/>
        <v>38715</v>
      </c>
    </row>
    <row r="210" spans="1:14" x14ac:dyDescent="0.25">
      <c r="A210" s="15">
        <f t="shared" si="43"/>
        <v>1</v>
      </c>
      <c r="B210" s="20">
        <f t="shared" si="45"/>
        <v>209</v>
      </c>
      <c r="C210" s="17">
        <v>1</v>
      </c>
      <c r="D210" s="17" t="str">
        <f t="shared" si="47"/>
        <v>20060102</v>
      </c>
      <c r="E210" s="20" t="str">
        <f t="shared" si="42"/>
        <v>20060102001</v>
      </c>
      <c r="F210" s="19">
        <v>6</v>
      </c>
      <c r="G210" s="19">
        <v>15</v>
      </c>
      <c r="H210" s="19">
        <v>22</v>
      </c>
      <c r="I210" s="19">
        <v>35</v>
      </c>
      <c r="J210" s="19">
        <v>41</v>
      </c>
      <c r="K210" s="19">
        <v>25</v>
      </c>
      <c r="L210" s="19">
        <v>32</v>
      </c>
      <c r="M210" s="19">
        <f t="shared" si="44"/>
        <v>176</v>
      </c>
      <c r="N210" s="27">
        <f t="shared" si="40"/>
        <v>38719</v>
      </c>
    </row>
    <row r="211" spans="1:14" x14ac:dyDescent="0.25">
      <c r="A211" s="15">
        <f t="shared" si="43"/>
        <v>4</v>
      </c>
      <c r="B211" s="20">
        <f t="shared" si="45"/>
        <v>210</v>
      </c>
      <c r="C211" s="17">
        <f t="shared" si="46"/>
        <v>2</v>
      </c>
      <c r="D211" s="17" t="str">
        <f t="shared" si="47"/>
        <v>20060105</v>
      </c>
      <c r="E211" s="20" t="str">
        <f t="shared" si="42"/>
        <v>20060105002</v>
      </c>
      <c r="F211" s="19">
        <v>18</v>
      </c>
      <c r="G211" s="19">
        <v>23</v>
      </c>
      <c r="H211" s="19">
        <v>48</v>
      </c>
      <c r="I211" s="19">
        <v>39</v>
      </c>
      <c r="J211" s="19">
        <v>38</v>
      </c>
      <c r="K211" s="19">
        <v>26</v>
      </c>
      <c r="L211" s="19">
        <v>45</v>
      </c>
      <c r="M211" s="19">
        <f t="shared" si="44"/>
        <v>237</v>
      </c>
      <c r="N211" s="27">
        <f t="shared" si="41"/>
        <v>38722</v>
      </c>
    </row>
    <row r="212" spans="1:14" x14ac:dyDescent="0.25">
      <c r="A212" s="15">
        <f t="shared" si="43"/>
        <v>1</v>
      </c>
      <c r="B212" s="20">
        <f t="shared" si="45"/>
        <v>211</v>
      </c>
      <c r="C212" s="17">
        <f t="shared" si="46"/>
        <v>3</v>
      </c>
      <c r="D212" s="17" t="str">
        <f t="shared" si="47"/>
        <v>20060109</v>
      </c>
      <c r="E212" s="20" t="str">
        <f t="shared" si="42"/>
        <v>20060109003</v>
      </c>
      <c r="F212" s="19">
        <v>22</v>
      </c>
      <c r="G212" s="19">
        <v>46</v>
      </c>
      <c r="H212" s="19">
        <v>20</v>
      </c>
      <c r="I212" s="19">
        <v>8</v>
      </c>
      <c r="J212" s="19">
        <v>39</v>
      </c>
      <c r="K212" s="19">
        <v>45</v>
      </c>
      <c r="L212" s="19">
        <v>31</v>
      </c>
      <c r="M212" s="19">
        <f t="shared" si="44"/>
        <v>211</v>
      </c>
      <c r="N212" s="27">
        <f t="shared" si="40"/>
        <v>38726</v>
      </c>
    </row>
    <row r="213" spans="1:14" x14ac:dyDescent="0.25">
      <c r="A213" s="15">
        <f t="shared" si="43"/>
        <v>4</v>
      </c>
      <c r="B213" s="20">
        <f t="shared" si="45"/>
        <v>212</v>
      </c>
      <c r="C213" s="17">
        <f t="shared" si="46"/>
        <v>4</v>
      </c>
      <c r="D213" s="17" t="str">
        <f t="shared" si="47"/>
        <v>20060112</v>
      </c>
      <c r="E213" s="20" t="str">
        <f t="shared" si="42"/>
        <v>20060112004</v>
      </c>
      <c r="F213" s="19">
        <v>22</v>
      </c>
      <c r="G213" s="19">
        <v>30</v>
      </c>
      <c r="H213" s="19">
        <v>28</v>
      </c>
      <c r="I213" s="19">
        <v>11</v>
      </c>
      <c r="J213" s="19">
        <v>7</v>
      </c>
      <c r="K213" s="19">
        <v>24</v>
      </c>
      <c r="L213" s="19">
        <v>35</v>
      </c>
      <c r="M213" s="19">
        <f t="shared" si="44"/>
        <v>157</v>
      </c>
      <c r="N213" s="27">
        <f t="shared" si="41"/>
        <v>38729</v>
      </c>
    </row>
    <row r="214" spans="1:14" x14ac:dyDescent="0.25">
      <c r="A214" s="15">
        <f t="shared" si="43"/>
        <v>1</v>
      </c>
      <c r="B214" s="20">
        <f t="shared" si="45"/>
        <v>213</v>
      </c>
      <c r="C214" s="17">
        <f t="shared" si="46"/>
        <v>5</v>
      </c>
      <c r="D214" s="17" t="str">
        <f t="shared" si="47"/>
        <v>20060116</v>
      </c>
      <c r="E214" s="20" t="str">
        <f t="shared" si="42"/>
        <v>20060116005</v>
      </c>
      <c r="F214" s="19">
        <v>19</v>
      </c>
      <c r="G214" s="19">
        <v>31</v>
      </c>
      <c r="H214" s="19">
        <v>12</v>
      </c>
      <c r="I214" s="19">
        <v>26</v>
      </c>
      <c r="J214" s="19">
        <v>4</v>
      </c>
      <c r="K214" s="19">
        <v>15</v>
      </c>
      <c r="L214" s="19">
        <v>41</v>
      </c>
      <c r="M214" s="19">
        <f t="shared" si="44"/>
        <v>148</v>
      </c>
      <c r="N214" s="27">
        <f t="shared" si="40"/>
        <v>38733</v>
      </c>
    </row>
    <row r="215" spans="1:14" x14ac:dyDescent="0.25">
      <c r="A215" s="15">
        <f t="shared" si="43"/>
        <v>4</v>
      </c>
      <c r="B215" s="20">
        <f t="shared" si="45"/>
        <v>214</v>
      </c>
      <c r="C215" s="17">
        <f t="shared" si="46"/>
        <v>6</v>
      </c>
      <c r="D215" s="17" t="str">
        <f t="shared" si="47"/>
        <v>20060119</v>
      </c>
      <c r="E215" s="20" t="str">
        <f t="shared" si="42"/>
        <v>20060119006</v>
      </c>
      <c r="F215" s="19">
        <v>3</v>
      </c>
      <c r="G215" s="19">
        <v>26</v>
      </c>
      <c r="H215" s="19">
        <v>18</v>
      </c>
      <c r="I215" s="19">
        <v>20</v>
      </c>
      <c r="J215" s="19">
        <v>21</v>
      </c>
      <c r="K215" s="19">
        <v>11</v>
      </c>
      <c r="L215" s="19">
        <v>24</v>
      </c>
      <c r="M215" s="19">
        <f t="shared" si="44"/>
        <v>123</v>
      </c>
      <c r="N215" s="27">
        <f t="shared" si="41"/>
        <v>38736</v>
      </c>
    </row>
    <row r="216" spans="1:14" x14ac:dyDescent="0.25">
      <c r="A216" s="15">
        <f t="shared" si="43"/>
        <v>1</v>
      </c>
      <c r="B216" s="20">
        <f t="shared" si="45"/>
        <v>215</v>
      </c>
      <c r="C216" s="17">
        <f t="shared" si="46"/>
        <v>7</v>
      </c>
      <c r="D216" s="17" t="str">
        <f t="shared" si="47"/>
        <v>20060123</v>
      </c>
      <c r="E216" s="20" t="str">
        <f t="shared" si="42"/>
        <v>20060123007</v>
      </c>
      <c r="F216" s="19">
        <v>40</v>
      </c>
      <c r="G216" s="19">
        <v>1</v>
      </c>
      <c r="H216" s="19">
        <v>16</v>
      </c>
      <c r="I216" s="19">
        <v>23</v>
      </c>
      <c r="J216" s="19">
        <v>21</v>
      </c>
      <c r="K216" s="19">
        <v>11</v>
      </c>
      <c r="L216" s="19">
        <v>10</v>
      </c>
      <c r="M216" s="19">
        <f t="shared" si="44"/>
        <v>122</v>
      </c>
      <c r="N216" s="27">
        <f t="shared" ref="N216:N232" si="48">N215+4</f>
        <v>38740</v>
      </c>
    </row>
    <row r="217" spans="1:14" x14ac:dyDescent="0.25">
      <c r="A217" s="15">
        <f t="shared" si="43"/>
        <v>4</v>
      </c>
      <c r="B217" s="20">
        <f t="shared" si="45"/>
        <v>216</v>
      </c>
      <c r="C217" s="17">
        <f t="shared" si="46"/>
        <v>8</v>
      </c>
      <c r="D217" s="17" t="str">
        <f t="shared" si="47"/>
        <v>20060126</v>
      </c>
      <c r="E217" s="20" t="str">
        <f t="shared" si="42"/>
        <v>20060126008</v>
      </c>
      <c r="F217" s="19">
        <v>10</v>
      </c>
      <c r="G217" s="19">
        <v>29</v>
      </c>
      <c r="H217" s="19">
        <v>43</v>
      </c>
      <c r="I217" s="19">
        <v>30</v>
      </c>
      <c r="J217" s="19">
        <v>47</v>
      </c>
      <c r="K217" s="19">
        <v>32</v>
      </c>
      <c r="L217" s="19">
        <v>35</v>
      </c>
      <c r="M217" s="19">
        <f t="shared" si="44"/>
        <v>226</v>
      </c>
      <c r="N217" s="27">
        <f t="shared" ref="N217:N233" si="49">N216+3</f>
        <v>38743</v>
      </c>
    </row>
    <row r="218" spans="1:14" x14ac:dyDescent="0.25">
      <c r="A218" s="15">
        <f t="shared" si="43"/>
        <v>1</v>
      </c>
      <c r="B218" s="20">
        <f t="shared" si="45"/>
        <v>217</v>
      </c>
      <c r="C218" s="17">
        <f t="shared" si="46"/>
        <v>9</v>
      </c>
      <c r="D218" s="17" t="str">
        <f t="shared" si="47"/>
        <v>20060130</v>
      </c>
      <c r="E218" s="20" t="str">
        <f t="shared" si="42"/>
        <v>20060130009</v>
      </c>
      <c r="F218" s="19">
        <v>5</v>
      </c>
      <c r="G218" s="19">
        <v>42</v>
      </c>
      <c r="H218" s="19">
        <v>4</v>
      </c>
      <c r="I218" s="19">
        <v>26</v>
      </c>
      <c r="J218" s="19">
        <v>32</v>
      </c>
      <c r="K218" s="19">
        <v>13</v>
      </c>
      <c r="L218" s="19">
        <v>46</v>
      </c>
      <c r="M218" s="19">
        <f t="shared" si="44"/>
        <v>168</v>
      </c>
      <c r="N218" s="27">
        <f t="shared" si="48"/>
        <v>38747</v>
      </c>
    </row>
    <row r="219" spans="1:14" x14ac:dyDescent="0.25">
      <c r="A219" s="15">
        <f t="shared" si="43"/>
        <v>4</v>
      </c>
      <c r="B219" s="20">
        <f t="shared" si="45"/>
        <v>218</v>
      </c>
      <c r="C219" s="17">
        <f t="shared" si="46"/>
        <v>10</v>
      </c>
      <c r="D219" s="17" t="str">
        <f t="shared" si="47"/>
        <v>20060202</v>
      </c>
      <c r="E219" s="20" t="str">
        <f t="shared" si="42"/>
        <v>20060202010</v>
      </c>
      <c r="F219" s="19">
        <v>2</v>
      </c>
      <c r="G219" s="19">
        <v>20</v>
      </c>
      <c r="H219" s="19">
        <v>8</v>
      </c>
      <c r="I219" s="19">
        <v>33</v>
      </c>
      <c r="J219" s="19">
        <v>26</v>
      </c>
      <c r="K219" s="19">
        <v>12</v>
      </c>
      <c r="L219" s="19">
        <v>13</v>
      </c>
      <c r="M219" s="19">
        <f t="shared" si="44"/>
        <v>114</v>
      </c>
      <c r="N219" s="27">
        <f t="shared" si="49"/>
        <v>38750</v>
      </c>
    </row>
    <row r="220" spans="1:14" x14ac:dyDescent="0.25">
      <c r="A220" s="15">
        <f t="shared" si="43"/>
        <v>1</v>
      </c>
      <c r="B220" s="20">
        <f t="shared" si="45"/>
        <v>219</v>
      </c>
      <c r="C220" s="17">
        <f t="shared" si="46"/>
        <v>11</v>
      </c>
      <c r="D220" s="17" t="str">
        <f t="shared" si="47"/>
        <v>20060206</v>
      </c>
      <c r="E220" s="20" t="str">
        <f t="shared" si="42"/>
        <v>20060206011</v>
      </c>
      <c r="F220" s="19">
        <v>11</v>
      </c>
      <c r="G220" s="19">
        <v>25</v>
      </c>
      <c r="H220" s="19">
        <v>18</v>
      </c>
      <c r="I220" s="19">
        <v>29</v>
      </c>
      <c r="J220" s="19">
        <v>49</v>
      </c>
      <c r="K220" s="19">
        <v>15</v>
      </c>
      <c r="L220" s="19">
        <v>5</v>
      </c>
      <c r="M220" s="19">
        <f t="shared" si="44"/>
        <v>152</v>
      </c>
      <c r="N220" s="27">
        <f t="shared" si="48"/>
        <v>38754</v>
      </c>
    </row>
    <row r="221" spans="1:14" x14ac:dyDescent="0.25">
      <c r="A221" s="15">
        <f t="shared" si="43"/>
        <v>4</v>
      </c>
      <c r="B221" s="20">
        <f t="shared" si="45"/>
        <v>220</v>
      </c>
      <c r="C221" s="17">
        <f t="shared" si="46"/>
        <v>12</v>
      </c>
      <c r="D221" s="17" t="str">
        <f t="shared" si="47"/>
        <v>20060209</v>
      </c>
      <c r="E221" s="20" t="str">
        <f t="shared" si="42"/>
        <v>20060209012</v>
      </c>
      <c r="F221" s="19">
        <v>21</v>
      </c>
      <c r="G221" s="19">
        <v>12</v>
      </c>
      <c r="H221" s="19">
        <v>39</v>
      </c>
      <c r="I221" s="19">
        <v>38</v>
      </c>
      <c r="J221" s="19">
        <v>34</v>
      </c>
      <c r="K221" s="19">
        <v>37</v>
      </c>
      <c r="L221" s="19">
        <v>27</v>
      </c>
      <c r="M221" s="19">
        <f t="shared" si="44"/>
        <v>208</v>
      </c>
      <c r="N221" s="27">
        <f t="shared" si="49"/>
        <v>38757</v>
      </c>
    </row>
    <row r="222" spans="1:14" x14ac:dyDescent="0.25">
      <c r="A222" s="15">
        <f t="shared" si="43"/>
        <v>1</v>
      </c>
      <c r="B222" s="20">
        <f t="shared" si="45"/>
        <v>221</v>
      </c>
      <c r="C222" s="17">
        <f t="shared" si="46"/>
        <v>13</v>
      </c>
      <c r="D222" s="17" t="str">
        <f t="shared" si="47"/>
        <v>20060213</v>
      </c>
      <c r="E222" s="20" t="str">
        <f t="shared" si="42"/>
        <v>20060213013</v>
      </c>
      <c r="F222" s="19">
        <v>3</v>
      </c>
      <c r="G222" s="19">
        <v>23</v>
      </c>
      <c r="H222" s="19">
        <v>36</v>
      </c>
      <c r="I222" s="19">
        <v>49</v>
      </c>
      <c r="J222" s="19">
        <v>15</v>
      </c>
      <c r="K222" s="19">
        <v>21</v>
      </c>
      <c r="L222" s="19">
        <v>10</v>
      </c>
      <c r="M222" s="19">
        <f t="shared" si="44"/>
        <v>157</v>
      </c>
      <c r="N222" s="27">
        <f t="shared" si="48"/>
        <v>38761</v>
      </c>
    </row>
    <row r="223" spans="1:14" x14ac:dyDescent="0.25">
      <c r="A223" s="15">
        <f t="shared" si="43"/>
        <v>4</v>
      </c>
      <c r="B223" s="20">
        <f t="shared" si="45"/>
        <v>222</v>
      </c>
      <c r="C223" s="17">
        <f t="shared" si="46"/>
        <v>14</v>
      </c>
      <c r="D223" s="17" t="str">
        <f t="shared" si="47"/>
        <v>20060216</v>
      </c>
      <c r="E223" s="20" t="str">
        <f t="shared" si="42"/>
        <v>20060216014</v>
      </c>
      <c r="F223" s="19">
        <v>6</v>
      </c>
      <c r="G223" s="19">
        <v>29</v>
      </c>
      <c r="H223" s="19">
        <v>26</v>
      </c>
      <c r="I223" s="19">
        <v>23</v>
      </c>
      <c r="J223" s="19">
        <v>5</v>
      </c>
      <c r="K223" s="19">
        <v>18</v>
      </c>
      <c r="L223" s="19">
        <v>16</v>
      </c>
      <c r="M223" s="19">
        <f t="shared" si="44"/>
        <v>123</v>
      </c>
      <c r="N223" s="27">
        <f t="shared" si="49"/>
        <v>38764</v>
      </c>
    </row>
    <row r="224" spans="1:14" x14ac:dyDescent="0.25">
      <c r="A224" s="15">
        <f t="shared" si="43"/>
        <v>1</v>
      </c>
      <c r="B224" s="20">
        <f t="shared" si="45"/>
        <v>223</v>
      </c>
      <c r="C224" s="17">
        <f t="shared" si="46"/>
        <v>15</v>
      </c>
      <c r="D224" s="17" t="str">
        <f t="shared" si="47"/>
        <v>20060220</v>
      </c>
      <c r="E224" s="20" t="str">
        <f t="shared" si="42"/>
        <v>20060220015</v>
      </c>
      <c r="F224" s="19">
        <v>21</v>
      </c>
      <c r="G224" s="19">
        <v>2</v>
      </c>
      <c r="H224" s="19">
        <v>18</v>
      </c>
      <c r="I224" s="19">
        <v>37</v>
      </c>
      <c r="J224" s="19">
        <v>43</v>
      </c>
      <c r="K224" s="19">
        <v>14</v>
      </c>
      <c r="L224" s="19">
        <v>13</v>
      </c>
      <c r="M224" s="19">
        <f t="shared" si="44"/>
        <v>148</v>
      </c>
      <c r="N224" s="27">
        <f t="shared" si="48"/>
        <v>38768</v>
      </c>
    </row>
    <row r="225" spans="1:14" x14ac:dyDescent="0.25">
      <c r="A225" s="15">
        <f t="shared" si="43"/>
        <v>4</v>
      </c>
      <c r="B225" s="20">
        <f t="shared" si="45"/>
        <v>224</v>
      </c>
      <c r="C225" s="17">
        <f t="shared" si="46"/>
        <v>16</v>
      </c>
      <c r="D225" s="17" t="str">
        <f t="shared" si="47"/>
        <v>20060223</v>
      </c>
      <c r="E225" s="20" t="str">
        <f t="shared" si="42"/>
        <v>20060223016</v>
      </c>
      <c r="F225" s="19">
        <v>7</v>
      </c>
      <c r="G225" s="19">
        <v>16</v>
      </c>
      <c r="H225" s="19">
        <v>33</v>
      </c>
      <c r="I225" s="19">
        <v>17</v>
      </c>
      <c r="J225" s="19">
        <v>12</v>
      </c>
      <c r="K225" s="19">
        <v>19</v>
      </c>
      <c r="L225" s="19">
        <v>39</v>
      </c>
      <c r="M225" s="19">
        <f t="shared" si="44"/>
        <v>143</v>
      </c>
      <c r="N225" s="27">
        <f t="shared" si="49"/>
        <v>38771</v>
      </c>
    </row>
    <row r="226" spans="1:14" x14ac:dyDescent="0.25">
      <c r="A226" s="15">
        <f t="shared" si="43"/>
        <v>1</v>
      </c>
      <c r="B226" s="20">
        <f t="shared" si="45"/>
        <v>225</v>
      </c>
      <c r="C226" s="17">
        <f t="shared" si="46"/>
        <v>17</v>
      </c>
      <c r="D226" s="17" t="str">
        <f t="shared" si="47"/>
        <v>20060227</v>
      </c>
      <c r="E226" s="20" t="str">
        <f t="shared" si="42"/>
        <v>20060227017</v>
      </c>
      <c r="F226" s="19">
        <v>9</v>
      </c>
      <c r="G226" s="19">
        <v>36</v>
      </c>
      <c r="H226" s="19">
        <v>42</v>
      </c>
      <c r="I226" s="19">
        <v>17</v>
      </c>
      <c r="J226" s="19">
        <v>27</v>
      </c>
      <c r="K226" s="19">
        <v>18</v>
      </c>
      <c r="L226" s="19">
        <v>10</v>
      </c>
      <c r="M226" s="19">
        <f t="shared" si="44"/>
        <v>159</v>
      </c>
      <c r="N226" s="27">
        <f t="shared" si="48"/>
        <v>38775</v>
      </c>
    </row>
    <row r="227" spans="1:14" x14ac:dyDescent="0.25">
      <c r="A227" s="15">
        <f t="shared" si="43"/>
        <v>4</v>
      </c>
      <c r="B227" s="20">
        <f t="shared" si="45"/>
        <v>226</v>
      </c>
      <c r="C227" s="17">
        <f t="shared" si="46"/>
        <v>18</v>
      </c>
      <c r="D227" s="17" t="str">
        <f t="shared" si="47"/>
        <v>20060302</v>
      </c>
      <c r="E227" s="20" t="str">
        <f t="shared" si="42"/>
        <v>20060302018</v>
      </c>
      <c r="F227" s="19">
        <v>5</v>
      </c>
      <c r="G227" s="19">
        <v>8</v>
      </c>
      <c r="H227" s="19">
        <v>32</v>
      </c>
      <c r="I227" s="19">
        <v>31</v>
      </c>
      <c r="J227" s="19">
        <v>24</v>
      </c>
      <c r="K227" s="19">
        <v>39</v>
      </c>
      <c r="L227" s="19">
        <v>4</v>
      </c>
      <c r="M227" s="19">
        <f t="shared" si="44"/>
        <v>143</v>
      </c>
      <c r="N227" s="27">
        <f t="shared" si="49"/>
        <v>38778</v>
      </c>
    </row>
    <row r="228" spans="1:14" x14ac:dyDescent="0.25">
      <c r="A228" s="15">
        <f t="shared" si="43"/>
        <v>1</v>
      </c>
      <c r="B228" s="20">
        <f t="shared" si="45"/>
        <v>227</v>
      </c>
      <c r="C228" s="17">
        <f t="shared" si="46"/>
        <v>19</v>
      </c>
      <c r="D228" s="17" t="str">
        <f t="shared" si="47"/>
        <v>20060306</v>
      </c>
      <c r="E228" s="20" t="str">
        <f t="shared" si="42"/>
        <v>20060306019</v>
      </c>
      <c r="F228" s="19">
        <v>31</v>
      </c>
      <c r="G228" s="19">
        <v>9</v>
      </c>
      <c r="H228" s="19">
        <v>7</v>
      </c>
      <c r="I228" s="19">
        <v>34</v>
      </c>
      <c r="J228" s="19">
        <v>5</v>
      </c>
      <c r="K228" s="19">
        <v>15</v>
      </c>
      <c r="L228" s="19">
        <v>38</v>
      </c>
      <c r="M228" s="19">
        <f t="shared" si="44"/>
        <v>139</v>
      </c>
      <c r="N228" s="27">
        <f t="shared" si="48"/>
        <v>38782</v>
      </c>
    </row>
    <row r="229" spans="1:14" x14ac:dyDescent="0.25">
      <c r="A229" s="15">
        <f t="shared" si="43"/>
        <v>4</v>
      </c>
      <c r="B229" s="20">
        <f t="shared" si="45"/>
        <v>228</v>
      </c>
      <c r="C229" s="17">
        <f t="shared" si="46"/>
        <v>20</v>
      </c>
      <c r="D229" s="17" t="str">
        <f t="shared" si="47"/>
        <v>20060309</v>
      </c>
      <c r="E229" s="20" t="str">
        <f t="shared" si="42"/>
        <v>20060309020</v>
      </c>
      <c r="F229" s="19">
        <v>13</v>
      </c>
      <c r="G229" s="19">
        <v>15</v>
      </c>
      <c r="H229" s="19">
        <v>18</v>
      </c>
      <c r="I229" s="19">
        <v>6</v>
      </c>
      <c r="J229" s="19">
        <v>17</v>
      </c>
      <c r="K229" s="19">
        <v>22</v>
      </c>
      <c r="L229" s="19">
        <v>3</v>
      </c>
      <c r="M229" s="19">
        <f t="shared" si="44"/>
        <v>94</v>
      </c>
      <c r="N229" s="27">
        <f t="shared" si="49"/>
        <v>38785</v>
      </c>
    </row>
    <row r="230" spans="1:14" x14ac:dyDescent="0.25">
      <c r="A230" s="15">
        <f t="shared" si="43"/>
        <v>1</v>
      </c>
      <c r="B230" s="20">
        <f t="shared" si="45"/>
        <v>229</v>
      </c>
      <c r="C230" s="17">
        <f t="shared" si="46"/>
        <v>21</v>
      </c>
      <c r="D230" s="17" t="str">
        <f t="shared" si="47"/>
        <v>20060313</v>
      </c>
      <c r="E230" s="20" t="str">
        <f t="shared" si="42"/>
        <v>20060313021</v>
      </c>
      <c r="F230" s="19">
        <v>25</v>
      </c>
      <c r="G230" s="19">
        <v>39</v>
      </c>
      <c r="H230" s="19">
        <v>35</v>
      </c>
      <c r="I230" s="19">
        <v>21</v>
      </c>
      <c r="J230" s="19">
        <v>42</v>
      </c>
      <c r="K230" s="19">
        <v>4</v>
      </c>
      <c r="L230" s="19">
        <v>45</v>
      </c>
      <c r="M230" s="19">
        <f t="shared" si="44"/>
        <v>211</v>
      </c>
      <c r="N230" s="27">
        <f t="shared" si="48"/>
        <v>38789</v>
      </c>
    </row>
    <row r="231" spans="1:14" x14ac:dyDescent="0.25">
      <c r="A231" s="15">
        <f t="shared" si="43"/>
        <v>4</v>
      </c>
      <c r="B231" s="20">
        <f t="shared" si="45"/>
        <v>230</v>
      </c>
      <c r="C231" s="17">
        <f t="shared" si="46"/>
        <v>22</v>
      </c>
      <c r="D231" s="17" t="str">
        <f t="shared" si="47"/>
        <v>20060316</v>
      </c>
      <c r="E231" s="20" t="str">
        <f t="shared" si="42"/>
        <v>20060316022</v>
      </c>
      <c r="F231" s="19">
        <v>46</v>
      </c>
      <c r="G231" s="19">
        <v>45</v>
      </c>
      <c r="H231" s="19">
        <v>3</v>
      </c>
      <c r="I231" s="19">
        <v>42</v>
      </c>
      <c r="J231" s="19">
        <v>9</v>
      </c>
      <c r="K231" s="19">
        <v>18</v>
      </c>
      <c r="L231" s="19">
        <v>5</v>
      </c>
      <c r="M231" s="19">
        <f t="shared" si="44"/>
        <v>168</v>
      </c>
      <c r="N231" s="27">
        <f t="shared" si="49"/>
        <v>38792</v>
      </c>
    </row>
    <row r="232" spans="1:14" x14ac:dyDescent="0.25">
      <c r="A232" s="15">
        <f t="shared" si="43"/>
        <v>1</v>
      </c>
      <c r="B232" s="20">
        <f t="shared" si="45"/>
        <v>231</v>
      </c>
      <c r="C232" s="17">
        <f t="shared" si="46"/>
        <v>23</v>
      </c>
      <c r="D232" s="17" t="str">
        <f t="shared" si="47"/>
        <v>20060320</v>
      </c>
      <c r="E232" s="20" t="str">
        <f t="shared" si="42"/>
        <v>20060320023</v>
      </c>
      <c r="F232" s="19">
        <v>40</v>
      </c>
      <c r="G232" s="19">
        <v>12</v>
      </c>
      <c r="H232" s="19">
        <v>49</v>
      </c>
      <c r="I232" s="19">
        <v>28</v>
      </c>
      <c r="J232" s="19">
        <v>47</v>
      </c>
      <c r="K232" s="19">
        <v>30</v>
      </c>
      <c r="L232" s="19">
        <v>3</v>
      </c>
      <c r="M232" s="19">
        <f t="shared" si="44"/>
        <v>209</v>
      </c>
      <c r="N232" s="27">
        <f t="shared" si="48"/>
        <v>38796</v>
      </c>
    </row>
    <row r="233" spans="1:14" x14ac:dyDescent="0.25">
      <c r="A233" s="15">
        <f t="shared" si="43"/>
        <v>4</v>
      </c>
      <c r="B233" s="20">
        <f t="shared" si="45"/>
        <v>232</v>
      </c>
      <c r="C233" s="17">
        <f t="shared" si="46"/>
        <v>24</v>
      </c>
      <c r="D233" s="17" t="str">
        <f t="shared" si="47"/>
        <v>20060323</v>
      </c>
      <c r="E233" s="20" t="str">
        <f t="shared" si="42"/>
        <v>20060323024</v>
      </c>
      <c r="F233" s="19">
        <v>38</v>
      </c>
      <c r="G233" s="19">
        <v>46</v>
      </c>
      <c r="H233" s="19">
        <v>28</v>
      </c>
      <c r="I233" s="19">
        <v>29</v>
      </c>
      <c r="J233" s="19">
        <v>7</v>
      </c>
      <c r="K233" s="19">
        <v>23</v>
      </c>
      <c r="L233" s="19">
        <v>14</v>
      </c>
      <c r="M233" s="19">
        <f t="shared" si="44"/>
        <v>185</v>
      </c>
      <c r="N233" s="27">
        <f t="shared" si="49"/>
        <v>38799</v>
      </c>
    </row>
    <row r="234" spans="1:14" x14ac:dyDescent="0.25">
      <c r="A234" s="15">
        <f t="shared" si="43"/>
        <v>2</v>
      </c>
      <c r="B234" s="20">
        <f t="shared" si="45"/>
        <v>233</v>
      </c>
      <c r="C234" s="17">
        <f t="shared" si="46"/>
        <v>25</v>
      </c>
      <c r="D234" s="17" t="str">
        <f t="shared" si="47"/>
        <v>20060328</v>
      </c>
      <c r="E234" s="20" t="str">
        <f t="shared" si="42"/>
        <v>20060328025</v>
      </c>
      <c r="F234" s="19">
        <v>15</v>
      </c>
      <c r="G234" s="19">
        <v>8</v>
      </c>
      <c r="H234" s="19">
        <v>45</v>
      </c>
      <c r="I234" s="19">
        <v>9</v>
      </c>
      <c r="J234" s="19">
        <v>5</v>
      </c>
      <c r="K234" s="19">
        <v>29</v>
      </c>
      <c r="L234" s="19">
        <v>18</v>
      </c>
      <c r="M234" s="19">
        <f t="shared" si="44"/>
        <v>129</v>
      </c>
      <c r="N234" s="27">
        <v>38804</v>
      </c>
    </row>
    <row r="235" spans="1:14" x14ac:dyDescent="0.25">
      <c r="A235" s="15">
        <f t="shared" si="43"/>
        <v>4</v>
      </c>
      <c r="B235" s="20">
        <f t="shared" si="45"/>
        <v>234</v>
      </c>
      <c r="C235" s="17">
        <f t="shared" si="46"/>
        <v>26</v>
      </c>
      <c r="D235" s="17" t="str">
        <f t="shared" si="47"/>
        <v>20060330</v>
      </c>
      <c r="E235" s="20" t="str">
        <f t="shared" si="42"/>
        <v>20060330026</v>
      </c>
      <c r="F235" s="19">
        <v>12</v>
      </c>
      <c r="G235" s="19">
        <v>31</v>
      </c>
      <c r="H235" s="19">
        <v>48</v>
      </c>
      <c r="I235" s="19">
        <v>26</v>
      </c>
      <c r="J235" s="19">
        <v>17</v>
      </c>
      <c r="K235" s="19">
        <v>35</v>
      </c>
      <c r="L235" s="19">
        <v>40</v>
      </c>
      <c r="M235" s="19">
        <f t="shared" si="44"/>
        <v>209</v>
      </c>
      <c r="N235" s="27">
        <f>N234+2</f>
        <v>38806</v>
      </c>
    </row>
    <row r="236" spans="1:14" x14ac:dyDescent="0.25">
      <c r="A236" s="15">
        <f t="shared" si="43"/>
        <v>2</v>
      </c>
      <c r="B236" s="20">
        <f t="shared" si="45"/>
        <v>235</v>
      </c>
      <c r="C236" s="17">
        <f t="shared" si="46"/>
        <v>27</v>
      </c>
      <c r="D236" s="17" t="str">
        <f t="shared" si="47"/>
        <v>20060404</v>
      </c>
      <c r="E236" s="20" t="str">
        <f t="shared" si="42"/>
        <v>20060404027</v>
      </c>
      <c r="F236" s="19">
        <v>11</v>
      </c>
      <c r="G236" s="19">
        <v>10</v>
      </c>
      <c r="H236" s="19">
        <v>34</v>
      </c>
      <c r="I236" s="19">
        <v>32</v>
      </c>
      <c r="J236" s="19">
        <v>39</v>
      </c>
      <c r="K236" s="19">
        <v>6</v>
      </c>
      <c r="L236" s="19">
        <v>7</v>
      </c>
      <c r="M236" s="19">
        <f t="shared" si="44"/>
        <v>139</v>
      </c>
      <c r="N236" s="27">
        <f>N235+5</f>
        <v>38811</v>
      </c>
    </row>
    <row r="237" spans="1:14" x14ac:dyDescent="0.25">
      <c r="A237" s="15">
        <f t="shared" si="43"/>
        <v>4</v>
      </c>
      <c r="B237" s="20">
        <f t="shared" si="45"/>
        <v>236</v>
      </c>
      <c r="C237" s="17">
        <f t="shared" si="46"/>
        <v>28</v>
      </c>
      <c r="D237" s="17" t="str">
        <f t="shared" si="47"/>
        <v>20060406</v>
      </c>
      <c r="E237" s="20" t="str">
        <f t="shared" si="42"/>
        <v>20060406028</v>
      </c>
      <c r="F237" s="19">
        <v>38</v>
      </c>
      <c r="G237" s="19">
        <v>23</v>
      </c>
      <c r="H237" s="19">
        <v>42</v>
      </c>
      <c r="I237" s="19">
        <v>36</v>
      </c>
      <c r="J237" s="19">
        <v>40</v>
      </c>
      <c r="K237" s="19">
        <v>5</v>
      </c>
      <c r="L237" s="19">
        <v>1</v>
      </c>
      <c r="M237" s="19">
        <f t="shared" si="44"/>
        <v>185</v>
      </c>
      <c r="N237" s="27">
        <f>N236+2</f>
        <v>38813</v>
      </c>
    </row>
    <row r="238" spans="1:14" x14ac:dyDescent="0.25">
      <c r="A238" s="15">
        <f t="shared" si="43"/>
        <v>2</v>
      </c>
      <c r="B238" s="20">
        <f t="shared" si="45"/>
        <v>237</v>
      </c>
      <c r="C238" s="17">
        <f t="shared" si="46"/>
        <v>29</v>
      </c>
      <c r="D238" s="17" t="str">
        <f t="shared" si="47"/>
        <v>20060411</v>
      </c>
      <c r="E238" s="20" t="str">
        <f t="shared" si="42"/>
        <v>20060411029</v>
      </c>
      <c r="F238" s="19">
        <v>16</v>
      </c>
      <c r="G238" s="19">
        <v>8</v>
      </c>
      <c r="H238" s="19">
        <v>37</v>
      </c>
      <c r="I238" s="19">
        <v>22</v>
      </c>
      <c r="J238" s="19">
        <v>38</v>
      </c>
      <c r="K238" s="19">
        <v>10</v>
      </c>
      <c r="L238" s="19">
        <v>14</v>
      </c>
      <c r="M238" s="19">
        <f t="shared" si="44"/>
        <v>145</v>
      </c>
      <c r="N238" s="27">
        <f>N237+5</f>
        <v>38818</v>
      </c>
    </row>
    <row r="239" spans="1:14" x14ac:dyDescent="0.25">
      <c r="A239" s="15">
        <f t="shared" si="43"/>
        <v>4</v>
      </c>
      <c r="B239" s="20">
        <f t="shared" si="45"/>
        <v>238</v>
      </c>
      <c r="C239" s="17">
        <f t="shared" si="46"/>
        <v>30</v>
      </c>
      <c r="D239" s="17" t="str">
        <f t="shared" si="47"/>
        <v>20060413</v>
      </c>
      <c r="E239" s="20" t="str">
        <f t="shared" si="42"/>
        <v>20060413030</v>
      </c>
      <c r="F239" s="19">
        <v>37</v>
      </c>
      <c r="G239" s="19">
        <v>45</v>
      </c>
      <c r="H239" s="19">
        <v>23</v>
      </c>
      <c r="I239" s="19">
        <v>39</v>
      </c>
      <c r="J239" s="19">
        <v>1</v>
      </c>
      <c r="K239" s="19">
        <v>25</v>
      </c>
      <c r="L239" s="19">
        <v>21</v>
      </c>
      <c r="M239" s="19">
        <f t="shared" si="44"/>
        <v>191</v>
      </c>
      <c r="N239" s="27">
        <f>N238+2</f>
        <v>38820</v>
      </c>
    </row>
    <row r="240" spans="1:14" x14ac:dyDescent="0.25">
      <c r="A240" s="15">
        <f t="shared" si="43"/>
        <v>2</v>
      </c>
      <c r="B240" s="20">
        <f t="shared" si="45"/>
        <v>239</v>
      </c>
      <c r="C240" s="17">
        <f t="shared" si="46"/>
        <v>31</v>
      </c>
      <c r="D240" s="17" t="str">
        <f t="shared" si="47"/>
        <v>20060418</v>
      </c>
      <c r="E240" s="20" t="str">
        <f t="shared" si="42"/>
        <v>20060418031</v>
      </c>
      <c r="F240" s="19">
        <v>4</v>
      </c>
      <c r="G240" s="19">
        <v>16</v>
      </c>
      <c r="H240" s="19">
        <v>20</v>
      </c>
      <c r="I240" s="19">
        <v>14</v>
      </c>
      <c r="J240" s="19">
        <v>41</v>
      </c>
      <c r="K240" s="19">
        <v>6</v>
      </c>
      <c r="L240" s="19">
        <v>2</v>
      </c>
      <c r="M240" s="19">
        <f t="shared" si="44"/>
        <v>103</v>
      </c>
      <c r="N240" s="27">
        <f t="shared" ref="N240" si="50">N239+5</f>
        <v>38825</v>
      </c>
    </row>
    <row r="241" spans="1:14" x14ac:dyDescent="0.25">
      <c r="A241" s="15">
        <f t="shared" si="43"/>
        <v>4</v>
      </c>
      <c r="B241" s="20">
        <f t="shared" si="45"/>
        <v>240</v>
      </c>
      <c r="C241" s="17">
        <f t="shared" si="46"/>
        <v>32</v>
      </c>
      <c r="D241" s="17" t="str">
        <f t="shared" si="47"/>
        <v>20060420</v>
      </c>
      <c r="E241" s="20" t="str">
        <f t="shared" si="42"/>
        <v>20060420032</v>
      </c>
      <c r="F241" s="19">
        <v>42</v>
      </c>
      <c r="G241" s="19">
        <v>34</v>
      </c>
      <c r="H241" s="19">
        <v>15</v>
      </c>
      <c r="I241" s="19">
        <v>13</v>
      </c>
      <c r="J241" s="19">
        <v>9</v>
      </c>
      <c r="K241" s="19">
        <v>27</v>
      </c>
      <c r="L241" s="19">
        <v>2</v>
      </c>
      <c r="M241" s="19">
        <f t="shared" si="44"/>
        <v>142</v>
      </c>
      <c r="N241" s="27">
        <f t="shared" ref="N241" si="51">N240+2</f>
        <v>38827</v>
      </c>
    </row>
    <row r="242" spans="1:14" x14ac:dyDescent="0.25">
      <c r="A242" s="15">
        <f t="shared" si="43"/>
        <v>2</v>
      </c>
      <c r="B242" s="20">
        <f t="shared" si="45"/>
        <v>241</v>
      </c>
      <c r="C242" s="17">
        <f t="shared" si="46"/>
        <v>33</v>
      </c>
      <c r="D242" s="17" t="str">
        <f t="shared" si="47"/>
        <v>20060425</v>
      </c>
      <c r="E242" s="20" t="str">
        <f t="shared" si="42"/>
        <v>20060425033</v>
      </c>
      <c r="F242" s="19">
        <v>40</v>
      </c>
      <c r="G242" s="19">
        <v>49</v>
      </c>
      <c r="H242" s="19">
        <v>19</v>
      </c>
      <c r="I242" s="19">
        <v>44</v>
      </c>
      <c r="J242" s="19">
        <v>3</v>
      </c>
      <c r="K242" s="19">
        <v>9</v>
      </c>
      <c r="L242" s="19">
        <v>4</v>
      </c>
      <c r="M242" s="19">
        <f t="shared" si="44"/>
        <v>168</v>
      </c>
      <c r="N242" s="27">
        <f t="shared" ref="N242" si="52">N241+5</f>
        <v>38832</v>
      </c>
    </row>
    <row r="243" spans="1:14" x14ac:dyDescent="0.25">
      <c r="A243" s="15">
        <f t="shared" si="43"/>
        <v>4</v>
      </c>
      <c r="B243" s="20">
        <f t="shared" si="45"/>
        <v>242</v>
      </c>
      <c r="C243" s="17">
        <f t="shared" si="46"/>
        <v>34</v>
      </c>
      <c r="D243" s="17" t="str">
        <f t="shared" si="47"/>
        <v>20060427</v>
      </c>
      <c r="E243" s="20" t="str">
        <f t="shared" si="42"/>
        <v>20060427034</v>
      </c>
      <c r="F243" s="19">
        <v>33</v>
      </c>
      <c r="G243" s="19">
        <v>49</v>
      </c>
      <c r="H243" s="19">
        <v>30</v>
      </c>
      <c r="I243" s="19">
        <v>9</v>
      </c>
      <c r="J243" s="19">
        <v>42</v>
      </c>
      <c r="K243" s="19">
        <v>12</v>
      </c>
      <c r="L243" s="19">
        <v>4</v>
      </c>
      <c r="M243" s="19">
        <f t="shared" si="44"/>
        <v>179</v>
      </c>
      <c r="N243" s="27">
        <f t="shared" ref="N243" si="53">N242+2</f>
        <v>38834</v>
      </c>
    </row>
    <row r="244" spans="1:14" x14ac:dyDescent="0.25">
      <c r="A244" s="15">
        <f t="shared" si="43"/>
        <v>2</v>
      </c>
      <c r="B244" s="20">
        <f t="shared" si="45"/>
        <v>243</v>
      </c>
      <c r="C244" s="17">
        <f t="shared" si="46"/>
        <v>35</v>
      </c>
      <c r="D244" s="17" t="str">
        <f t="shared" si="47"/>
        <v>20060502</v>
      </c>
      <c r="E244" s="20" t="str">
        <f t="shared" si="42"/>
        <v>20060502035</v>
      </c>
      <c r="F244" s="19">
        <v>25</v>
      </c>
      <c r="G244" s="19">
        <v>16</v>
      </c>
      <c r="H244" s="19">
        <v>24</v>
      </c>
      <c r="I244" s="19">
        <v>40</v>
      </c>
      <c r="J244" s="19">
        <v>43</v>
      </c>
      <c r="K244" s="19">
        <v>3</v>
      </c>
      <c r="L244" s="19">
        <v>48</v>
      </c>
      <c r="M244" s="19">
        <f t="shared" si="44"/>
        <v>199</v>
      </c>
      <c r="N244" s="27">
        <f t="shared" ref="N244" si="54">N243+5</f>
        <v>38839</v>
      </c>
    </row>
    <row r="245" spans="1:14" x14ac:dyDescent="0.25">
      <c r="A245" s="15">
        <f t="shared" si="43"/>
        <v>4</v>
      </c>
      <c r="B245" s="20">
        <f t="shared" si="45"/>
        <v>244</v>
      </c>
      <c r="C245" s="17">
        <f t="shared" si="46"/>
        <v>36</v>
      </c>
      <c r="D245" s="17" t="str">
        <f t="shared" si="47"/>
        <v>20060504</v>
      </c>
      <c r="E245" s="20" t="str">
        <f t="shared" si="42"/>
        <v>20060504036</v>
      </c>
      <c r="F245" s="19">
        <v>26</v>
      </c>
      <c r="G245" s="19">
        <v>27</v>
      </c>
      <c r="H245" s="19">
        <v>41</v>
      </c>
      <c r="I245" s="19">
        <v>3</v>
      </c>
      <c r="J245" s="19">
        <v>19</v>
      </c>
      <c r="K245" s="19">
        <v>2</v>
      </c>
      <c r="L245" s="19">
        <v>7</v>
      </c>
      <c r="M245" s="19">
        <f t="shared" si="44"/>
        <v>125</v>
      </c>
      <c r="N245" s="27">
        <f t="shared" ref="N245" si="55">N244+2</f>
        <v>38841</v>
      </c>
    </row>
    <row r="246" spans="1:14" x14ac:dyDescent="0.25">
      <c r="A246" s="15">
        <f t="shared" si="43"/>
        <v>2</v>
      </c>
      <c r="B246" s="20">
        <f t="shared" si="45"/>
        <v>245</v>
      </c>
      <c r="C246" s="17">
        <f t="shared" si="46"/>
        <v>37</v>
      </c>
      <c r="D246" s="17" t="str">
        <f t="shared" si="47"/>
        <v>20060509</v>
      </c>
      <c r="E246" s="20" t="str">
        <f t="shared" si="42"/>
        <v>20060509037</v>
      </c>
      <c r="F246" s="19">
        <v>38</v>
      </c>
      <c r="G246" s="19">
        <v>18</v>
      </c>
      <c r="H246" s="19">
        <v>42</v>
      </c>
      <c r="I246" s="19">
        <v>26</v>
      </c>
      <c r="J246" s="19">
        <v>8</v>
      </c>
      <c r="K246" s="19">
        <v>5</v>
      </c>
      <c r="L246" s="19">
        <v>2</v>
      </c>
      <c r="M246" s="19">
        <f t="shared" si="44"/>
        <v>139</v>
      </c>
      <c r="N246" s="27">
        <f t="shared" ref="N246" si="56">N245+5</f>
        <v>38846</v>
      </c>
    </row>
    <row r="247" spans="1:14" x14ac:dyDescent="0.25">
      <c r="A247" s="15">
        <f t="shared" si="43"/>
        <v>4</v>
      </c>
      <c r="B247" s="20">
        <f t="shared" si="45"/>
        <v>246</v>
      </c>
      <c r="C247" s="17">
        <f t="shared" si="46"/>
        <v>38</v>
      </c>
      <c r="D247" s="17" t="str">
        <f t="shared" si="47"/>
        <v>20060511</v>
      </c>
      <c r="E247" s="20" t="str">
        <f t="shared" si="42"/>
        <v>20060511038</v>
      </c>
      <c r="F247" s="19">
        <v>26</v>
      </c>
      <c r="G247" s="19">
        <v>2</v>
      </c>
      <c r="H247" s="19">
        <v>19</v>
      </c>
      <c r="I247" s="19">
        <v>46</v>
      </c>
      <c r="J247" s="19">
        <v>12</v>
      </c>
      <c r="K247" s="19">
        <v>34</v>
      </c>
      <c r="L247" s="19">
        <v>38</v>
      </c>
      <c r="M247" s="19">
        <f t="shared" si="44"/>
        <v>177</v>
      </c>
      <c r="N247" s="27">
        <f t="shared" ref="N247" si="57">N246+2</f>
        <v>38848</v>
      </c>
    </row>
    <row r="248" spans="1:14" x14ac:dyDescent="0.25">
      <c r="A248" s="15">
        <f t="shared" si="43"/>
        <v>2</v>
      </c>
      <c r="B248" s="20">
        <f t="shared" si="45"/>
        <v>247</v>
      </c>
      <c r="C248" s="17">
        <f t="shared" si="46"/>
        <v>39</v>
      </c>
      <c r="D248" s="17" t="str">
        <f t="shared" si="47"/>
        <v>20060516</v>
      </c>
      <c r="E248" s="20" t="str">
        <f t="shared" si="42"/>
        <v>20060516039</v>
      </c>
      <c r="F248" s="19">
        <v>46</v>
      </c>
      <c r="G248" s="19">
        <v>35</v>
      </c>
      <c r="H248" s="19">
        <v>8</v>
      </c>
      <c r="I248" s="19">
        <v>36</v>
      </c>
      <c r="J248" s="19">
        <v>45</v>
      </c>
      <c r="K248" s="19">
        <v>20</v>
      </c>
      <c r="L248" s="19">
        <v>44</v>
      </c>
      <c r="M248" s="19">
        <f t="shared" si="44"/>
        <v>234</v>
      </c>
      <c r="N248" s="27">
        <f t="shared" ref="N248" si="58">N247+5</f>
        <v>38853</v>
      </c>
    </row>
    <row r="249" spans="1:14" x14ac:dyDescent="0.25">
      <c r="A249" s="15">
        <f t="shared" si="43"/>
        <v>4</v>
      </c>
      <c r="B249" s="20">
        <f t="shared" si="45"/>
        <v>248</v>
      </c>
      <c r="C249" s="17">
        <f t="shared" si="46"/>
        <v>40</v>
      </c>
      <c r="D249" s="17" t="str">
        <f t="shared" si="47"/>
        <v>20060518</v>
      </c>
      <c r="E249" s="20" t="str">
        <f t="shared" si="42"/>
        <v>20060518040</v>
      </c>
      <c r="F249" s="19">
        <v>47</v>
      </c>
      <c r="G249" s="19">
        <v>46</v>
      </c>
      <c r="H249" s="19">
        <v>49</v>
      </c>
      <c r="I249" s="19">
        <v>1</v>
      </c>
      <c r="J249" s="19">
        <v>23</v>
      </c>
      <c r="K249" s="19">
        <v>28</v>
      </c>
      <c r="L249" s="19">
        <v>6</v>
      </c>
      <c r="M249" s="19">
        <f t="shared" si="44"/>
        <v>200</v>
      </c>
      <c r="N249" s="27">
        <f t="shared" ref="N249" si="59">N248+2</f>
        <v>38855</v>
      </c>
    </row>
    <row r="250" spans="1:14" x14ac:dyDescent="0.25">
      <c r="A250" s="15">
        <f t="shared" si="43"/>
        <v>2</v>
      </c>
      <c r="B250" s="20">
        <f t="shared" si="45"/>
        <v>249</v>
      </c>
      <c r="C250" s="17">
        <f t="shared" si="46"/>
        <v>41</v>
      </c>
      <c r="D250" s="17" t="str">
        <f t="shared" si="47"/>
        <v>20060523</v>
      </c>
      <c r="E250" s="20" t="str">
        <f t="shared" si="42"/>
        <v>20060523041</v>
      </c>
      <c r="F250" s="19">
        <v>11</v>
      </c>
      <c r="G250" s="19">
        <v>42</v>
      </c>
      <c r="H250" s="19">
        <v>20</v>
      </c>
      <c r="I250" s="19">
        <v>46</v>
      </c>
      <c r="J250" s="19">
        <v>38</v>
      </c>
      <c r="K250" s="19">
        <v>31</v>
      </c>
      <c r="L250" s="19">
        <v>37</v>
      </c>
      <c r="M250" s="19">
        <f t="shared" si="44"/>
        <v>225</v>
      </c>
      <c r="N250" s="27">
        <f t="shared" ref="N250" si="60">N249+5</f>
        <v>38860</v>
      </c>
    </row>
    <row r="251" spans="1:14" x14ac:dyDescent="0.25">
      <c r="A251" s="15">
        <f t="shared" si="43"/>
        <v>4</v>
      </c>
      <c r="B251" s="20">
        <f t="shared" si="45"/>
        <v>250</v>
      </c>
      <c r="C251" s="17">
        <f t="shared" si="46"/>
        <v>42</v>
      </c>
      <c r="D251" s="17" t="str">
        <f t="shared" si="47"/>
        <v>20060525</v>
      </c>
      <c r="E251" s="20" t="str">
        <f t="shared" si="42"/>
        <v>20060525042</v>
      </c>
      <c r="F251" s="19">
        <v>37</v>
      </c>
      <c r="G251" s="19">
        <v>1</v>
      </c>
      <c r="H251" s="19">
        <v>48</v>
      </c>
      <c r="I251" s="19">
        <v>47</v>
      </c>
      <c r="J251" s="19">
        <v>15</v>
      </c>
      <c r="K251" s="19">
        <v>20</v>
      </c>
      <c r="L251" s="19">
        <v>38</v>
      </c>
      <c r="M251" s="19">
        <f t="shared" si="44"/>
        <v>206</v>
      </c>
      <c r="N251" s="27">
        <f t="shared" ref="N251" si="61">N250+2</f>
        <v>38862</v>
      </c>
    </row>
    <row r="252" spans="1:14" x14ac:dyDescent="0.25">
      <c r="A252" s="15">
        <f t="shared" si="43"/>
        <v>2</v>
      </c>
      <c r="B252" s="20">
        <f t="shared" si="45"/>
        <v>251</v>
      </c>
      <c r="C252" s="17">
        <f t="shared" si="46"/>
        <v>43</v>
      </c>
      <c r="D252" s="17" t="str">
        <f t="shared" si="47"/>
        <v>20060530</v>
      </c>
      <c r="E252" s="20" t="str">
        <f t="shared" si="42"/>
        <v>20060530043</v>
      </c>
      <c r="F252" s="19">
        <v>9</v>
      </c>
      <c r="G252" s="19">
        <v>16</v>
      </c>
      <c r="H252" s="19">
        <v>22</v>
      </c>
      <c r="I252" s="19">
        <v>2</v>
      </c>
      <c r="J252" s="19">
        <v>49</v>
      </c>
      <c r="K252" s="19">
        <v>15</v>
      </c>
      <c r="L252" s="19">
        <v>7</v>
      </c>
      <c r="M252" s="19">
        <f t="shared" si="44"/>
        <v>120</v>
      </c>
      <c r="N252" s="27">
        <f t="shared" ref="N252" si="62">N251+5</f>
        <v>38867</v>
      </c>
    </row>
    <row r="253" spans="1:14" x14ac:dyDescent="0.25">
      <c r="A253" s="15">
        <f t="shared" si="43"/>
        <v>4</v>
      </c>
      <c r="B253" s="20">
        <f t="shared" si="45"/>
        <v>252</v>
      </c>
      <c r="C253" s="17">
        <f t="shared" si="46"/>
        <v>44</v>
      </c>
      <c r="D253" s="17" t="str">
        <f t="shared" si="47"/>
        <v>20060601</v>
      </c>
      <c r="E253" s="20" t="str">
        <f t="shared" si="42"/>
        <v>20060601044</v>
      </c>
      <c r="F253" s="19">
        <v>11</v>
      </c>
      <c r="G253" s="19">
        <v>34</v>
      </c>
      <c r="H253" s="19">
        <v>45</v>
      </c>
      <c r="I253" s="19">
        <v>48</v>
      </c>
      <c r="J253" s="19">
        <v>4</v>
      </c>
      <c r="K253" s="19">
        <v>35</v>
      </c>
      <c r="L253" s="19">
        <v>24</v>
      </c>
      <c r="M253" s="19">
        <f t="shared" si="44"/>
        <v>201</v>
      </c>
      <c r="N253" s="27">
        <f t="shared" ref="N253" si="63">N252+2</f>
        <v>38869</v>
      </c>
    </row>
    <row r="254" spans="1:14" x14ac:dyDescent="0.25">
      <c r="A254" s="15">
        <f t="shared" si="43"/>
        <v>2</v>
      </c>
      <c r="B254" s="20">
        <f t="shared" si="45"/>
        <v>253</v>
      </c>
      <c r="C254" s="17">
        <f t="shared" si="46"/>
        <v>45</v>
      </c>
      <c r="D254" s="17" t="str">
        <f t="shared" si="47"/>
        <v>20060606</v>
      </c>
      <c r="E254" s="20" t="str">
        <f t="shared" si="42"/>
        <v>20060606045</v>
      </c>
      <c r="F254" s="19">
        <v>15</v>
      </c>
      <c r="G254" s="19">
        <v>37</v>
      </c>
      <c r="H254" s="19">
        <v>4</v>
      </c>
      <c r="I254" s="19">
        <v>41</v>
      </c>
      <c r="J254" s="19">
        <v>42</v>
      </c>
      <c r="K254" s="19">
        <v>12</v>
      </c>
      <c r="L254" s="19">
        <v>19</v>
      </c>
      <c r="M254" s="19">
        <f t="shared" si="44"/>
        <v>170</v>
      </c>
      <c r="N254" s="27">
        <f t="shared" ref="N254" si="64">N253+5</f>
        <v>38874</v>
      </c>
    </row>
    <row r="255" spans="1:14" x14ac:dyDescent="0.25">
      <c r="A255" s="15">
        <f t="shared" si="43"/>
        <v>4</v>
      </c>
      <c r="B255" s="20">
        <f t="shared" si="45"/>
        <v>254</v>
      </c>
      <c r="C255" s="17">
        <f t="shared" si="46"/>
        <v>46</v>
      </c>
      <c r="D255" s="17" t="str">
        <f t="shared" si="47"/>
        <v>20060608</v>
      </c>
      <c r="E255" s="20" t="str">
        <f t="shared" si="42"/>
        <v>20060608046</v>
      </c>
      <c r="F255" s="19">
        <v>4</v>
      </c>
      <c r="G255" s="19">
        <v>15</v>
      </c>
      <c r="H255" s="19">
        <v>47</v>
      </c>
      <c r="I255" s="19">
        <v>23</v>
      </c>
      <c r="J255" s="19">
        <v>3</v>
      </c>
      <c r="K255" s="19">
        <v>26</v>
      </c>
      <c r="L255" s="19">
        <v>12</v>
      </c>
      <c r="M255" s="19">
        <f t="shared" si="44"/>
        <v>130</v>
      </c>
      <c r="N255" s="27">
        <f t="shared" ref="N255" si="65">N254+2</f>
        <v>38876</v>
      </c>
    </row>
    <row r="256" spans="1:14" x14ac:dyDescent="0.25">
      <c r="A256" s="15">
        <f t="shared" si="43"/>
        <v>2</v>
      </c>
      <c r="B256" s="20">
        <f t="shared" si="45"/>
        <v>255</v>
      </c>
      <c r="C256" s="17">
        <f t="shared" si="46"/>
        <v>47</v>
      </c>
      <c r="D256" s="17" t="str">
        <f t="shared" si="47"/>
        <v>20060613</v>
      </c>
      <c r="E256" s="20" t="str">
        <f t="shared" si="42"/>
        <v>20060613047</v>
      </c>
      <c r="F256" s="19">
        <v>45</v>
      </c>
      <c r="G256" s="19">
        <v>11</v>
      </c>
      <c r="H256" s="19">
        <v>38</v>
      </c>
      <c r="I256" s="19">
        <v>12</v>
      </c>
      <c r="J256" s="19">
        <v>32</v>
      </c>
      <c r="K256" s="19">
        <v>8</v>
      </c>
      <c r="L256" s="19">
        <v>24</v>
      </c>
      <c r="M256" s="19">
        <f t="shared" si="44"/>
        <v>170</v>
      </c>
      <c r="N256" s="27">
        <f t="shared" ref="N256" si="66">N255+5</f>
        <v>38881</v>
      </c>
    </row>
    <row r="257" spans="1:14" x14ac:dyDescent="0.25">
      <c r="A257" s="15">
        <f t="shared" si="43"/>
        <v>4</v>
      </c>
      <c r="B257" s="20">
        <f t="shared" si="45"/>
        <v>256</v>
      </c>
      <c r="C257" s="17">
        <f t="shared" si="46"/>
        <v>48</v>
      </c>
      <c r="D257" s="17" t="str">
        <f t="shared" si="47"/>
        <v>20060615</v>
      </c>
      <c r="E257" s="20" t="str">
        <f t="shared" si="42"/>
        <v>20060615048</v>
      </c>
      <c r="F257" s="19">
        <v>1</v>
      </c>
      <c r="G257" s="19">
        <v>25</v>
      </c>
      <c r="H257" s="19">
        <v>35</v>
      </c>
      <c r="I257" s="19">
        <v>44</v>
      </c>
      <c r="J257" s="19">
        <v>37</v>
      </c>
      <c r="K257" s="19">
        <v>46</v>
      </c>
      <c r="L257" s="19">
        <v>43</v>
      </c>
      <c r="M257" s="19">
        <f t="shared" si="44"/>
        <v>231</v>
      </c>
      <c r="N257" s="27">
        <f t="shared" ref="N257" si="67">N256+2</f>
        <v>38883</v>
      </c>
    </row>
    <row r="258" spans="1:14" x14ac:dyDescent="0.25">
      <c r="A258" s="15">
        <f t="shared" si="43"/>
        <v>2</v>
      </c>
      <c r="B258" s="20">
        <f t="shared" si="45"/>
        <v>257</v>
      </c>
      <c r="C258" s="17">
        <f t="shared" si="46"/>
        <v>49</v>
      </c>
      <c r="D258" s="17" t="str">
        <f t="shared" si="47"/>
        <v>20060620</v>
      </c>
      <c r="E258" s="20" t="str">
        <f t="shared" ref="E258:E321" si="68">CONCATENATE(D258,TEXT(C258,"000"))</f>
        <v>20060620049</v>
      </c>
      <c r="F258" s="19">
        <v>18</v>
      </c>
      <c r="G258" s="19">
        <v>8</v>
      </c>
      <c r="H258" s="19">
        <v>43</v>
      </c>
      <c r="I258" s="19">
        <v>19</v>
      </c>
      <c r="J258" s="19">
        <v>14</v>
      </c>
      <c r="K258" s="19">
        <v>3</v>
      </c>
      <c r="L258" s="19">
        <v>29</v>
      </c>
      <c r="M258" s="19">
        <f t="shared" si="44"/>
        <v>134</v>
      </c>
      <c r="N258" s="27">
        <f t="shared" ref="N258" si="69">N257+5</f>
        <v>38888</v>
      </c>
    </row>
    <row r="259" spans="1:14" x14ac:dyDescent="0.25">
      <c r="A259" s="15">
        <f t="shared" ref="A259:A322" si="70">WEEKDAY(N259,2)</f>
        <v>4</v>
      </c>
      <c r="B259" s="20">
        <f t="shared" si="45"/>
        <v>258</v>
      </c>
      <c r="C259" s="17">
        <f t="shared" si="46"/>
        <v>50</v>
      </c>
      <c r="D259" s="17" t="str">
        <f t="shared" si="47"/>
        <v>20060622</v>
      </c>
      <c r="E259" s="20" t="str">
        <f t="shared" si="68"/>
        <v>20060622050</v>
      </c>
      <c r="F259" s="19">
        <v>18</v>
      </c>
      <c r="G259" s="19">
        <v>41</v>
      </c>
      <c r="H259" s="19">
        <v>31</v>
      </c>
      <c r="I259" s="19">
        <v>39</v>
      </c>
      <c r="J259" s="19">
        <v>47</v>
      </c>
      <c r="K259" s="19">
        <v>1</v>
      </c>
      <c r="L259" s="19">
        <v>44</v>
      </c>
      <c r="M259" s="19">
        <f t="shared" ref="M259:M322" si="71">SUM(F259:L259)</f>
        <v>221</v>
      </c>
      <c r="N259" s="27">
        <f t="shared" ref="N259" si="72">N258+2</f>
        <v>38890</v>
      </c>
    </row>
    <row r="260" spans="1:14" x14ac:dyDescent="0.25">
      <c r="A260" s="15">
        <f t="shared" si="70"/>
        <v>2</v>
      </c>
      <c r="B260" s="20">
        <f t="shared" ref="B260:B323" si="73">B259+1</f>
        <v>259</v>
      </c>
      <c r="C260" s="17">
        <f t="shared" ref="C260:C323" si="74">C259+1</f>
        <v>51</v>
      </c>
      <c r="D260" s="17" t="str">
        <f t="shared" ref="D260:D323" si="75">CONCATENATE(TEXT(YEAR(N260),"0000"),TEXT(MONTH(N260),"00"),TEXT(DAY(N260),"00"))</f>
        <v>20060627</v>
      </c>
      <c r="E260" s="20" t="str">
        <f t="shared" si="68"/>
        <v>20060627051</v>
      </c>
      <c r="F260" s="19">
        <v>20</v>
      </c>
      <c r="G260" s="19">
        <v>30</v>
      </c>
      <c r="H260" s="19">
        <v>1</v>
      </c>
      <c r="I260" s="19">
        <v>35</v>
      </c>
      <c r="J260" s="19">
        <v>29</v>
      </c>
      <c r="K260" s="19">
        <v>39</v>
      </c>
      <c r="L260" s="19">
        <v>43</v>
      </c>
      <c r="M260" s="19">
        <f t="shared" si="71"/>
        <v>197</v>
      </c>
      <c r="N260" s="27">
        <f t="shared" ref="N260" si="76">N259+5</f>
        <v>38895</v>
      </c>
    </row>
    <row r="261" spans="1:14" x14ac:dyDescent="0.25">
      <c r="A261" s="15">
        <f t="shared" si="70"/>
        <v>4</v>
      </c>
      <c r="B261" s="20">
        <f t="shared" si="73"/>
        <v>260</v>
      </c>
      <c r="C261" s="17">
        <f t="shared" si="74"/>
        <v>52</v>
      </c>
      <c r="D261" s="17" t="str">
        <f t="shared" si="75"/>
        <v>20060629</v>
      </c>
      <c r="E261" s="20" t="str">
        <f t="shared" si="68"/>
        <v>20060629052</v>
      </c>
      <c r="F261" s="19">
        <v>31</v>
      </c>
      <c r="G261" s="19">
        <v>17</v>
      </c>
      <c r="H261" s="19">
        <v>11</v>
      </c>
      <c r="I261" s="19">
        <v>15</v>
      </c>
      <c r="J261" s="19">
        <v>21</v>
      </c>
      <c r="K261" s="19">
        <v>23</v>
      </c>
      <c r="L261" s="19">
        <v>9</v>
      </c>
      <c r="M261" s="19">
        <f t="shared" si="71"/>
        <v>127</v>
      </c>
      <c r="N261" s="27">
        <f t="shared" ref="N261" si="77">N260+2</f>
        <v>38897</v>
      </c>
    </row>
    <row r="262" spans="1:14" x14ac:dyDescent="0.25">
      <c r="A262" s="15">
        <f t="shared" si="70"/>
        <v>2</v>
      </c>
      <c r="B262" s="20">
        <f t="shared" si="73"/>
        <v>261</v>
      </c>
      <c r="C262" s="17">
        <f t="shared" si="74"/>
        <v>53</v>
      </c>
      <c r="D262" s="17" t="str">
        <f t="shared" si="75"/>
        <v>20060704</v>
      </c>
      <c r="E262" s="20" t="str">
        <f t="shared" si="68"/>
        <v>20060704053</v>
      </c>
      <c r="F262" s="19">
        <v>19</v>
      </c>
      <c r="G262" s="19">
        <v>14</v>
      </c>
      <c r="H262" s="19">
        <v>8</v>
      </c>
      <c r="I262" s="19">
        <v>9</v>
      </c>
      <c r="J262" s="19">
        <v>33</v>
      </c>
      <c r="K262" s="19">
        <v>20</v>
      </c>
      <c r="L262" s="19">
        <v>29</v>
      </c>
      <c r="M262" s="19">
        <f t="shared" si="71"/>
        <v>132</v>
      </c>
      <c r="N262" s="27">
        <f t="shared" ref="N262" si="78">N261+5</f>
        <v>38902</v>
      </c>
    </row>
    <row r="263" spans="1:14" x14ac:dyDescent="0.25">
      <c r="A263" s="15">
        <f t="shared" si="70"/>
        <v>4</v>
      </c>
      <c r="B263" s="20">
        <f t="shared" si="73"/>
        <v>262</v>
      </c>
      <c r="C263" s="17">
        <f t="shared" si="74"/>
        <v>54</v>
      </c>
      <c r="D263" s="17" t="str">
        <f t="shared" si="75"/>
        <v>20060706</v>
      </c>
      <c r="E263" s="20" t="str">
        <f t="shared" si="68"/>
        <v>20060706054</v>
      </c>
      <c r="F263" s="19">
        <v>41</v>
      </c>
      <c r="G263" s="19">
        <v>23</v>
      </c>
      <c r="H263" s="19">
        <v>44</v>
      </c>
      <c r="I263" s="19">
        <v>14</v>
      </c>
      <c r="J263" s="19">
        <v>24</v>
      </c>
      <c r="K263" s="19">
        <v>47</v>
      </c>
      <c r="L263" s="19">
        <v>10</v>
      </c>
      <c r="M263" s="19">
        <f t="shared" si="71"/>
        <v>203</v>
      </c>
      <c r="N263" s="27">
        <f t="shared" ref="N263" si="79">N262+2</f>
        <v>38904</v>
      </c>
    </row>
    <row r="264" spans="1:14" x14ac:dyDescent="0.25">
      <c r="A264" s="15">
        <f t="shared" si="70"/>
        <v>2</v>
      </c>
      <c r="B264" s="20">
        <f t="shared" si="73"/>
        <v>263</v>
      </c>
      <c r="C264" s="17">
        <f t="shared" si="74"/>
        <v>55</v>
      </c>
      <c r="D264" s="17" t="str">
        <f t="shared" si="75"/>
        <v>20060711</v>
      </c>
      <c r="E264" s="20" t="str">
        <f t="shared" si="68"/>
        <v>20060711055</v>
      </c>
      <c r="F264" s="19">
        <v>9</v>
      </c>
      <c r="G264" s="19">
        <v>1</v>
      </c>
      <c r="H264" s="19">
        <v>44</v>
      </c>
      <c r="I264" s="19">
        <v>42</v>
      </c>
      <c r="J264" s="19">
        <v>6</v>
      </c>
      <c r="K264" s="19">
        <v>16</v>
      </c>
      <c r="L264" s="19">
        <v>3</v>
      </c>
      <c r="M264" s="19">
        <f t="shared" si="71"/>
        <v>121</v>
      </c>
      <c r="N264" s="27">
        <f t="shared" ref="N264" si="80">N263+5</f>
        <v>38909</v>
      </c>
    </row>
    <row r="265" spans="1:14" x14ac:dyDescent="0.25">
      <c r="A265" s="15">
        <f t="shared" si="70"/>
        <v>4</v>
      </c>
      <c r="B265" s="20">
        <f t="shared" si="73"/>
        <v>264</v>
      </c>
      <c r="C265" s="17">
        <f t="shared" si="74"/>
        <v>56</v>
      </c>
      <c r="D265" s="17" t="str">
        <f t="shared" si="75"/>
        <v>20060713</v>
      </c>
      <c r="E265" s="20" t="str">
        <f t="shared" si="68"/>
        <v>20060713056</v>
      </c>
      <c r="F265" s="19">
        <v>24</v>
      </c>
      <c r="G265" s="19">
        <v>42</v>
      </c>
      <c r="H265" s="19">
        <v>43</v>
      </c>
      <c r="I265" s="19">
        <v>16</v>
      </c>
      <c r="J265" s="19">
        <v>6</v>
      </c>
      <c r="K265" s="19">
        <v>34</v>
      </c>
      <c r="L265" s="19">
        <v>23</v>
      </c>
      <c r="M265" s="19">
        <f t="shared" si="71"/>
        <v>188</v>
      </c>
      <c r="N265" s="27">
        <f t="shared" ref="N265" si="81">N264+2</f>
        <v>38911</v>
      </c>
    </row>
    <row r="266" spans="1:14" x14ac:dyDescent="0.25">
      <c r="A266" s="15">
        <f t="shared" si="70"/>
        <v>2</v>
      </c>
      <c r="B266" s="20">
        <f t="shared" si="73"/>
        <v>265</v>
      </c>
      <c r="C266" s="17">
        <f t="shared" si="74"/>
        <v>57</v>
      </c>
      <c r="D266" s="17" t="str">
        <f t="shared" si="75"/>
        <v>20060718</v>
      </c>
      <c r="E266" s="20" t="str">
        <f t="shared" si="68"/>
        <v>20060718057</v>
      </c>
      <c r="F266" s="19">
        <v>36</v>
      </c>
      <c r="G266" s="19">
        <v>31</v>
      </c>
      <c r="H266" s="19">
        <v>34</v>
      </c>
      <c r="I266" s="19">
        <v>20</v>
      </c>
      <c r="J266" s="19">
        <v>38</v>
      </c>
      <c r="K266" s="19">
        <v>11</v>
      </c>
      <c r="L266" s="19">
        <v>15</v>
      </c>
      <c r="M266" s="19">
        <f t="shared" si="71"/>
        <v>185</v>
      </c>
      <c r="N266" s="27">
        <f t="shared" ref="N266" si="82">N265+5</f>
        <v>38916</v>
      </c>
    </row>
    <row r="267" spans="1:14" x14ac:dyDescent="0.25">
      <c r="A267" s="15">
        <f t="shared" si="70"/>
        <v>4</v>
      </c>
      <c r="B267" s="20">
        <f t="shared" si="73"/>
        <v>266</v>
      </c>
      <c r="C267" s="17">
        <f t="shared" si="74"/>
        <v>58</v>
      </c>
      <c r="D267" s="17" t="str">
        <f t="shared" si="75"/>
        <v>20060720</v>
      </c>
      <c r="E267" s="20" t="str">
        <f t="shared" si="68"/>
        <v>20060720058</v>
      </c>
      <c r="F267" s="19">
        <v>7</v>
      </c>
      <c r="G267" s="19">
        <v>49</v>
      </c>
      <c r="H267" s="19">
        <v>30</v>
      </c>
      <c r="I267" s="19">
        <v>41</v>
      </c>
      <c r="J267" s="19">
        <v>37</v>
      </c>
      <c r="K267" s="19">
        <v>43</v>
      </c>
      <c r="L267" s="19">
        <v>10</v>
      </c>
      <c r="M267" s="19">
        <f t="shared" si="71"/>
        <v>217</v>
      </c>
      <c r="N267" s="27">
        <f t="shared" ref="N267" si="83">N266+2</f>
        <v>38918</v>
      </c>
    </row>
    <row r="268" spans="1:14" x14ac:dyDescent="0.25">
      <c r="A268" s="15">
        <f t="shared" si="70"/>
        <v>2</v>
      </c>
      <c r="B268" s="20">
        <f t="shared" si="73"/>
        <v>267</v>
      </c>
      <c r="C268" s="17">
        <f t="shared" si="74"/>
        <v>59</v>
      </c>
      <c r="D268" s="17" t="str">
        <f t="shared" si="75"/>
        <v>20060725</v>
      </c>
      <c r="E268" s="20" t="str">
        <f t="shared" si="68"/>
        <v>20060725059</v>
      </c>
      <c r="F268" s="19">
        <v>25</v>
      </c>
      <c r="G268" s="19">
        <v>27</v>
      </c>
      <c r="H268" s="19">
        <v>42</v>
      </c>
      <c r="I268" s="19">
        <v>14</v>
      </c>
      <c r="J268" s="19">
        <v>16</v>
      </c>
      <c r="K268" s="19">
        <v>49</v>
      </c>
      <c r="L268" s="19">
        <v>44</v>
      </c>
      <c r="M268" s="19">
        <f t="shared" si="71"/>
        <v>217</v>
      </c>
      <c r="N268" s="27">
        <f t="shared" ref="N268" si="84">N267+5</f>
        <v>38923</v>
      </c>
    </row>
    <row r="269" spans="1:14" x14ac:dyDescent="0.25">
      <c r="A269" s="15">
        <f t="shared" si="70"/>
        <v>4</v>
      </c>
      <c r="B269" s="20">
        <f t="shared" si="73"/>
        <v>268</v>
      </c>
      <c r="C269" s="17">
        <f t="shared" si="74"/>
        <v>60</v>
      </c>
      <c r="D269" s="17" t="str">
        <f t="shared" si="75"/>
        <v>20060727</v>
      </c>
      <c r="E269" s="20" t="str">
        <f t="shared" si="68"/>
        <v>20060727060</v>
      </c>
      <c r="F269" s="19">
        <v>42</v>
      </c>
      <c r="G269" s="19">
        <v>37</v>
      </c>
      <c r="H269" s="19">
        <v>36</v>
      </c>
      <c r="I269" s="19">
        <v>45</v>
      </c>
      <c r="J269" s="19">
        <v>46</v>
      </c>
      <c r="K269" s="19">
        <v>4</v>
      </c>
      <c r="L269" s="19">
        <v>1</v>
      </c>
      <c r="M269" s="19">
        <f t="shared" si="71"/>
        <v>211</v>
      </c>
      <c r="N269" s="27">
        <f t="shared" ref="N269" si="85">N268+2</f>
        <v>38925</v>
      </c>
    </row>
    <row r="270" spans="1:14" x14ac:dyDescent="0.25">
      <c r="A270" s="15">
        <f t="shared" si="70"/>
        <v>2</v>
      </c>
      <c r="B270" s="20">
        <f t="shared" si="73"/>
        <v>269</v>
      </c>
      <c r="C270" s="17">
        <f t="shared" si="74"/>
        <v>61</v>
      </c>
      <c r="D270" s="17" t="str">
        <f t="shared" si="75"/>
        <v>20060801</v>
      </c>
      <c r="E270" s="20" t="str">
        <f t="shared" si="68"/>
        <v>20060801061</v>
      </c>
      <c r="F270" s="19">
        <v>37</v>
      </c>
      <c r="G270" s="19">
        <v>35</v>
      </c>
      <c r="H270" s="19">
        <v>29</v>
      </c>
      <c r="I270" s="19">
        <v>42</v>
      </c>
      <c r="J270" s="19">
        <v>12</v>
      </c>
      <c r="K270" s="19">
        <v>28</v>
      </c>
      <c r="L270" s="19">
        <v>8</v>
      </c>
      <c r="M270" s="19">
        <f t="shared" si="71"/>
        <v>191</v>
      </c>
      <c r="N270" s="27">
        <f t="shared" ref="N270" si="86">N269+5</f>
        <v>38930</v>
      </c>
    </row>
    <row r="271" spans="1:14" x14ac:dyDescent="0.25">
      <c r="A271" s="15">
        <f t="shared" si="70"/>
        <v>4</v>
      </c>
      <c r="B271" s="20">
        <f t="shared" si="73"/>
        <v>270</v>
      </c>
      <c r="C271" s="17">
        <f t="shared" si="74"/>
        <v>62</v>
      </c>
      <c r="D271" s="17" t="str">
        <f t="shared" si="75"/>
        <v>20060803</v>
      </c>
      <c r="E271" s="20" t="str">
        <f t="shared" si="68"/>
        <v>20060803062</v>
      </c>
      <c r="F271" s="19">
        <v>44</v>
      </c>
      <c r="G271" s="19">
        <v>3</v>
      </c>
      <c r="H271" s="19">
        <v>21</v>
      </c>
      <c r="I271" s="19">
        <v>42</v>
      </c>
      <c r="J271" s="19">
        <v>20</v>
      </c>
      <c r="K271" s="19">
        <v>46</v>
      </c>
      <c r="L271" s="19">
        <v>25</v>
      </c>
      <c r="M271" s="19">
        <f t="shared" si="71"/>
        <v>201</v>
      </c>
      <c r="N271" s="27">
        <f t="shared" ref="N271" si="87">N270+2</f>
        <v>38932</v>
      </c>
    </row>
    <row r="272" spans="1:14" x14ac:dyDescent="0.25">
      <c r="A272" s="15">
        <f t="shared" si="70"/>
        <v>2</v>
      </c>
      <c r="B272" s="20">
        <f t="shared" si="73"/>
        <v>271</v>
      </c>
      <c r="C272" s="17">
        <f t="shared" si="74"/>
        <v>63</v>
      </c>
      <c r="D272" s="17" t="str">
        <f t="shared" si="75"/>
        <v>20060808</v>
      </c>
      <c r="E272" s="20" t="str">
        <f t="shared" si="68"/>
        <v>20060808063</v>
      </c>
      <c r="F272" s="19">
        <v>4</v>
      </c>
      <c r="G272" s="19">
        <v>22</v>
      </c>
      <c r="H272" s="19">
        <v>12</v>
      </c>
      <c r="I272" s="19">
        <v>8</v>
      </c>
      <c r="J272" s="19">
        <v>39</v>
      </c>
      <c r="K272" s="19">
        <v>20</v>
      </c>
      <c r="L272" s="19">
        <v>48</v>
      </c>
      <c r="M272" s="19">
        <f t="shared" si="71"/>
        <v>153</v>
      </c>
      <c r="N272" s="27">
        <f t="shared" ref="N272" si="88">N271+5</f>
        <v>38937</v>
      </c>
    </row>
    <row r="273" spans="1:14" x14ac:dyDescent="0.25">
      <c r="A273" s="15">
        <f t="shared" si="70"/>
        <v>4</v>
      </c>
      <c r="B273" s="20">
        <f t="shared" si="73"/>
        <v>272</v>
      </c>
      <c r="C273" s="17">
        <f t="shared" si="74"/>
        <v>64</v>
      </c>
      <c r="D273" s="17" t="str">
        <f t="shared" si="75"/>
        <v>20060810</v>
      </c>
      <c r="E273" s="20" t="str">
        <f t="shared" si="68"/>
        <v>20060810064</v>
      </c>
      <c r="F273" s="19">
        <v>48</v>
      </c>
      <c r="G273" s="19">
        <v>40</v>
      </c>
      <c r="H273" s="19">
        <v>16</v>
      </c>
      <c r="I273" s="19">
        <v>43</v>
      </c>
      <c r="J273" s="19">
        <v>3</v>
      </c>
      <c r="K273" s="19">
        <v>9</v>
      </c>
      <c r="L273" s="19">
        <v>42</v>
      </c>
      <c r="M273" s="19">
        <f t="shared" si="71"/>
        <v>201</v>
      </c>
      <c r="N273" s="27">
        <f t="shared" ref="N273" si="89">N272+2</f>
        <v>38939</v>
      </c>
    </row>
    <row r="274" spans="1:14" x14ac:dyDescent="0.25">
      <c r="A274" s="15">
        <f t="shared" si="70"/>
        <v>2</v>
      </c>
      <c r="B274" s="20">
        <f t="shared" si="73"/>
        <v>273</v>
      </c>
      <c r="C274" s="17">
        <f t="shared" si="74"/>
        <v>65</v>
      </c>
      <c r="D274" s="17" t="str">
        <f t="shared" si="75"/>
        <v>20060815</v>
      </c>
      <c r="E274" s="20" t="str">
        <f t="shared" si="68"/>
        <v>20060815065</v>
      </c>
      <c r="F274" s="19">
        <v>6</v>
      </c>
      <c r="G274" s="19">
        <v>32</v>
      </c>
      <c r="H274" s="19">
        <v>27</v>
      </c>
      <c r="I274" s="19">
        <v>41</v>
      </c>
      <c r="J274" s="19">
        <v>10</v>
      </c>
      <c r="K274" s="19">
        <v>19</v>
      </c>
      <c r="L274" s="19">
        <v>43</v>
      </c>
      <c r="M274" s="19">
        <f t="shared" si="71"/>
        <v>178</v>
      </c>
      <c r="N274" s="27">
        <f t="shared" ref="N274" si="90">N273+5</f>
        <v>38944</v>
      </c>
    </row>
    <row r="275" spans="1:14" x14ac:dyDescent="0.25">
      <c r="A275" s="15">
        <f t="shared" si="70"/>
        <v>4</v>
      </c>
      <c r="B275" s="20">
        <f t="shared" si="73"/>
        <v>274</v>
      </c>
      <c r="C275" s="17">
        <f t="shared" si="74"/>
        <v>66</v>
      </c>
      <c r="D275" s="17" t="str">
        <f t="shared" si="75"/>
        <v>20060817</v>
      </c>
      <c r="E275" s="20" t="str">
        <f t="shared" si="68"/>
        <v>20060817066</v>
      </c>
      <c r="F275" s="19">
        <v>36</v>
      </c>
      <c r="G275" s="19">
        <v>28</v>
      </c>
      <c r="H275" s="19">
        <v>35</v>
      </c>
      <c r="I275" s="19">
        <v>18</v>
      </c>
      <c r="J275" s="19">
        <v>23</v>
      </c>
      <c r="K275" s="19">
        <v>25</v>
      </c>
      <c r="L275" s="19">
        <v>16</v>
      </c>
      <c r="M275" s="19">
        <f t="shared" si="71"/>
        <v>181</v>
      </c>
      <c r="N275" s="27">
        <f t="shared" ref="N275" si="91">N274+2</f>
        <v>38946</v>
      </c>
    </row>
    <row r="276" spans="1:14" x14ac:dyDescent="0.25">
      <c r="A276" s="15">
        <f t="shared" si="70"/>
        <v>2</v>
      </c>
      <c r="B276" s="20">
        <f t="shared" si="73"/>
        <v>275</v>
      </c>
      <c r="C276" s="17">
        <f t="shared" si="74"/>
        <v>67</v>
      </c>
      <c r="D276" s="17" t="str">
        <f t="shared" si="75"/>
        <v>20060822</v>
      </c>
      <c r="E276" s="20" t="str">
        <f t="shared" si="68"/>
        <v>20060822067</v>
      </c>
      <c r="F276" s="19">
        <v>30</v>
      </c>
      <c r="G276" s="19">
        <v>20</v>
      </c>
      <c r="H276" s="19">
        <v>38</v>
      </c>
      <c r="I276" s="19">
        <v>40</v>
      </c>
      <c r="J276" s="19">
        <v>24</v>
      </c>
      <c r="K276" s="19">
        <v>16</v>
      </c>
      <c r="L276" s="19">
        <v>6</v>
      </c>
      <c r="M276" s="19">
        <f t="shared" si="71"/>
        <v>174</v>
      </c>
      <c r="N276" s="27">
        <f t="shared" ref="N276" si="92">N275+5</f>
        <v>38951</v>
      </c>
    </row>
    <row r="277" spans="1:14" x14ac:dyDescent="0.25">
      <c r="A277" s="15">
        <f t="shared" si="70"/>
        <v>4</v>
      </c>
      <c r="B277" s="20">
        <f t="shared" si="73"/>
        <v>276</v>
      </c>
      <c r="C277" s="17">
        <f t="shared" si="74"/>
        <v>68</v>
      </c>
      <c r="D277" s="17" t="str">
        <f t="shared" si="75"/>
        <v>20060824</v>
      </c>
      <c r="E277" s="20" t="str">
        <f t="shared" si="68"/>
        <v>20060824068</v>
      </c>
      <c r="F277" s="19">
        <v>11</v>
      </c>
      <c r="G277" s="19">
        <v>17</v>
      </c>
      <c r="H277" s="19">
        <v>21</v>
      </c>
      <c r="I277" s="19">
        <v>10</v>
      </c>
      <c r="J277" s="19">
        <v>14</v>
      </c>
      <c r="K277" s="19">
        <v>45</v>
      </c>
      <c r="L277" s="19">
        <v>19</v>
      </c>
      <c r="M277" s="19">
        <f t="shared" si="71"/>
        <v>137</v>
      </c>
      <c r="N277" s="27">
        <f t="shared" ref="N277" si="93">N276+2</f>
        <v>38953</v>
      </c>
    </row>
    <row r="278" spans="1:14" x14ac:dyDescent="0.25">
      <c r="A278" s="15">
        <f t="shared" si="70"/>
        <v>2</v>
      </c>
      <c r="B278" s="20">
        <f t="shared" si="73"/>
        <v>277</v>
      </c>
      <c r="C278" s="17">
        <f t="shared" si="74"/>
        <v>69</v>
      </c>
      <c r="D278" s="17" t="str">
        <f t="shared" si="75"/>
        <v>20060829</v>
      </c>
      <c r="E278" s="20" t="str">
        <f t="shared" si="68"/>
        <v>20060829069</v>
      </c>
      <c r="F278" s="19">
        <v>49</v>
      </c>
      <c r="G278" s="19">
        <v>34</v>
      </c>
      <c r="H278" s="19">
        <v>38</v>
      </c>
      <c r="I278" s="19">
        <v>24</v>
      </c>
      <c r="J278" s="19">
        <v>17</v>
      </c>
      <c r="K278" s="19">
        <v>42</v>
      </c>
      <c r="L278" s="19">
        <v>30</v>
      </c>
      <c r="M278" s="19">
        <f t="shared" si="71"/>
        <v>234</v>
      </c>
      <c r="N278" s="27">
        <f t="shared" ref="N278" si="94">N277+5</f>
        <v>38958</v>
      </c>
    </row>
    <row r="279" spans="1:14" x14ac:dyDescent="0.25">
      <c r="A279" s="15">
        <f t="shared" si="70"/>
        <v>4</v>
      </c>
      <c r="B279" s="20">
        <f t="shared" si="73"/>
        <v>278</v>
      </c>
      <c r="C279" s="17">
        <f t="shared" si="74"/>
        <v>70</v>
      </c>
      <c r="D279" s="17" t="str">
        <f t="shared" si="75"/>
        <v>20060831</v>
      </c>
      <c r="E279" s="20" t="str">
        <f t="shared" si="68"/>
        <v>20060831070</v>
      </c>
      <c r="F279" s="19">
        <v>33</v>
      </c>
      <c r="G279" s="19">
        <v>5</v>
      </c>
      <c r="H279" s="19">
        <v>6</v>
      </c>
      <c r="I279" s="19">
        <v>38</v>
      </c>
      <c r="J279" s="19">
        <v>49</v>
      </c>
      <c r="K279" s="19">
        <v>25</v>
      </c>
      <c r="L279" s="19">
        <v>47</v>
      </c>
      <c r="M279" s="19">
        <f t="shared" si="71"/>
        <v>203</v>
      </c>
      <c r="N279" s="27">
        <f t="shared" ref="N279" si="95">N278+2</f>
        <v>38960</v>
      </c>
    </row>
    <row r="280" spans="1:14" x14ac:dyDescent="0.25">
      <c r="A280" s="15">
        <f t="shared" si="70"/>
        <v>2</v>
      </c>
      <c r="B280" s="20">
        <f t="shared" si="73"/>
        <v>279</v>
      </c>
      <c r="C280" s="17">
        <f t="shared" si="74"/>
        <v>71</v>
      </c>
      <c r="D280" s="17" t="str">
        <f t="shared" si="75"/>
        <v>20060905</v>
      </c>
      <c r="E280" s="20" t="str">
        <f t="shared" si="68"/>
        <v>20060905071</v>
      </c>
      <c r="F280" s="19">
        <v>2</v>
      </c>
      <c r="G280" s="19">
        <v>5</v>
      </c>
      <c r="H280" s="19">
        <v>48</v>
      </c>
      <c r="I280" s="19">
        <v>33</v>
      </c>
      <c r="J280" s="19">
        <v>30</v>
      </c>
      <c r="K280" s="19">
        <v>27</v>
      </c>
      <c r="L280" s="19">
        <v>19</v>
      </c>
      <c r="M280" s="19">
        <f t="shared" si="71"/>
        <v>164</v>
      </c>
      <c r="N280" s="27">
        <f t="shared" ref="N280" si="96">N279+5</f>
        <v>38965</v>
      </c>
    </row>
    <row r="281" spans="1:14" x14ac:dyDescent="0.25">
      <c r="A281" s="15">
        <f t="shared" si="70"/>
        <v>4</v>
      </c>
      <c r="B281" s="20">
        <f t="shared" si="73"/>
        <v>280</v>
      </c>
      <c r="C281" s="17">
        <f t="shared" si="74"/>
        <v>72</v>
      </c>
      <c r="D281" s="17" t="str">
        <f t="shared" si="75"/>
        <v>20060907</v>
      </c>
      <c r="E281" s="20" t="str">
        <f t="shared" si="68"/>
        <v>20060907072</v>
      </c>
      <c r="F281" s="19">
        <v>11</v>
      </c>
      <c r="G281" s="19">
        <v>15</v>
      </c>
      <c r="H281" s="19">
        <v>43</v>
      </c>
      <c r="I281" s="19">
        <v>48</v>
      </c>
      <c r="J281" s="19">
        <v>28</v>
      </c>
      <c r="K281" s="19">
        <v>12</v>
      </c>
      <c r="L281" s="19">
        <v>37</v>
      </c>
      <c r="M281" s="19">
        <f t="shared" si="71"/>
        <v>194</v>
      </c>
      <c r="N281" s="27">
        <f t="shared" ref="N281" si="97">N280+2</f>
        <v>38967</v>
      </c>
    </row>
    <row r="282" spans="1:14" x14ac:dyDescent="0.25">
      <c r="A282" s="15">
        <f t="shared" si="70"/>
        <v>2</v>
      </c>
      <c r="B282" s="20">
        <f t="shared" si="73"/>
        <v>281</v>
      </c>
      <c r="C282" s="17">
        <f t="shared" si="74"/>
        <v>73</v>
      </c>
      <c r="D282" s="17" t="str">
        <f t="shared" si="75"/>
        <v>20060912</v>
      </c>
      <c r="E282" s="20" t="str">
        <f t="shared" si="68"/>
        <v>20060912073</v>
      </c>
      <c r="F282" s="19">
        <v>2</v>
      </c>
      <c r="G282" s="19">
        <v>14</v>
      </c>
      <c r="H282" s="19">
        <v>11</v>
      </c>
      <c r="I282" s="19">
        <v>8</v>
      </c>
      <c r="J282" s="19">
        <v>21</v>
      </c>
      <c r="K282" s="19">
        <v>15</v>
      </c>
      <c r="L282" s="19">
        <v>31</v>
      </c>
      <c r="M282" s="19">
        <f t="shared" si="71"/>
        <v>102</v>
      </c>
      <c r="N282" s="27">
        <f t="shared" ref="N282" si="98">N281+5</f>
        <v>38972</v>
      </c>
    </row>
    <row r="283" spans="1:14" x14ac:dyDescent="0.25">
      <c r="A283" s="15">
        <f t="shared" si="70"/>
        <v>4</v>
      </c>
      <c r="B283" s="20">
        <f t="shared" si="73"/>
        <v>282</v>
      </c>
      <c r="C283" s="17">
        <f t="shared" si="74"/>
        <v>74</v>
      </c>
      <c r="D283" s="17" t="str">
        <f t="shared" si="75"/>
        <v>20060914</v>
      </c>
      <c r="E283" s="20" t="str">
        <f t="shared" si="68"/>
        <v>20060914074</v>
      </c>
      <c r="F283" s="19">
        <v>44</v>
      </c>
      <c r="G283" s="19">
        <v>39</v>
      </c>
      <c r="H283" s="19">
        <v>43</v>
      </c>
      <c r="I283" s="19">
        <v>10</v>
      </c>
      <c r="J283" s="19">
        <v>1</v>
      </c>
      <c r="K283" s="19">
        <v>37</v>
      </c>
      <c r="L283" s="19">
        <v>35</v>
      </c>
      <c r="M283" s="19">
        <f t="shared" si="71"/>
        <v>209</v>
      </c>
      <c r="N283" s="27">
        <f t="shared" ref="N283" si="99">N282+2</f>
        <v>38974</v>
      </c>
    </row>
    <row r="284" spans="1:14" x14ac:dyDescent="0.25">
      <c r="A284" s="15">
        <f t="shared" si="70"/>
        <v>2</v>
      </c>
      <c r="B284" s="20">
        <f t="shared" si="73"/>
        <v>283</v>
      </c>
      <c r="C284" s="17">
        <f t="shared" si="74"/>
        <v>75</v>
      </c>
      <c r="D284" s="17" t="str">
        <f t="shared" si="75"/>
        <v>20060919</v>
      </c>
      <c r="E284" s="20" t="str">
        <f t="shared" si="68"/>
        <v>20060919075</v>
      </c>
      <c r="F284" s="19">
        <v>9</v>
      </c>
      <c r="G284" s="19">
        <v>1</v>
      </c>
      <c r="H284" s="19">
        <v>41</v>
      </c>
      <c r="I284" s="19">
        <v>40</v>
      </c>
      <c r="J284" s="19">
        <v>39</v>
      </c>
      <c r="K284" s="19">
        <v>21</v>
      </c>
      <c r="L284" s="19">
        <v>46</v>
      </c>
      <c r="M284" s="19">
        <f t="shared" si="71"/>
        <v>197</v>
      </c>
      <c r="N284" s="27">
        <f t="shared" ref="N284" si="100">N283+5</f>
        <v>38979</v>
      </c>
    </row>
    <row r="285" spans="1:14" x14ac:dyDescent="0.25">
      <c r="A285" s="15">
        <f t="shared" si="70"/>
        <v>4</v>
      </c>
      <c r="B285" s="20">
        <f t="shared" si="73"/>
        <v>284</v>
      </c>
      <c r="C285" s="17">
        <f t="shared" si="74"/>
        <v>76</v>
      </c>
      <c r="D285" s="17" t="str">
        <f t="shared" si="75"/>
        <v>20060921</v>
      </c>
      <c r="E285" s="20" t="str">
        <f t="shared" si="68"/>
        <v>20060921076</v>
      </c>
      <c r="F285" s="19">
        <v>21</v>
      </c>
      <c r="G285" s="19">
        <v>33</v>
      </c>
      <c r="H285" s="19">
        <v>20</v>
      </c>
      <c r="I285" s="19">
        <v>6</v>
      </c>
      <c r="J285" s="19">
        <v>13</v>
      </c>
      <c r="K285" s="19">
        <v>40</v>
      </c>
      <c r="L285" s="19">
        <v>26</v>
      </c>
      <c r="M285" s="19">
        <f t="shared" si="71"/>
        <v>159</v>
      </c>
      <c r="N285" s="27">
        <f t="shared" ref="N285" si="101">N284+2</f>
        <v>38981</v>
      </c>
    </row>
    <row r="286" spans="1:14" x14ac:dyDescent="0.25">
      <c r="A286" s="15">
        <f t="shared" si="70"/>
        <v>2</v>
      </c>
      <c r="B286" s="20">
        <f t="shared" si="73"/>
        <v>285</v>
      </c>
      <c r="C286" s="17">
        <f t="shared" si="74"/>
        <v>77</v>
      </c>
      <c r="D286" s="17" t="str">
        <f t="shared" si="75"/>
        <v>20060926</v>
      </c>
      <c r="E286" s="20" t="str">
        <f t="shared" si="68"/>
        <v>20060926077</v>
      </c>
      <c r="F286" s="19">
        <v>45</v>
      </c>
      <c r="G286" s="19">
        <v>8</v>
      </c>
      <c r="H286" s="19">
        <v>25</v>
      </c>
      <c r="I286" s="19">
        <v>6</v>
      </c>
      <c r="J286" s="19">
        <v>2</v>
      </c>
      <c r="K286" s="19">
        <v>30</v>
      </c>
      <c r="L286" s="19">
        <v>38</v>
      </c>
      <c r="M286" s="19">
        <f t="shared" si="71"/>
        <v>154</v>
      </c>
      <c r="N286" s="27">
        <f t="shared" ref="N286" si="102">N285+5</f>
        <v>38986</v>
      </c>
    </row>
    <row r="287" spans="1:14" x14ac:dyDescent="0.25">
      <c r="A287" s="15">
        <f t="shared" si="70"/>
        <v>4</v>
      </c>
      <c r="B287" s="20">
        <f t="shared" si="73"/>
        <v>286</v>
      </c>
      <c r="C287" s="17">
        <f t="shared" si="74"/>
        <v>78</v>
      </c>
      <c r="D287" s="17" t="str">
        <f t="shared" si="75"/>
        <v>20060928</v>
      </c>
      <c r="E287" s="20" t="str">
        <f t="shared" si="68"/>
        <v>20060928078</v>
      </c>
      <c r="F287" s="19">
        <v>30</v>
      </c>
      <c r="G287" s="19">
        <v>8</v>
      </c>
      <c r="H287" s="19">
        <v>33</v>
      </c>
      <c r="I287" s="19">
        <v>43</v>
      </c>
      <c r="J287" s="19">
        <v>19</v>
      </c>
      <c r="K287" s="19">
        <v>37</v>
      </c>
      <c r="L287" s="19">
        <v>22</v>
      </c>
      <c r="M287" s="19">
        <f t="shared" si="71"/>
        <v>192</v>
      </c>
      <c r="N287" s="27">
        <f t="shared" ref="N287" si="103">N286+2</f>
        <v>38988</v>
      </c>
    </row>
    <row r="288" spans="1:14" x14ac:dyDescent="0.25">
      <c r="A288" s="15">
        <f t="shared" si="70"/>
        <v>2</v>
      </c>
      <c r="B288" s="20">
        <f t="shared" si="73"/>
        <v>287</v>
      </c>
      <c r="C288" s="17">
        <f t="shared" si="74"/>
        <v>79</v>
      </c>
      <c r="D288" s="17" t="str">
        <f t="shared" si="75"/>
        <v>20061003</v>
      </c>
      <c r="E288" s="20" t="str">
        <f t="shared" si="68"/>
        <v>20061003079</v>
      </c>
      <c r="F288" s="19">
        <v>7</v>
      </c>
      <c r="G288" s="19">
        <v>36</v>
      </c>
      <c r="H288" s="19">
        <v>6</v>
      </c>
      <c r="I288" s="19">
        <v>23</v>
      </c>
      <c r="J288" s="19">
        <v>31</v>
      </c>
      <c r="K288" s="19">
        <v>33</v>
      </c>
      <c r="L288" s="19">
        <v>24</v>
      </c>
      <c r="M288" s="19">
        <f t="shared" si="71"/>
        <v>160</v>
      </c>
      <c r="N288" s="27">
        <f t="shared" ref="N288" si="104">N287+5</f>
        <v>38993</v>
      </c>
    </row>
    <row r="289" spans="1:14" x14ac:dyDescent="0.25">
      <c r="A289" s="15">
        <f t="shared" si="70"/>
        <v>4</v>
      </c>
      <c r="B289" s="20">
        <f t="shared" si="73"/>
        <v>288</v>
      </c>
      <c r="C289" s="17">
        <f t="shared" si="74"/>
        <v>80</v>
      </c>
      <c r="D289" s="17" t="str">
        <f t="shared" si="75"/>
        <v>20061005</v>
      </c>
      <c r="E289" s="20" t="str">
        <f t="shared" si="68"/>
        <v>20061005080</v>
      </c>
      <c r="F289" s="19">
        <v>20</v>
      </c>
      <c r="G289" s="19">
        <v>7</v>
      </c>
      <c r="H289" s="19">
        <v>36</v>
      </c>
      <c r="I289" s="19">
        <v>44</v>
      </c>
      <c r="J289" s="19">
        <v>15</v>
      </c>
      <c r="K289" s="19">
        <v>32</v>
      </c>
      <c r="L289" s="19">
        <v>3</v>
      </c>
      <c r="M289" s="19">
        <f t="shared" si="71"/>
        <v>157</v>
      </c>
      <c r="N289" s="27">
        <f t="shared" ref="N289" si="105">N288+2</f>
        <v>38995</v>
      </c>
    </row>
    <row r="290" spans="1:14" x14ac:dyDescent="0.25">
      <c r="A290" s="15">
        <f t="shared" si="70"/>
        <v>2</v>
      </c>
      <c r="B290" s="20">
        <f t="shared" si="73"/>
        <v>289</v>
      </c>
      <c r="C290" s="17">
        <f t="shared" si="74"/>
        <v>81</v>
      </c>
      <c r="D290" s="17" t="str">
        <f t="shared" si="75"/>
        <v>20061010</v>
      </c>
      <c r="E290" s="20" t="str">
        <f t="shared" si="68"/>
        <v>20061010081</v>
      </c>
      <c r="F290" s="19">
        <v>35</v>
      </c>
      <c r="G290" s="19">
        <v>46</v>
      </c>
      <c r="H290" s="19">
        <v>36</v>
      </c>
      <c r="I290" s="19">
        <v>17</v>
      </c>
      <c r="J290" s="19">
        <v>1</v>
      </c>
      <c r="K290" s="19">
        <v>21</v>
      </c>
      <c r="L290" s="19">
        <v>19</v>
      </c>
      <c r="M290" s="19">
        <f t="shared" si="71"/>
        <v>175</v>
      </c>
      <c r="N290" s="27">
        <f t="shared" ref="N290" si="106">N289+5</f>
        <v>39000</v>
      </c>
    </row>
    <row r="291" spans="1:14" x14ac:dyDescent="0.25">
      <c r="A291" s="15">
        <f t="shared" si="70"/>
        <v>4</v>
      </c>
      <c r="B291" s="20">
        <f t="shared" si="73"/>
        <v>290</v>
      </c>
      <c r="C291" s="17">
        <f t="shared" si="74"/>
        <v>82</v>
      </c>
      <c r="D291" s="17" t="str">
        <f t="shared" si="75"/>
        <v>20061012</v>
      </c>
      <c r="E291" s="20" t="str">
        <f t="shared" si="68"/>
        <v>20061012082</v>
      </c>
      <c r="F291" s="19">
        <v>9</v>
      </c>
      <c r="G291" s="19">
        <v>17</v>
      </c>
      <c r="H291" s="19">
        <v>30</v>
      </c>
      <c r="I291" s="19">
        <v>26</v>
      </c>
      <c r="J291" s="19">
        <v>41</v>
      </c>
      <c r="K291" s="19">
        <v>23</v>
      </c>
      <c r="L291" s="19">
        <v>19</v>
      </c>
      <c r="M291" s="19">
        <f t="shared" si="71"/>
        <v>165</v>
      </c>
      <c r="N291" s="27">
        <f t="shared" ref="N291" si="107">N290+2</f>
        <v>39002</v>
      </c>
    </row>
    <row r="292" spans="1:14" x14ac:dyDescent="0.25">
      <c r="A292" s="15">
        <f t="shared" si="70"/>
        <v>2</v>
      </c>
      <c r="B292" s="20">
        <f t="shared" si="73"/>
        <v>291</v>
      </c>
      <c r="C292" s="17">
        <f t="shared" si="74"/>
        <v>83</v>
      </c>
      <c r="D292" s="17" t="str">
        <f t="shared" si="75"/>
        <v>20061017</v>
      </c>
      <c r="E292" s="20" t="str">
        <f t="shared" si="68"/>
        <v>20061017083</v>
      </c>
      <c r="F292" s="19">
        <v>16</v>
      </c>
      <c r="G292" s="19">
        <v>13</v>
      </c>
      <c r="H292" s="19">
        <v>46</v>
      </c>
      <c r="I292" s="19">
        <v>8</v>
      </c>
      <c r="J292" s="19">
        <v>43</v>
      </c>
      <c r="K292" s="19">
        <v>41</v>
      </c>
      <c r="L292" s="19">
        <v>31</v>
      </c>
      <c r="M292" s="19">
        <f t="shared" si="71"/>
        <v>198</v>
      </c>
      <c r="N292" s="27">
        <f t="shared" ref="N292" si="108">N291+5</f>
        <v>39007</v>
      </c>
    </row>
    <row r="293" spans="1:14" x14ac:dyDescent="0.25">
      <c r="A293" s="15">
        <f t="shared" si="70"/>
        <v>4</v>
      </c>
      <c r="B293" s="20">
        <f t="shared" si="73"/>
        <v>292</v>
      </c>
      <c r="C293" s="17">
        <f t="shared" si="74"/>
        <v>84</v>
      </c>
      <c r="D293" s="17" t="str">
        <f t="shared" si="75"/>
        <v>20061019</v>
      </c>
      <c r="E293" s="20" t="str">
        <f t="shared" si="68"/>
        <v>20061019084</v>
      </c>
      <c r="F293" s="19">
        <v>9</v>
      </c>
      <c r="G293" s="19">
        <v>10</v>
      </c>
      <c r="H293" s="19">
        <v>33</v>
      </c>
      <c r="I293" s="19">
        <v>38</v>
      </c>
      <c r="J293" s="19">
        <v>25</v>
      </c>
      <c r="K293" s="19">
        <v>12</v>
      </c>
      <c r="L293" s="19">
        <v>5</v>
      </c>
      <c r="M293" s="19">
        <f t="shared" si="71"/>
        <v>132</v>
      </c>
      <c r="N293" s="27">
        <f t="shared" ref="N293" si="109">N292+2</f>
        <v>39009</v>
      </c>
    </row>
    <row r="294" spans="1:14" x14ac:dyDescent="0.25">
      <c r="A294" s="15">
        <f t="shared" si="70"/>
        <v>2</v>
      </c>
      <c r="B294" s="20">
        <f t="shared" si="73"/>
        <v>293</v>
      </c>
      <c r="C294" s="17">
        <f t="shared" si="74"/>
        <v>85</v>
      </c>
      <c r="D294" s="17" t="str">
        <f t="shared" si="75"/>
        <v>20061024</v>
      </c>
      <c r="E294" s="20" t="str">
        <f t="shared" si="68"/>
        <v>20061024085</v>
      </c>
      <c r="F294" s="19">
        <v>5</v>
      </c>
      <c r="G294" s="19">
        <v>1</v>
      </c>
      <c r="H294" s="19">
        <v>15</v>
      </c>
      <c r="I294" s="19">
        <v>42</v>
      </c>
      <c r="J294" s="19">
        <v>4</v>
      </c>
      <c r="K294" s="19">
        <v>18</v>
      </c>
      <c r="L294" s="19">
        <v>6</v>
      </c>
      <c r="M294" s="19">
        <f t="shared" si="71"/>
        <v>91</v>
      </c>
      <c r="N294" s="27">
        <f t="shared" ref="N294" si="110">N293+5</f>
        <v>39014</v>
      </c>
    </row>
    <row r="295" spans="1:14" x14ac:dyDescent="0.25">
      <c r="A295" s="15">
        <f t="shared" si="70"/>
        <v>4</v>
      </c>
      <c r="B295" s="20">
        <f t="shared" si="73"/>
        <v>294</v>
      </c>
      <c r="C295" s="17">
        <f t="shared" si="74"/>
        <v>86</v>
      </c>
      <c r="D295" s="17" t="str">
        <f t="shared" si="75"/>
        <v>20061026</v>
      </c>
      <c r="E295" s="20" t="str">
        <f t="shared" si="68"/>
        <v>20061026086</v>
      </c>
      <c r="F295" s="19">
        <v>19</v>
      </c>
      <c r="G295" s="19">
        <v>42</v>
      </c>
      <c r="H295" s="19">
        <v>5</v>
      </c>
      <c r="I295" s="19">
        <v>11</v>
      </c>
      <c r="J295" s="19">
        <v>7</v>
      </c>
      <c r="K295" s="19">
        <v>36</v>
      </c>
      <c r="L295" s="19">
        <v>23</v>
      </c>
      <c r="M295" s="19">
        <f t="shared" si="71"/>
        <v>143</v>
      </c>
      <c r="N295" s="27">
        <f t="shared" ref="N295" si="111">N294+2</f>
        <v>39016</v>
      </c>
    </row>
    <row r="296" spans="1:14" x14ac:dyDescent="0.25">
      <c r="A296" s="15">
        <f t="shared" si="70"/>
        <v>2</v>
      </c>
      <c r="B296" s="20">
        <f t="shared" si="73"/>
        <v>295</v>
      </c>
      <c r="C296" s="17">
        <f t="shared" si="74"/>
        <v>87</v>
      </c>
      <c r="D296" s="17" t="str">
        <f t="shared" si="75"/>
        <v>20061031</v>
      </c>
      <c r="E296" s="20" t="str">
        <f t="shared" si="68"/>
        <v>20061031087</v>
      </c>
      <c r="F296" s="19">
        <v>8</v>
      </c>
      <c r="G296" s="19">
        <v>6</v>
      </c>
      <c r="H296" s="19">
        <v>46</v>
      </c>
      <c r="I296" s="19">
        <v>29</v>
      </c>
      <c r="J296" s="19">
        <v>39</v>
      </c>
      <c r="K296" s="19">
        <v>49</v>
      </c>
      <c r="L296" s="19">
        <v>23</v>
      </c>
      <c r="M296" s="19">
        <f t="shared" si="71"/>
        <v>200</v>
      </c>
      <c r="N296" s="27">
        <f t="shared" ref="N296" si="112">N295+5</f>
        <v>39021</v>
      </c>
    </row>
    <row r="297" spans="1:14" x14ac:dyDescent="0.25">
      <c r="A297" s="15">
        <f t="shared" si="70"/>
        <v>4</v>
      </c>
      <c r="B297" s="20">
        <f t="shared" si="73"/>
        <v>296</v>
      </c>
      <c r="C297" s="17">
        <f t="shared" si="74"/>
        <v>88</v>
      </c>
      <c r="D297" s="17" t="str">
        <f t="shared" si="75"/>
        <v>20061102</v>
      </c>
      <c r="E297" s="20" t="str">
        <f t="shared" si="68"/>
        <v>20061102088</v>
      </c>
      <c r="F297" s="19">
        <v>45</v>
      </c>
      <c r="G297" s="19">
        <v>30</v>
      </c>
      <c r="H297" s="19">
        <v>6</v>
      </c>
      <c r="I297" s="19">
        <v>34</v>
      </c>
      <c r="J297" s="19">
        <v>48</v>
      </c>
      <c r="K297" s="19">
        <v>46</v>
      </c>
      <c r="L297" s="19">
        <v>29</v>
      </c>
      <c r="M297" s="19">
        <f t="shared" si="71"/>
        <v>238</v>
      </c>
      <c r="N297" s="27">
        <f t="shared" ref="N297" si="113">N296+2</f>
        <v>39023</v>
      </c>
    </row>
    <row r="298" spans="1:14" x14ac:dyDescent="0.25">
      <c r="A298" s="15">
        <f t="shared" si="70"/>
        <v>2</v>
      </c>
      <c r="B298" s="20">
        <f t="shared" si="73"/>
        <v>297</v>
      </c>
      <c r="C298" s="17">
        <f t="shared" si="74"/>
        <v>89</v>
      </c>
      <c r="D298" s="17" t="str">
        <f t="shared" si="75"/>
        <v>20061107</v>
      </c>
      <c r="E298" s="20" t="str">
        <f t="shared" si="68"/>
        <v>20061107089</v>
      </c>
      <c r="F298" s="19">
        <v>5</v>
      </c>
      <c r="G298" s="19">
        <v>40</v>
      </c>
      <c r="H298" s="19">
        <v>33</v>
      </c>
      <c r="I298" s="19">
        <v>38</v>
      </c>
      <c r="J298" s="19">
        <v>18</v>
      </c>
      <c r="K298" s="19">
        <v>20</v>
      </c>
      <c r="L298" s="19">
        <v>34</v>
      </c>
      <c r="M298" s="19">
        <f t="shared" si="71"/>
        <v>188</v>
      </c>
      <c r="N298" s="27">
        <f t="shared" ref="N298" si="114">N297+5</f>
        <v>39028</v>
      </c>
    </row>
    <row r="299" spans="1:14" x14ac:dyDescent="0.25">
      <c r="A299" s="15">
        <f t="shared" si="70"/>
        <v>4</v>
      </c>
      <c r="B299" s="20">
        <f t="shared" si="73"/>
        <v>298</v>
      </c>
      <c r="C299" s="17">
        <f t="shared" si="74"/>
        <v>90</v>
      </c>
      <c r="D299" s="17" t="str">
        <f t="shared" si="75"/>
        <v>20061109</v>
      </c>
      <c r="E299" s="20" t="str">
        <f t="shared" si="68"/>
        <v>20061109090</v>
      </c>
      <c r="F299" s="19">
        <v>14</v>
      </c>
      <c r="G299" s="19">
        <v>22</v>
      </c>
      <c r="H299" s="19">
        <v>40</v>
      </c>
      <c r="I299" s="19">
        <v>20</v>
      </c>
      <c r="J299" s="19">
        <v>12</v>
      </c>
      <c r="K299" s="19">
        <v>37</v>
      </c>
      <c r="L299" s="19">
        <v>23</v>
      </c>
      <c r="M299" s="19">
        <f t="shared" si="71"/>
        <v>168</v>
      </c>
      <c r="N299" s="27">
        <f t="shared" ref="N299" si="115">N298+2</f>
        <v>39030</v>
      </c>
    </row>
    <row r="300" spans="1:14" x14ac:dyDescent="0.25">
      <c r="A300" s="15">
        <f t="shared" si="70"/>
        <v>2</v>
      </c>
      <c r="B300" s="20">
        <f t="shared" si="73"/>
        <v>299</v>
      </c>
      <c r="C300" s="17">
        <f t="shared" si="74"/>
        <v>91</v>
      </c>
      <c r="D300" s="17" t="str">
        <f t="shared" si="75"/>
        <v>20061114</v>
      </c>
      <c r="E300" s="20" t="str">
        <f t="shared" si="68"/>
        <v>20061114091</v>
      </c>
      <c r="F300" s="19">
        <v>38</v>
      </c>
      <c r="G300" s="19">
        <v>29</v>
      </c>
      <c r="H300" s="19">
        <v>34</v>
      </c>
      <c r="I300" s="19">
        <v>47</v>
      </c>
      <c r="J300" s="19">
        <v>5</v>
      </c>
      <c r="K300" s="19">
        <v>17</v>
      </c>
      <c r="L300" s="19">
        <v>26</v>
      </c>
      <c r="M300" s="19">
        <f t="shared" si="71"/>
        <v>196</v>
      </c>
      <c r="N300" s="27">
        <f t="shared" ref="N300" si="116">N299+5</f>
        <v>39035</v>
      </c>
    </row>
    <row r="301" spans="1:14" x14ac:dyDescent="0.25">
      <c r="A301" s="15">
        <f t="shared" si="70"/>
        <v>4</v>
      </c>
      <c r="B301" s="20">
        <f t="shared" si="73"/>
        <v>300</v>
      </c>
      <c r="C301" s="17">
        <f t="shared" si="74"/>
        <v>92</v>
      </c>
      <c r="D301" s="17" t="str">
        <f t="shared" si="75"/>
        <v>20061116</v>
      </c>
      <c r="E301" s="20" t="str">
        <f t="shared" si="68"/>
        <v>20061116092</v>
      </c>
      <c r="F301" s="19">
        <v>49</v>
      </c>
      <c r="G301" s="19">
        <v>2</v>
      </c>
      <c r="H301" s="19">
        <v>29</v>
      </c>
      <c r="I301" s="19">
        <v>17</v>
      </c>
      <c r="J301" s="19">
        <v>38</v>
      </c>
      <c r="K301" s="19">
        <v>28</v>
      </c>
      <c r="L301" s="19">
        <v>16</v>
      </c>
      <c r="M301" s="19">
        <f t="shared" si="71"/>
        <v>179</v>
      </c>
      <c r="N301" s="27">
        <f t="shared" ref="N301" si="117">N300+2</f>
        <v>39037</v>
      </c>
    </row>
    <row r="302" spans="1:14" x14ac:dyDescent="0.25">
      <c r="A302" s="15">
        <f t="shared" si="70"/>
        <v>2</v>
      </c>
      <c r="B302" s="20">
        <f t="shared" si="73"/>
        <v>301</v>
      </c>
      <c r="C302" s="17">
        <f t="shared" si="74"/>
        <v>93</v>
      </c>
      <c r="D302" s="17" t="str">
        <f t="shared" si="75"/>
        <v>20061121</v>
      </c>
      <c r="E302" s="20" t="str">
        <f t="shared" si="68"/>
        <v>20061121093</v>
      </c>
      <c r="F302" s="19">
        <v>19</v>
      </c>
      <c r="G302" s="19">
        <v>11</v>
      </c>
      <c r="H302" s="19">
        <v>7</v>
      </c>
      <c r="I302" s="19">
        <v>6</v>
      </c>
      <c r="J302" s="19">
        <v>47</v>
      </c>
      <c r="K302" s="19">
        <v>48</v>
      </c>
      <c r="L302" s="19">
        <v>17</v>
      </c>
      <c r="M302" s="19">
        <f t="shared" si="71"/>
        <v>155</v>
      </c>
      <c r="N302" s="27">
        <f t="shared" ref="N302" si="118">N301+5</f>
        <v>39042</v>
      </c>
    </row>
    <row r="303" spans="1:14" x14ac:dyDescent="0.25">
      <c r="A303" s="15">
        <f t="shared" si="70"/>
        <v>4</v>
      </c>
      <c r="B303" s="20">
        <f t="shared" si="73"/>
        <v>302</v>
      </c>
      <c r="C303" s="17">
        <f t="shared" si="74"/>
        <v>94</v>
      </c>
      <c r="D303" s="17" t="str">
        <f t="shared" si="75"/>
        <v>20061123</v>
      </c>
      <c r="E303" s="20" t="str">
        <f t="shared" si="68"/>
        <v>20061123094</v>
      </c>
      <c r="F303" s="19">
        <v>34</v>
      </c>
      <c r="G303" s="19">
        <v>37</v>
      </c>
      <c r="H303" s="19">
        <v>23</v>
      </c>
      <c r="I303" s="19">
        <v>1</v>
      </c>
      <c r="J303" s="19">
        <v>43</v>
      </c>
      <c r="K303" s="19">
        <v>45</v>
      </c>
      <c r="L303" s="19">
        <v>9</v>
      </c>
      <c r="M303" s="19">
        <f t="shared" si="71"/>
        <v>192</v>
      </c>
      <c r="N303" s="27">
        <f t="shared" ref="N303" si="119">N302+2</f>
        <v>39044</v>
      </c>
    </row>
    <row r="304" spans="1:14" x14ac:dyDescent="0.25">
      <c r="A304" s="15">
        <f t="shared" si="70"/>
        <v>2</v>
      </c>
      <c r="B304" s="20">
        <f t="shared" si="73"/>
        <v>303</v>
      </c>
      <c r="C304" s="17">
        <f t="shared" si="74"/>
        <v>95</v>
      </c>
      <c r="D304" s="17" t="str">
        <f t="shared" si="75"/>
        <v>20061128</v>
      </c>
      <c r="E304" s="20" t="str">
        <f t="shared" si="68"/>
        <v>20061128095</v>
      </c>
      <c r="F304" s="19">
        <v>42</v>
      </c>
      <c r="G304" s="19">
        <v>37</v>
      </c>
      <c r="H304" s="19">
        <v>14</v>
      </c>
      <c r="I304" s="19">
        <v>45</v>
      </c>
      <c r="J304" s="19">
        <v>19</v>
      </c>
      <c r="K304" s="19">
        <v>31</v>
      </c>
      <c r="L304" s="19">
        <v>11</v>
      </c>
      <c r="M304" s="19">
        <f t="shared" si="71"/>
        <v>199</v>
      </c>
      <c r="N304" s="27">
        <f t="shared" ref="N304" si="120">N303+5</f>
        <v>39049</v>
      </c>
    </row>
    <row r="305" spans="1:14" x14ac:dyDescent="0.25">
      <c r="A305" s="15">
        <f t="shared" si="70"/>
        <v>4</v>
      </c>
      <c r="B305" s="20">
        <f t="shared" si="73"/>
        <v>304</v>
      </c>
      <c r="C305" s="17">
        <f t="shared" si="74"/>
        <v>96</v>
      </c>
      <c r="D305" s="17" t="str">
        <f t="shared" si="75"/>
        <v>20061130</v>
      </c>
      <c r="E305" s="20" t="str">
        <f t="shared" si="68"/>
        <v>20061130096</v>
      </c>
      <c r="F305" s="19">
        <v>16</v>
      </c>
      <c r="G305" s="19">
        <v>3</v>
      </c>
      <c r="H305" s="19">
        <v>7</v>
      </c>
      <c r="I305" s="19">
        <v>43</v>
      </c>
      <c r="J305" s="19">
        <v>6</v>
      </c>
      <c r="K305" s="19">
        <v>14</v>
      </c>
      <c r="L305" s="19">
        <v>17</v>
      </c>
      <c r="M305" s="19">
        <f t="shared" si="71"/>
        <v>106</v>
      </c>
      <c r="N305" s="27">
        <f t="shared" ref="N305" si="121">N304+2</f>
        <v>39051</v>
      </c>
    </row>
    <row r="306" spans="1:14" x14ac:dyDescent="0.25">
      <c r="A306" s="15">
        <f t="shared" si="70"/>
        <v>2</v>
      </c>
      <c r="B306" s="20">
        <f t="shared" si="73"/>
        <v>305</v>
      </c>
      <c r="C306" s="17">
        <f t="shared" si="74"/>
        <v>97</v>
      </c>
      <c r="D306" s="17" t="str">
        <f t="shared" si="75"/>
        <v>20061205</v>
      </c>
      <c r="E306" s="20" t="str">
        <f t="shared" si="68"/>
        <v>20061205097</v>
      </c>
      <c r="F306" s="19">
        <v>41</v>
      </c>
      <c r="G306" s="19">
        <v>14</v>
      </c>
      <c r="H306" s="19">
        <v>35</v>
      </c>
      <c r="I306" s="19">
        <v>45</v>
      </c>
      <c r="J306" s="19">
        <v>26</v>
      </c>
      <c r="K306" s="19">
        <v>28</v>
      </c>
      <c r="L306" s="19">
        <v>33</v>
      </c>
      <c r="M306" s="19">
        <f t="shared" si="71"/>
        <v>222</v>
      </c>
      <c r="N306" s="27">
        <f t="shared" ref="N306" si="122">N305+5</f>
        <v>39056</v>
      </c>
    </row>
    <row r="307" spans="1:14" x14ac:dyDescent="0.25">
      <c r="A307" s="15">
        <f t="shared" si="70"/>
        <v>4</v>
      </c>
      <c r="B307" s="20">
        <f t="shared" si="73"/>
        <v>306</v>
      </c>
      <c r="C307" s="17">
        <f t="shared" si="74"/>
        <v>98</v>
      </c>
      <c r="D307" s="17" t="str">
        <f t="shared" si="75"/>
        <v>20061207</v>
      </c>
      <c r="E307" s="20" t="str">
        <f t="shared" si="68"/>
        <v>20061207098</v>
      </c>
      <c r="F307" s="19">
        <v>35</v>
      </c>
      <c r="G307" s="19">
        <v>27</v>
      </c>
      <c r="H307" s="19">
        <v>5</v>
      </c>
      <c r="I307" s="19">
        <v>28</v>
      </c>
      <c r="J307" s="19">
        <v>42</v>
      </c>
      <c r="K307" s="19">
        <v>30</v>
      </c>
      <c r="L307" s="19">
        <v>37</v>
      </c>
      <c r="M307" s="19">
        <f t="shared" si="71"/>
        <v>204</v>
      </c>
      <c r="N307" s="27">
        <f t="shared" ref="N307" si="123">N306+2</f>
        <v>39058</v>
      </c>
    </row>
    <row r="308" spans="1:14" x14ac:dyDescent="0.25">
      <c r="A308" s="15">
        <f t="shared" si="70"/>
        <v>2</v>
      </c>
      <c r="B308" s="20">
        <f t="shared" si="73"/>
        <v>307</v>
      </c>
      <c r="C308" s="17">
        <f t="shared" si="74"/>
        <v>99</v>
      </c>
      <c r="D308" s="17" t="str">
        <f t="shared" si="75"/>
        <v>20061212</v>
      </c>
      <c r="E308" s="20" t="str">
        <f t="shared" si="68"/>
        <v>20061212099</v>
      </c>
      <c r="F308" s="19">
        <v>18</v>
      </c>
      <c r="G308" s="19">
        <v>16</v>
      </c>
      <c r="H308" s="19">
        <v>45</v>
      </c>
      <c r="I308" s="19">
        <v>46</v>
      </c>
      <c r="J308" s="19">
        <v>37</v>
      </c>
      <c r="K308" s="19">
        <v>38</v>
      </c>
      <c r="L308" s="19">
        <v>10</v>
      </c>
      <c r="M308" s="19">
        <f t="shared" si="71"/>
        <v>210</v>
      </c>
      <c r="N308" s="27">
        <f t="shared" ref="N308" si="124">N307+5</f>
        <v>39063</v>
      </c>
    </row>
    <row r="309" spans="1:14" x14ac:dyDescent="0.25">
      <c r="A309" s="15">
        <f t="shared" si="70"/>
        <v>4</v>
      </c>
      <c r="B309" s="20">
        <f t="shared" si="73"/>
        <v>308</v>
      </c>
      <c r="C309" s="17">
        <f t="shared" si="74"/>
        <v>100</v>
      </c>
      <c r="D309" s="17" t="str">
        <f t="shared" si="75"/>
        <v>20061214</v>
      </c>
      <c r="E309" s="20" t="str">
        <f t="shared" si="68"/>
        <v>20061214100</v>
      </c>
      <c r="F309" s="19">
        <v>48</v>
      </c>
      <c r="G309" s="19">
        <v>33</v>
      </c>
      <c r="H309" s="19">
        <v>27</v>
      </c>
      <c r="I309" s="19">
        <v>4</v>
      </c>
      <c r="J309" s="19">
        <v>8</v>
      </c>
      <c r="K309" s="19">
        <v>2</v>
      </c>
      <c r="L309" s="19">
        <v>14</v>
      </c>
      <c r="M309" s="19">
        <f t="shared" si="71"/>
        <v>136</v>
      </c>
      <c r="N309" s="27">
        <f t="shared" ref="N309" si="125">N308+2</f>
        <v>39065</v>
      </c>
    </row>
    <row r="310" spans="1:14" x14ac:dyDescent="0.25">
      <c r="A310" s="15">
        <f t="shared" si="70"/>
        <v>2</v>
      </c>
      <c r="B310" s="20">
        <f t="shared" si="73"/>
        <v>309</v>
      </c>
      <c r="C310" s="17">
        <f t="shared" si="74"/>
        <v>101</v>
      </c>
      <c r="D310" s="17" t="str">
        <f t="shared" si="75"/>
        <v>20061219</v>
      </c>
      <c r="E310" s="20" t="str">
        <f t="shared" si="68"/>
        <v>20061219101</v>
      </c>
      <c r="F310" s="19">
        <v>32</v>
      </c>
      <c r="G310" s="19">
        <v>36</v>
      </c>
      <c r="H310" s="19">
        <v>19</v>
      </c>
      <c r="I310" s="19">
        <v>30</v>
      </c>
      <c r="J310" s="19">
        <v>34</v>
      </c>
      <c r="K310" s="19">
        <v>12</v>
      </c>
      <c r="L310" s="19">
        <v>37</v>
      </c>
      <c r="M310" s="19">
        <f t="shared" si="71"/>
        <v>200</v>
      </c>
      <c r="N310" s="27">
        <f t="shared" ref="N310" si="126">N309+5</f>
        <v>39070</v>
      </c>
    </row>
    <row r="311" spans="1:14" x14ac:dyDescent="0.25">
      <c r="A311" s="15">
        <f t="shared" si="70"/>
        <v>4</v>
      </c>
      <c r="B311" s="20">
        <f t="shared" si="73"/>
        <v>310</v>
      </c>
      <c r="C311" s="17">
        <f t="shared" si="74"/>
        <v>102</v>
      </c>
      <c r="D311" s="17" t="str">
        <f t="shared" si="75"/>
        <v>20061221</v>
      </c>
      <c r="E311" s="20" t="str">
        <f t="shared" si="68"/>
        <v>20061221102</v>
      </c>
      <c r="F311" s="19">
        <v>16</v>
      </c>
      <c r="G311" s="19">
        <v>49</v>
      </c>
      <c r="H311" s="19">
        <v>45</v>
      </c>
      <c r="I311" s="19">
        <v>42</v>
      </c>
      <c r="J311" s="19">
        <v>32</v>
      </c>
      <c r="K311" s="19">
        <v>46</v>
      </c>
      <c r="L311" s="19">
        <v>3</v>
      </c>
      <c r="M311" s="19">
        <f t="shared" si="71"/>
        <v>233</v>
      </c>
      <c r="N311" s="27">
        <f t="shared" ref="N311" si="127">N310+2</f>
        <v>39072</v>
      </c>
    </row>
    <row r="312" spans="1:14" x14ac:dyDescent="0.25">
      <c r="A312" s="15">
        <f t="shared" si="70"/>
        <v>2</v>
      </c>
      <c r="B312" s="20">
        <f t="shared" si="73"/>
        <v>311</v>
      </c>
      <c r="C312" s="17">
        <f t="shared" si="74"/>
        <v>103</v>
      </c>
      <c r="D312" s="17" t="str">
        <f t="shared" si="75"/>
        <v>20061226</v>
      </c>
      <c r="E312" s="20" t="str">
        <f t="shared" si="68"/>
        <v>20061226103</v>
      </c>
      <c r="F312" s="19">
        <v>31</v>
      </c>
      <c r="G312" s="19">
        <v>6</v>
      </c>
      <c r="H312" s="19">
        <v>24</v>
      </c>
      <c r="I312" s="19">
        <v>13</v>
      </c>
      <c r="J312" s="19">
        <v>32</v>
      </c>
      <c r="K312" s="19">
        <v>49</v>
      </c>
      <c r="L312" s="19">
        <v>3</v>
      </c>
      <c r="M312" s="19">
        <f t="shared" si="71"/>
        <v>158</v>
      </c>
      <c r="N312" s="27">
        <f t="shared" ref="N312:N314" si="128">N311+5</f>
        <v>39077</v>
      </c>
    </row>
    <row r="313" spans="1:14" x14ac:dyDescent="0.25">
      <c r="A313" s="15">
        <f t="shared" si="70"/>
        <v>4</v>
      </c>
      <c r="B313" s="20">
        <f t="shared" si="73"/>
        <v>312</v>
      </c>
      <c r="C313" s="17">
        <f t="shared" si="74"/>
        <v>104</v>
      </c>
      <c r="D313" s="17" t="str">
        <f t="shared" si="75"/>
        <v>20061228</v>
      </c>
      <c r="E313" s="20" t="str">
        <f t="shared" si="68"/>
        <v>20061228104</v>
      </c>
      <c r="F313" s="19">
        <v>7</v>
      </c>
      <c r="G313" s="19">
        <v>4</v>
      </c>
      <c r="H313" s="19">
        <v>8</v>
      </c>
      <c r="I313" s="19">
        <v>31</v>
      </c>
      <c r="J313" s="19">
        <v>1</v>
      </c>
      <c r="K313" s="19">
        <v>25</v>
      </c>
      <c r="L313" s="19">
        <v>33</v>
      </c>
      <c r="M313" s="19">
        <f t="shared" si="71"/>
        <v>109</v>
      </c>
      <c r="N313" s="27">
        <f t="shared" ref="N313" si="129">N312+2</f>
        <v>39079</v>
      </c>
    </row>
    <row r="314" spans="1:14" x14ac:dyDescent="0.25">
      <c r="A314" s="15">
        <f t="shared" si="70"/>
        <v>2</v>
      </c>
      <c r="B314" s="20">
        <f t="shared" si="73"/>
        <v>313</v>
      </c>
      <c r="C314" s="17">
        <v>1</v>
      </c>
      <c r="D314" s="17" t="str">
        <f t="shared" si="75"/>
        <v>20070102</v>
      </c>
      <c r="E314" s="20" t="str">
        <f t="shared" si="68"/>
        <v>20070102001</v>
      </c>
      <c r="F314" s="19">
        <v>27</v>
      </c>
      <c r="G314" s="19">
        <v>31</v>
      </c>
      <c r="H314" s="19">
        <v>13</v>
      </c>
      <c r="I314" s="19">
        <v>49</v>
      </c>
      <c r="J314" s="19">
        <v>23</v>
      </c>
      <c r="K314" s="19">
        <v>21</v>
      </c>
      <c r="L314" s="19">
        <v>19</v>
      </c>
      <c r="M314" s="19">
        <f t="shared" si="71"/>
        <v>183</v>
      </c>
      <c r="N314" s="27">
        <f t="shared" si="128"/>
        <v>39084</v>
      </c>
    </row>
    <row r="315" spans="1:14" x14ac:dyDescent="0.25">
      <c r="A315" s="15">
        <f t="shared" si="70"/>
        <v>5</v>
      </c>
      <c r="B315" s="20">
        <f t="shared" si="73"/>
        <v>314</v>
      </c>
      <c r="C315" s="17">
        <f t="shared" si="74"/>
        <v>2</v>
      </c>
      <c r="D315" s="17" t="str">
        <f t="shared" si="75"/>
        <v>20070105</v>
      </c>
      <c r="E315" s="20" t="str">
        <f t="shared" si="68"/>
        <v>20070105002</v>
      </c>
      <c r="F315" s="19">
        <v>19</v>
      </c>
      <c r="G315" s="19">
        <v>44</v>
      </c>
      <c r="H315" s="19">
        <v>42</v>
      </c>
      <c r="I315" s="19">
        <v>48</v>
      </c>
      <c r="J315" s="19">
        <v>23</v>
      </c>
      <c r="K315" s="19">
        <v>12</v>
      </c>
      <c r="L315" s="19">
        <v>33</v>
      </c>
      <c r="M315" s="19">
        <f t="shared" si="71"/>
        <v>221</v>
      </c>
      <c r="N315" s="27">
        <f>N314+3</f>
        <v>39087</v>
      </c>
    </row>
    <row r="316" spans="1:14" x14ac:dyDescent="0.25">
      <c r="A316" s="15">
        <f t="shared" si="70"/>
        <v>2</v>
      </c>
      <c r="B316" s="20">
        <f t="shared" si="73"/>
        <v>315</v>
      </c>
      <c r="C316" s="17">
        <f t="shared" si="74"/>
        <v>3</v>
      </c>
      <c r="D316" s="17" t="str">
        <f t="shared" si="75"/>
        <v>20070109</v>
      </c>
      <c r="E316" s="20" t="str">
        <f t="shared" si="68"/>
        <v>20070109003</v>
      </c>
      <c r="F316" s="19">
        <v>28</v>
      </c>
      <c r="G316" s="19">
        <v>39</v>
      </c>
      <c r="H316" s="19">
        <v>35</v>
      </c>
      <c r="I316" s="19">
        <v>45</v>
      </c>
      <c r="J316" s="19">
        <v>26</v>
      </c>
      <c r="K316" s="19">
        <v>44</v>
      </c>
      <c r="L316" s="19">
        <v>18</v>
      </c>
      <c r="M316" s="19">
        <f t="shared" si="71"/>
        <v>235</v>
      </c>
      <c r="N316" s="27">
        <f>N315+4</f>
        <v>39091</v>
      </c>
    </row>
    <row r="317" spans="1:14" x14ac:dyDescent="0.25">
      <c r="A317" s="15">
        <f t="shared" si="70"/>
        <v>5</v>
      </c>
      <c r="B317" s="20">
        <f t="shared" si="73"/>
        <v>316</v>
      </c>
      <c r="C317" s="17">
        <f t="shared" si="74"/>
        <v>4</v>
      </c>
      <c r="D317" s="17" t="str">
        <f t="shared" si="75"/>
        <v>20070112</v>
      </c>
      <c r="E317" s="20" t="str">
        <f t="shared" si="68"/>
        <v>20070112004</v>
      </c>
      <c r="F317" s="19">
        <v>26</v>
      </c>
      <c r="G317" s="19">
        <v>31</v>
      </c>
      <c r="H317" s="19">
        <v>33</v>
      </c>
      <c r="I317" s="19">
        <v>10</v>
      </c>
      <c r="J317" s="19">
        <v>28</v>
      </c>
      <c r="K317" s="19">
        <v>16</v>
      </c>
      <c r="L317" s="19">
        <v>44</v>
      </c>
      <c r="M317" s="19">
        <f t="shared" si="71"/>
        <v>188</v>
      </c>
      <c r="N317" s="27">
        <f>N316+3</f>
        <v>39094</v>
      </c>
    </row>
    <row r="318" spans="1:14" x14ac:dyDescent="0.25">
      <c r="A318" s="15">
        <f t="shared" si="70"/>
        <v>2</v>
      </c>
      <c r="B318" s="20">
        <f t="shared" si="73"/>
        <v>317</v>
      </c>
      <c r="C318" s="17">
        <f t="shared" si="74"/>
        <v>5</v>
      </c>
      <c r="D318" s="17" t="str">
        <f t="shared" si="75"/>
        <v>20070116</v>
      </c>
      <c r="E318" s="20" t="str">
        <f t="shared" si="68"/>
        <v>20070116005</v>
      </c>
      <c r="F318" s="19">
        <v>28</v>
      </c>
      <c r="G318" s="19">
        <v>38</v>
      </c>
      <c r="H318" s="19">
        <v>13</v>
      </c>
      <c r="I318" s="19">
        <v>33</v>
      </c>
      <c r="J318" s="19">
        <v>43</v>
      </c>
      <c r="K318" s="19">
        <v>48</v>
      </c>
      <c r="L318" s="19">
        <v>4</v>
      </c>
      <c r="M318" s="19">
        <f t="shared" si="71"/>
        <v>207</v>
      </c>
      <c r="N318" s="27">
        <f t="shared" ref="N318" si="130">N317+4</f>
        <v>39098</v>
      </c>
    </row>
    <row r="319" spans="1:14" x14ac:dyDescent="0.25">
      <c r="A319" s="15">
        <f t="shared" si="70"/>
        <v>5</v>
      </c>
      <c r="B319" s="20">
        <f t="shared" si="73"/>
        <v>318</v>
      </c>
      <c r="C319" s="17">
        <f t="shared" si="74"/>
        <v>6</v>
      </c>
      <c r="D319" s="17" t="str">
        <f t="shared" si="75"/>
        <v>20070119</v>
      </c>
      <c r="E319" s="20" t="str">
        <f t="shared" si="68"/>
        <v>20070119006</v>
      </c>
      <c r="F319" s="19">
        <v>46</v>
      </c>
      <c r="G319" s="19">
        <v>45</v>
      </c>
      <c r="H319" s="19">
        <v>44</v>
      </c>
      <c r="I319" s="19">
        <v>26</v>
      </c>
      <c r="J319" s="19">
        <v>6</v>
      </c>
      <c r="K319" s="19">
        <v>27</v>
      </c>
      <c r="L319" s="19">
        <v>2</v>
      </c>
      <c r="M319" s="19">
        <f t="shared" si="71"/>
        <v>196</v>
      </c>
      <c r="N319" s="27">
        <f t="shared" ref="N319" si="131">N318+3</f>
        <v>39101</v>
      </c>
    </row>
    <row r="320" spans="1:14" x14ac:dyDescent="0.25">
      <c r="A320" s="15">
        <f t="shared" si="70"/>
        <v>2</v>
      </c>
      <c r="B320" s="20">
        <f t="shared" si="73"/>
        <v>319</v>
      </c>
      <c r="C320" s="17">
        <f t="shared" si="74"/>
        <v>7</v>
      </c>
      <c r="D320" s="17" t="str">
        <f t="shared" si="75"/>
        <v>20070123</v>
      </c>
      <c r="E320" s="20" t="str">
        <f t="shared" si="68"/>
        <v>20070123007</v>
      </c>
      <c r="F320" s="19">
        <v>44</v>
      </c>
      <c r="G320" s="19">
        <v>15</v>
      </c>
      <c r="H320" s="19">
        <v>7</v>
      </c>
      <c r="I320" s="19">
        <v>31</v>
      </c>
      <c r="J320" s="19">
        <v>36</v>
      </c>
      <c r="K320" s="19">
        <v>6</v>
      </c>
      <c r="L320" s="19">
        <v>29</v>
      </c>
      <c r="M320" s="19">
        <f t="shared" si="71"/>
        <v>168</v>
      </c>
      <c r="N320" s="27">
        <f t="shared" ref="N320" si="132">N319+4</f>
        <v>39105</v>
      </c>
    </row>
    <row r="321" spans="1:14" x14ac:dyDescent="0.25">
      <c r="A321" s="15">
        <f t="shared" si="70"/>
        <v>5</v>
      </c>
      <c r="B321" s="20">
        <f t="shared" si="73"/>
        <v>320</v>
      </c>
      <c r="C321" s="17">
        <f t="shared" si="74"/>
        <v>8</v>
      </c>
      <c r="D321" s="17" t="str">
        <f t="shared" si="75"/>
        <v>20070126</v>
      </c>
      <c r="E321" s="20" t="str">
        <f t="shared" si="68"/>
        <v>20070126008</v>
      </c>
      <c r="F321" s="19">
        <v>8</v>
      </c>
      <c r="G321" s="19">
        <v>13</v>
      </c>
      <c r="H321" s="19">
        <v>18</v>
      </c>
      <c r="I321" s="19">
        <v>26</v>
      </c>
      <c r="J321" s="19">
        <v>34</v>
      </c>
      <c r="K321" s="19">
        <v>36</v>
      </c>
      <c r="L321" s="19">
        <v>17</v>
      </c>
      <c r="M321" s="19">
        <f t="shared" si="71"/>
        <v>152</v>
      </c>
      <c r="N321" s="27">
        <f t="shared" ref="N321" si="133">N320+3</f>
        <v>39108</v>
      </c>
    </row>
    <row r="322" spans="1:14" x14ac:dyDescent="0.25">
      <c r="A322" s="15">
        <f t="shared" si="70"/>
        <v>2</v>
      </c>
      <c r="B322" s="20">
        <f t="shared" si="73"/>
        <v>321</v>
      </c>
      <c r="C322" s="17">
        <f t="shared" si="74"/>
        <v>9</v>
      </c>
      <c r="D322" s="17" t="str">
        <f t="shared" si="75"/>
        <v>20070130</v>
      </c>
      <c r="E322" s="20" t="str">
        <f t="shared" ref="E322:E385" si="134">CONCATENATE(D322,TEXT(C322,"000"))</f>
        <v>20070130009</v>
      </c>
      <c r="F322" s="19">
        <v>45</v>
      </c>
      <c r="G322" s="19">
        <v>6</v>
      </c>
      <c r="H322" s="19">
        <v>26</v>
      </c>
      <c r="I322" s="19">
        <v>18</v>
      </c>
      <c r="J322" s="19">
        <v>39</v>
      </c>
      <c r="K322" s="19">
        <v>42</v>
      </c>
      <c r="L322" s="19">
        <v>14</v>
      </c>
      <c r="M322" s="19">
        <f t="shared" si="71"/>
        <v>190</v>
      </c>
      <c r="N322" s="27">
        <f t="shared" ref="N322:N384" si="135">N321+4</f>
        <v>39112</v>
      </c>
    </row>
    <row r="323" spans="1:14" x14ac:dyDescent="0.25">
      <c r="A323" s="15">
        <f t="shared" ref="A323:A386" si="136">WEEKDAY(N323,2)</f>
        <v>5</v>
      </c>
      <c r="B323" s="20">
        <f t="shared" si="73"/>
        <v>322</v>
      </c>
      <c r="C323" s="17">
        <f t="shared" si="74"/>
        <v>10</v>
      </c>
      <c r="D323" s="17" t="str">
        <f t="shared" si="75"/>
        <v>20070202</v>
      </c>
      <c r="E323" s="20" t="str">
        <f t="shared" si="134"/>
        <v>20070202010</v>
      </c>
      <c r="F323" s="19">
        <v>48</v>
      </c>
      <c r="G323" s="19">
        <v>10</v>
      </c>
      <c r="H323" s="19">
        <v>12</v>
      </c>
      <c r="I323" s="19">
        <v>7</v>
      </c>
      <c r="J323" s="19">
        <v>8</v>
      </c>
      <c r="K323" s="19">
        <v>47</v>
      </c>
      <c r="L323" s="19">
        <v>38</v>
      </c>
      <c r="M323" s="19">
        <f t="shared" ref="M323:M386" si="137">SUM(F323:L323)</f>
        <v>170</v>
      </c>
      <c r="N323" s="27">
        <f t="shared" ref="N323:N385" si="138">N322+3</f>
        <v>39115</v>
      </c>
    </row>
    <row r="324" spans="1:14" x14ac:dyDescent="0.25">
      <c r="A324" s="15">
        <f t="shared" si="136"/>
        <v>2</v>
      </c>
      <c r="B324" s="20">
        <f t="shared" ref="B324:B387" si="139">B323+1</f>
        <v>323</v>
      </c>
      <c r="C324" s="17">
        <f t="shared" ref="C324:C387" si="140">C323+1</f>
        <v>11</v>
      </c>
      <c r="D324" s="17" t="str">
        <f t="shared" ref="D324:D387" si="141">CONCATENATE(TEXT(YEAR(N324),"0000"),TEXT(MONTH(N324),"00"),TEXT(DAY(N324),"00"))</f>
        <v>20070206</v>
      </c>
      <c r="E324" s="20" t="str">
        <f t="shared" si="134"/>
        <v>20070206011</v>
      </c>
      <c r="F324" s="19">
        <v>16</v>
      </c>
      <c r="G324" s="19">
        <v>26</v>
      </c>
      <c r="H324" s="19">
        <v>32</v>
      </c>
      <c r="I324" s="19">
        <v>48</v>
      </c>
      <c r="J324" s="19">
        <v>12</v>
      </c>
      <c r="K324" s="19">
        <v>41</v>
      </c>
      <c r="L324" s="19">
        <v>1</v>
      </c>
      <c r="M324" s="19">
        <f t="shared" si="137"/>
        <v>176</v>
      </c>
      <c r="N324" s="27">
        <f t="shared" si="135"/>
        <v>39119</v>
      </c>
    </row>
    <row r="325" spans="1:14" x14ac:dyDescent="0.25">
      <c r="A325" s="15">
        <f t="shared" si="136"/>
        <v>5</v>
      </c>
      <c r="B325" s="20">
        <f t="shared" si="139"/>
        <v>324</v>
      </c>
      <c r="C325" s="17">
        <f t="shared" si="140"/>
        <v>12</v>
      </c>
      <c r="D325" s="17" t="str">
        <f t="shared" si="141"/>
        <v>20070209</v>
      </c>
      <c r="E325" s="20" t="str">
        <f t="shared" si="134"/>
        <v>20070209012</v>
      </c>
      <c r="F325" s="19">
        <v>45</v>
      </c>
      <c r="G325" s="19">
        <v>7</v>
      </c>
      <c r="H325" s="19">
        <v>28</v>
      </c>
      <c r="I325" s="19">
        <v>41</v>
      </c>
      <c r="J325" s="19">
        <v>48</v>
      </c>
      <c r="K325" s="19">
        <v>30</v>
      </c>
      <c r="L325" s="19">
        <v>44</v>
      </c>
      <c r="M325" s="19">
        <f t="shared" si="137"/>
        <v>243</v>
      </c>
      <c r="N325" s="27">
        <f t="shared" si="138"/>
        <v>39122</v>
      </c>
    </row>
    <row r="326" spans="1:14" x14ac:dyDescent="0.25">
      <c r="A326" s="15">
        <f t="shared" si="136"/>
        <v>2</v>
      </c>
      <c r="B326" s="20">
        <f t="shared" si="139"/>
        <v>325</v>
      </c>
      <c r="C326" s="17">
        <f t="shared" si="140"/>
        <v>13</v>
      </c>
      <c r="D326" s="17" t="str">
        <f t="shared" si="141"/>
        <v>20070213</v>
      </c>
      <c r="E326" s="20" t="str">
        <f t="shared" si="134"/>
        <v>20070213013</v>
      </c>
      <c r="F326" s="19">
        <v>2</v>
      </c>
      <c r="G326" s="19">
        <v>46</v>
      </c>
      <c r="H326" s="19">
        <v>25</v>
      </c>
      <c r="I326" s="19">
        <v>39</v>
      </c>
      <c r="J326" s="19">
        <v>8</v>
      </c>
      <c r="K326" s="19">
        <v>43</v>
      </c>
      <c r="L326" s="19">
        <v>13</v>
      </c>
      <c r="M326" s="19">
        <f t="shared" si="137"/>
        <v>176</v>
      </c>
      <c r="N326" s="27">
        <f t="shared" si="135"/>
        <v>39126</v>
      </c>
    </row>
    <row r="327" spans="1:14" x14ac:dyDescent="0.25">
      <c r="A327" s="15">
        <f t="shared" si="136"/>
        <v>5</v>
      </c>
      <c r="B327" s="20">
        <f t="shared" si="139"/>
        <v>326</v>
      </c>
      <c r="C327" s="17">
        <f t="shared" si="140"/>
        <v>14</v>
      </c>
      <c r="D327" s="17" t="str">
        <f t="shared" si="141"/>
        <v>20070216</v>
      </c>
      <c r="E327" s="20" t="str">
        <f t="shared" si="134"/>
        <v>20070216014</v>
      </c>
      <c r="F327" s="19">
        <v>34</v>
      </c>
      <c r="G327" s="19">
        <v>48</v>
      </c>
      <c r="H327" s="19">
        <v>44</v>
      </c>
      <c r="I327" s="19">
        <v>19</v>
      </c>
      <c r="J327" s="19">
        <v>27</v>
      </c>
      <c r="K327" s="19">
        <v>18</v>
      </c>
      <c r="L327" s="19">
        <v>37</v>
      </c>
      <c r="M327" s="19">
        <f t="shared" si="137"/>
        <v>227</v>
      </c>
      <c r="N327" s="27">
        <f t="shared" si="138"/>
        <v>39129</v>
      </c>
    </row>
    <row r="328" spans="1:14" x14ac:dyDescent="0.25">
      <c r="A328" s="15">
        <f t="shared" si="136"/>
        <v>2</v>
      </c>
      <c r="B328" s="20">
        <f t="shared" si="139"/>
        <v>327</v>
      </c>
      <c r="C328" s="17">
        <f t="shared" si="140"/>
        <v>15</v>
      </c>
      <c r="D328" s="17" t="str">
        <f t="shared" si="141"/>
        <v>20070220</v>
      </c>
      <c r="E328" s="20" t="str">
        <f t="shared" si="134"/>
        <v>20070220015</v>
      </c>
      <c r="F328" s="19">
        <v>1</v>
      </c>
      <c r="G328" s="19">
        <v>19</v>
      </c>
      <c r="H328" s="19">
        <v>45</v>
      </c>
      <c r="I328" s="19">
        <v>38</v>
      </c>
      <c r="J328" s="19">
        <v>33</v>
      </c>
      <c r="K328" s="19">
        <v>13</v>
      </c>
      <c r="L328" s="19">
        <v>36</v>
      </c>
      <c r="M328" s="19">
        <f t="shared" si="137"/>
        <v>185</v>
      </c>
      <c r="N328" s="27">
        <f t="shared" si="135"/>
        <v>39133</v>
      </c>
    </row>
    <row r="329" spans="1:14" x14ac:dyDescent="0.25">
      <c r="A329" s="15">
        <f t="shared" si="136"/>
        <v>5</v>
      </c>
      <c r="B329" s="20">
        <f t="shared" si="139"/>
        <v>328</v>
      </c>
      <c r="C329" s="17">
        <f t="shared" si="140"/>
        <v>16</v>
      </c>
      <c r="D329" s="17" t="str">
        <f t="shared" si="141"/>
        <v>20070223</v>
      </c>
      <c r="E329" s="20" t="str">
        <f t="shared" si="134"/>
        <v>20070223016</v>
      </c>
      <c r="F329" s="19">
        <v>13</v>
      </c>
      <c r="G329" s="19">
        <v>39</v>
      </c>
      <c r="H329" s="19">
        <v>41</v>
      </c>
      <c r="I329" s="19">
        <v>25</v>
      </c>
      <c r="J329" s="19">
        <v>5</v>
      </c>
      <c r="K329" s="19">
        <v>30</v>
      </c>
      <c r="L329" s="19">
        <v>36</v>
      </c>
      <c r="M329" s="19">
        <f t="shared" si="137"/>
        <v>189</v>
      </c>
      <c r="N329" s="27">
        <f t="shared" si="138"/>
        <v>39136</v>
      </c>
    </row>
    <row r="330" spans="1:14" x14ac:dyDescent="0.25">
      <c r="A330" s="15">
        <f t="shared" si="136"/>
        <v>2</v>
      </c>
      <c r="B330" s="20">
        <f t="shared" si="139"/>
        <v>329</v>
      </c>
      <c r="C330" s="17">
        <f t="shared" si="140"/>
        <v>17</v>
      </c>
      <c r="D330" s="17" t="str">
        <f t="shared" si="141"/>
        <v>20070227</v>
      </c>
      <c r="E330" s="20" t="str">
        <f t="shared" si="134"/>
        <v>20070227017</v>
      </c>
      <c r="F330" s="19">
        <v>49</v>
      </c>
      <c r="G330" s="19">
        <v>39</v>
      </c>
      <c r="H330" s="19">
        <v>6</v>
      </c>
      <c r="I330" s="19">
        <v>36</v>
      </c>
      <c r="J330" s="19">
        <v>48</v>
      </c>
      <c r="K330" s="19">
        <v>22</v>
      </c>
      <c r="L330" s="19">
        <v>28</v>
      </c>
      <c r="M330" s="19">
        <f t="shared" si="137"/>
        <v>228</v>
      </c>
      <c r="N330" s="27">
        <f t="shared" si="135"/>
        <v>39140</v>
      </c>
    </row>
    <row r="331" spans="1:14" x14ac:dyDescent="0.25">
      <c r="A331" s="15">
        <f t="shared" si="136"/>
        <v>5</v>
      </c>
      <c r="B331" s="20">
        <f t="shared" si="139"/>
        <v>330</v>
      </c>
      <c r="C331" s="17">
        <f t="shared" si="140"/>
        <v>18</v>
      </c>
      <c r="D331" s="17" t="str">
        <f t="shared" si="141"/>
        <v>20070302</v>
      </c>
      <c r="E331" s="20" t="str">
        <f t="shared" si="134"/>
        <v>20070302018</v>
      </c>
      <c r="F331" s="19">
        <v>15</v>
      </c>
      <c r="G331" s="19">
        <v>39</v>
      </c>
      <c r="H331" s="19">
        <v>49</v>
      </c>
      <c r="I331" s="19">
        <v>32</v>
      </c>
      <c r="J331" s="19">
        <v>12</v>
      </c>
      <c r="K331" s="19">
        <v>24</v>
      </c>
      <c r="L331" s="19">
        <v>6</v>
      </c>
      <c r="M331" s="19">
        <f t="shared" si="137"/>
        <v>177</v>
      </c>
      <c r="N331" s="27">
        <f t="shared" si="138"/>
        <v>39143</v>
      </c>
    </row>
    <row r="332" spans="1:14" x14ac:dyDescent="0.25">
      <c r="A332" s="15">
        <f t="shared" si="136"/>
        <v>2</v>
      </c>
      <c r="B332" s="20">
        <f t="shared" si="139"/>
        <v>331</v>
      </c>
      <c r="C332" s="17">
        <f t="shared" si="140"/>
        <v>19</v>
      </c>
      <c r="D332" s="17" t="str">
        <f t="shared" si="141"/>
        <v>20070306</v>
      </c>
      <c r="E332" s="20" t="str">
        <f t="shared" si="134"/>
        <v>20070306019</v>
      </c>
      <c r="F332" s="19">
        <v>33</v>
      </c>
      <c r="G332" s="19">
        <v>2</v>
      </c>
      <c r="H332" s="19">
        <v>15</v>
      </c>
      <c r="I332" s="19">
        <v>46</v>
      </c>
      <c r="J332" s="19">
        <v>16</v>
      </c>
      <c r="K332" s="19">
        <v>31</v>
      </c>
      <c r="L332" s="19">
        <v>40</v>
      </c>
      <c r="M332" s="19">
        <f t="shared" si="137"/>
        <v>183</v>
      </c>
      <c r="N332" s="27">
        <f t="shared" si="135"/>
        <v>39147</v>
      </c>
    </row>
    <row r="333" spans="1:14" x14ac:dyDescent="0.25">
      <c r="A333" s="15">
        <f t="shared" si="136"/>
        <v>5</v>
      </c>
      <c r="B333" s="20">
        <f t="shared" si="139"/>
        <v>332</v>
      </c>
      <c r="C333" s="17">
        <f t="shared" si="140"/>
        <v>20</v>
      </c>
      <c r="D333" s="17" t="str">
        <f t="shared" si="141"/>
        <v>20070309</v>
      </c>
      <c r="E333" s="20" t="str">
        <f t="shared" si="134"/>
        <v>20070309020</v>
      </c>
      <c r="F333" s="19">
        <v>21</v>
      </c>
      <c r="G333" s="19">
        <v>14</v>
      </c>
      <c r="H333" s="19">
        <v>23</v>
      </c>
      <c r="I333" s="19">
        <v>31</v>
      </c>
      <c r="J333" s="19">
        <v>20</v>
      </c>
      <c r="K333" s="19">
        <v>12</v>
      </c>
      <c r="L333" s="19">
        <v>45</v>
      </c>
      <c r="M333" s="19">
        <f t="shared" si="137"/>
        <v>166</v>
      </c>
      <c r="N333" s="27">
        <f t="shared" si="138"/>
        <v>39150</v>
      </c>
    </row>
    <row r="334" spans="1:14" x14ac:dyDescent="0.25">
      <c r="A334" s="15">
        <f t="shared" si="136"/>
        <v>2</v>
      </c>
      <c r="B334" s="20">
        <f t="shared" si="139"/>
        <v>333</v>
      </c>
      <c r="C334" s="17">
        <f t="shared" si="140"/>
        <v>21</v>
      </c>
      <c r="D334" s="17" t="str">
        <f t="shared" si="141"/>
        <v>20070313</v>
      </c>
      <c r="E334" s="20" t="str">
        <f t="shared" si="134"/>
        <v>20070313021</v>
      </c>
      <c r="F334" s="19">
        <v>41</v>
      </c>
      <c r="G334" s="19">
        <v>4</v>
      </c>
      <c r="H334" s="19">
        <v>22</v>
      </c>
      <c r="I334" s="19">
        <v>13</v>
      </c>
      <c r="J334" s="19">
        <v>24</v>
      </c>
      <c r="K334" s="19">
        <v>26</v>
      </c>
      <c r="L334" s="19">
        <v>28</v>
      </c>
      <c r="M334" s="19">
        <f t="shared" si="137"/>
        <v>158</v>
      </c>
      <c r="N334" s="27">
        <f t="shared" si="135"/>
        <v>39154</v>
      </c>
    </row>
    <row r="335" spans="1:14" x14ac:dyDescent="0.25">
      <c r="A335" s="15">
        <f t="shared" si="136"/>
        <v>5</v>
      </c>
      <c r="B335" s="20">
        <f t="shared" si="139"/>
        <v>334</v>
      </c>
      <c r="C335" s="17">
        <f t="shared" si="140"/>
        <v>22</v>
      </c>
      <c r="D335" s="17" t="str">
        <f t="shared" si="141"/>
        <v>20070316</v>
      </c>
      <c r="E335" s="20" t="str">
        <f t="shared" si="134"/>
        <v>20070316022</v>
      </c>
      <c r="F335" s="19">
        <v>35</v>
      </c>
      <c r="G335" s="19">
        <v>43</v>
      </c>
      <c r="H335" s="19">
        <v>28</v>
      </c>
      <c r="I335" s="19">
        <v>49</v>
      </c>
      <c r="J335" s="19">
        <v>36</v>
      </c>
      <c r="K335" s="19">
        <v>38</v>
      </c>
      <c r="L335" s="19">
        <v>47</v>
      </c>
      <c r="M335" s="19">
        <f t="shared" si="137"/>
        <v>276</v>
      </c>
      <c r="N335" s="27">
        <f t="shared" si="138"/>
        <v>39157</v>
      </c>
    </row>
    <row r="336" spans="1:14" x14ac:dyDescent="0.25">
      <c r="A336" s="15">
        <f t="shared" si="136"/>
        <v>2</v>
      </c>
      <c r="B336" s="20">
        <f t="shared" si="139"/>
        <v>335</v>
      </c>
      <c r="C336" s="17">
        <f t="shared" si="140"/>
        <v>23</v>
      </c>
      <c r="D336" s="17" t="str">
        <f t="shared" si="141"/>
        <v>20070320</v>
      </c>
      <c r="E336" s="20" t="str">
        <f t="shared" si="134"/>
        <v>20070320023</v>
      </c>
      <c r="F336" s="19">
        <v>47</v>
      </c>
      <c r="G336" s="19">
        <v>37</v>
      </c>
      <c r="H336" s="19">
        <v>14</v>
      </c>
      <c r="I336" s="19">
        <v>15</v>
      </c>
      <c r="J336" s="19">
        <v>25</v>
      </c>
      <c r="K336" s="19">
        <v>49</v>
      </c>
      <c r="L336" s="19">
        <v>13</v>
      </c>
      <c r="M336" s="19">
        <f t="shared" si="137"/>
        <v>200</v>
      </c>
      <c r="N336" s="27">
        <f t="shared" si="135"/>
        <v>39161</v>
      </c>
    </row>
    <row r="337" spans="1:14" x14ac:dyDescent="0.25">
      <c r="A337" s="15">
        <f t="shared" si="136"/>
        <v>5</v>
      </c>
      <c r="B337" s="20">
        <f t="shared" si="139"/>
        <v>336</v>
      </c>
      <c r="C337" s="17">
        <f t="shared" si="140"/>
        <v>24</v>
      </c>
      <c r="D337" s="17" t="str">
        <f t="shared" si="141"/>
        <v>20070323</v>
      </c>
      <c r="E337" s="20" t="str">
        <f t="shared" si="134"/>
        <v>20070323024</v>
      </c>
      <c r="F337" s="19">
        <v>19</v>
      </c>
      <c r="G337" s="19">
        <v>32</v>
      </c>
      <c r="H337" s="19">
        <v>17</v>
      </c>
      <c r="I337" s="19">
        <v>20</v>
      </c>
      <c r="J337" s="19">
        <v>5</v>
      </c>
      <c r="K337" s="19">
        <v>6</v>
      </c>
      <c r="L337" s="19">
        <v>18</v>
      </c>
      <c r="M337" s="19">
        <f t="shared" si="137"/>
        <v>117</v>
      </c>
      <c r="N337" s="27">
        <f t="shared" si="138"/>
        <v>39164</v>
      </c>
    </row>
    <row r="338" spans="1:14" x14ac:dyDescent="0.25">
      <c r="A338" s="15">
        <f t="shared" si="136"/>
        <v>2</v>
      </c>
      <c r="B338" s="20">
        <f t="shared" si="139"/>
        <v>337</v>
      </c>
      <c r="C338" s="17">
        <f t="shared" si="140"/>
        <v>25</v>
      </c>
      <c r="D338" s="17" t="str">
        <f t="shared" si="141"/>
        <v>20070327</v>
      </c>
      <c r="E338" s="20" t="str">
        <f t="shared" si="134"/>
        <v>20070327025</v>
      </c>
      <c r="F338" s="19">
        <v>39</v>
      </c>
      <c r="G338" s="19">
        <v>11</v>
      </c>
      <c r="H338" s="19">
        <v>21</v>
      </c>
      <c r="I338" s="19">
        <v>42</v>
      </c>
      <c r="J338" s="19">
        <v>43</v>
      </c>
      <c r="K338" s="19">
        <v>4</v>
      </c>
      <c r="L338" s="19">
        <v>10</v>
      </c>
      <c r="M338" s="19">
        <f t="shared" si="137"/>
        <v>170</v>
      </c>
      <c r="N338" s="27">
        <f t="shared" si="135"/>
        <v>39168</v>
      </c>
    </row>
    <row r="339" spans="1:14" x14ac:dyDescent="0.25">
      <c r="A339" s="15">
        <f t="shared" si="136"/>
        <v>5</v>
      </c>
      <c r="B339" s="20">
        <f t="shared" si="139"/>
        <v>338</v>
      </c>
      <c r="C339" s="17">
        <f t="shared" si="140"/>
        <v>26</v>
      </c>
      <c r="D339" s="17" t="str">
        <f t="shared" si="141"/>
        <v>20070330</v>
      </c>
      <c r="E339" s="20" t="str">
        <f t="shared" si="134"/>
        <v>20070330026</v>
      </c>
      <c r="F339" s="19">
        <v>14</v>
      </c>
      <c r="G339" s="19">
        <v>45</v>
      </c>
      <c r="H339" s="19">
        <v>46</v>
      </c>
      <c r="I339" s="19">
        <v>40</v>
      </c>
      <c r="J339" s="19">
        <v>33</v>
      </c>
      <c r="K339" s="19">
        <v>31</v>
      </c>
      <c r="L339" s="19">
        <v>49</v>
      </c>
      <c r="M339" s="19">
        <f t="shared" si="137"/>
        <v>258</v>
      </c>
      <c r="N339" s="27">
        <f t="shared" si="138"/>
        <v>39171</v>
      </c>
    </row>
    <row r="340" spans="1:14" x14ac:dyDescent="0.25">
      <c r="A340" s="15">
        <f t="shared" si="136"/>
        <v>2</v>
      </c>
      <c r="B340" s="20">
        <f t="shared" si="139"/>
        <v>339</v>
      </c>
      <c r="C340" s="17">
        <f t="shared" si="140"/>
        <v>27</v>
      </c>
      <c r="D340" s="17" t="str">
        <f t="shared" si="141"/>
        <v>20070403</v>
      </c>
      <c r="E340" s="20" t="str">
        <f t="shared" si="134"/>
        <v>20070403027</v>
      </c>
      <c r="F340" s="19">
        <v>39</v>
      </c>
      <c r="G340" s="19">
        <v>49</v>
      </c>
      <c r="H340" s="19">
        <v>45</v>
      </c>
      <c r="I340" s="19">
        <v>4</v>
      </c>
      <c r="J340" s="19">
        <v>10</v>
      </c>
      <c r="K340" s="19">
        <v>43</v>
      </c>
      <c r="L340" s="19">
        <v>33</v>
      </c>
      <c r="M340" s="19">
        <f t="shared" si="137"/>
        <v>223</v>
      </c>
      <c r="N340" s="27">
        <f t="shared" si="135"/>
        <v>39175</v>
      </c>
    </row>
    <row r="341" spans="1:14" x14ac:dyDescent="0.25">
      <c r="A341" s="15">
        <f t="shared" si="136"/>
        <v>5</v>
      </c>
      <c r="B341" s="20">
        <f t="shared" si="139"/>
        <v>340</v>
      </c>
      <c r="C341" s="17">
        <f t="shared" si="140"/>
        <v>28</v>
      </c>
      <c r="D341" s="17" t="str">
        <f t="shared" si="141"/>
        <v>20070406</v>
      </c>
      <c r="E341" s="20" t="str">
        <f t="shared" si="134"/>
        <v>20070406028</v>
      </c>
      <c r="F341" s="19">
        <v>18</v>
      </c>
      <c r="G341" s="19">
        <v>22</v>
      </c>
      <c r="H341" s="19">
        <v>37</v>
      </c>
      <c r="I341" s="19">
        <v>34</v>
      </c>
      <c r="J341" s="19">
        <v>35</v>
      </c>
      <c r="K341" s="19">
        <v>10</v>
      </c>
      <c r="L341" s="19">
        <v>41</v>
      </c>
      <c r="M341" s="19">
        <f t="shared" si="137"/>
        <v>197</v>
      </c>
      <c r="N341" s="27">
        <f t="shared" si="138"/>
        <v>39178</v>
      </c>
    </row>
    <row r="342" spans="1:14" x14ac:dyDescent="0.25">
      <c r="A342" s="15">
        <f t="shared" si="136"/>
        <v>2</v>
      </c>
      <c r="B342" s="20">
        <f t="shared" si="139"/>
        <v>341</v>
      </c>
      <c r="C342" s="17">
        <f t="shared" si="140"/>
        <v>29</v>
      </c>
      <c r="D342" s="17" t="str">
        <f t="shared" si="141"/>
        <v>20070410</v>
      </c>
      <c r="E342" s="20" t="str">
        <f t="shared" si="134"/>
        <v>20070410029</v>
      </c>
      <c r="F342" s="19">
        <v>20</v>
      </c>
      <c r="G342" s="19">
        <v>6</v>
      </c>
      <c r="H342" s="19">
        <v>42</v>
      </c>
      <c r="I342" s="19">
        <v>2</v>
      </c>
      <c r="J342" s="19">
        <v>47</v>
      </c>
      <c r="K342" s="19">
        <v>4</v>
      </c>
      <c r="L342" s="19">
        <v>39</v>
      </c>
      <c r="M342" s="19">
        <f t="shared" si="137"/>
        <v>160</v>
      </c>
      <c r="N342" s="27">
        <f t="shared" si="135"/>
        <v>39182</v>
      </c>
    </row>
    <row r="343" spans="1:14" x14ac:dyDescent="0.25">
      <c r="A343" s="15">
        <f t="shared" si="136"/>
        <v>5</v>
      </c>
      <c r="B343" s="20">
        <f t="shared" si="139"/>
        <v>342</v>
      </c>
      <c r="C343" s="17">
        <f t="shared" si="140"/>
        <v>30</v>
      </c>
      <c r="D343" s="17" t="str">
        <f t="shared" si="141"/>
        <v>20070413</v>
      </c>
      <c r="E343" s="20" t="str">
        <f t="shared" si="134"/>
        <v>20070413030</v>
      </c>
      <c r="F343" s="19">
        <v>23</v>
      </c>
      <c r="G343" s="19">
        <v>31</v>
      </c>
      <c r="H343" s="19">
        <v>15</v>
      </c>
      <c r="I343" s="19">
        <v>5</v>
      </c>
      <c r="J343" s="19">
        <v>33</v>
      </c>
      <c r="K343" s="19">
        <v>28</v>
      </c>
      <c r="L343" s="19">
        <v>49</v>
      </c>
      <c r="M343" s="19">
        <f t="shared" si="137"/>
        <v>184</v>
      </c>
      <c r="N343" s="27">
        <f t="shared" si="138"/>
        <v>39185</v>
      </c>
    </row>
    <row r="344" spans="1:14" x14ac:dyDescent="0.25">
      <c r="A344" s="15">
        <f t="shared" si="136"/>
        <v>2</v>
      </c>
      <c r="B344" s="20">
        <f t="shared" si="139"/>
        <v>343</v>
      </c>
      <c r="C344" s="17">
        <f t="shared" si="140"/>
        <v>31</v>
      </c>
      <c r="D344" s="17" t="str">
        <f t="shared" si="141"/>
        <v>20070417</v>
      </c>
      <c r="E344" s="20" t="str">
        <f t="shared" si="134"/>
        <v>20070417031</v>
      </c>
      <c r="F344" s="19">
        <v>45</v>
      </c>
      <c r="G344" s="19">
        <v>48</v>
      </c>
      <c r="H344" s="19">
        <v>31</v>
      </c>
      <c r="I344" s="19">
        <v>8</v>
      </c>
      <c r="J344" s="19">
        <v>44</v>
      </c>
      <c r="K344" s="19">
        <v>40</v>
      </c>
      <c r="L344" s="19">
        <v>6</v>
      </c>
      <c r="M344" s="19">
        <f t="shared" si="137"/>
        <v>222</v>
      </c>
      <c r="N344" s="27">
        <f t="shared" si="135"/>
        <v>39189</v>
      </c>
    </row>
    <row r="345" spans="1:14" x14ac:dyDescent="0.25">
      <c r="A345" s="15">
        <f t="shared" si="136"/>
        <v>5</v>
      </c>
      <c r="B345" s="20">
        <f t="shared" si="139"/>
        <v>344</v>
      </c>
      <c r="C345" s="17">
        <f t="shared" si="140"/>
        <v>32</v>
      </c>
      <c r="D345" s="17" t="str">
        <f t="shared" si="141"/>
        <v>20070420</v>
      </c>
      <c r="E345" s="20" t="str">
        <f t="shared" si="134"/>
        <v>20070420032</v>
      </c>
      <c r="F345" s="19">
        <v>49</v>
      </c>
      <c r="G345" s="19">
        <v>9</v>
      </c>
      <c r="H345" s="19">
        <v>15</v>
      </c>
      <c r="I345" s="19">
        <v>44</v>
      </c>
      <c r="J345" s="19">
        <v>19</v>
      </c>
      <c r="K345" s="19">
        <v>16</v>
      </c>
      <c r="L345" s="19">
        <v>37</v>
      </c>
      <c r="M345" s="19">
        <f t="shared" si="137"/>
        <v>189</v>
      </c>
      <c r="N345" s="27">
        <f t="shared" si="138"/>
        <v>39192</v>
      </c>
    </row>
    <row r="346" spans="1:14" x14ac:dyDescent="0.25">
      <c r="A346" s="15">
        <f t="shared" si="136"/>
        <v>2</v>
      </c>
      <c r="B346" s="20">
        <f t="shared" si="139"/>
        <v>345</v>
      </c>
      <c r="C346" s="17">
        <f t="shared" si="140"/>
        <v>33</v>
      </c>
      <c r="D346" s="17" t="str">
        <f t="shared" si="141"/>
        <v>20070424</v>
      </c>
      <c r="E346" s="20" t="str">
        <f t="shared" si="134"/>
        <v>20070424033</v>
      </c>
      <c r="F346" s="19">
        <v>40</v>
      </c>
      <c r="G346" s="19">
        <v>38</v>
      </c>
      <c r="H346" s="19">
        <v>8</v>
      </c>
      <c r="I346" s="19">
        <v>20</v>
      </c>
      <c r="J346" s="19">
        <v>25</v>
      </c>
      <c r="K346" s="19">
        <v>22</v>
      </c>
      <c r="L346" s="19">
        <v>41</v>
      </c>
      <c r="M346" s="19">
        <f t="shared" si="137"/>
        <v>194</v>
      </c>
      <c r="N346" s="27">
        <f t="shared" si="135"/>
        <v>39196</v>
      </c>
    </row>
    <row r="347" spans="1:14" x14ac:dyDescent="0.25">
      <c r="A347" s="15">
        <f t="shared" si="136"/>
        <v>5</v>
      </c>
      <c r="B347" s="20">
        <f t="shared" si="139"/>
        <v>346</v>
      </c>
      <c r="C347" s="17">
        <f t="shared" si="140"/>
        <v>34</v>
      </c>
      <c r="D347" s="17" t="str">
        <f t="shared" si="141"/>
        <v>20070427</v>
      </c>
      <c r="E347" s="20" t="str">
        <f t="shared" si="134"/>
        <v>20070427034</v>
      </c>
      <c r="F347" s="19">
        <v>42</v>
      </c>
      <c r="G347" s="19">
        <v>32</v>
      </c>
      <c r="H347" s="19">
        <v>10</v>
      </c>
      <c r="I347" s="19">
        <v>38</v>
      </c>
      <c r="J347" s="19">
        <v>9</v>
      </c>
      <c r="K347" s="19">
        <v>29</v>
      </c>
      <c r="L347" s="19">
        <v>37</v>
      </c>
      <c r="M347" s="19">
        <f t="shared" si="137"/>
        <v>197</v>
      </c>
      <c r="N347" s="27">
        <f t="shared" si="138"/>
        <v>39199</v>
      </c>
    </row>
    <row r="348" spans="1:14" x14ac:dyDescent="0.25">
      <c r="A348" s="15">
        <f t="shared" si="136"/>
        <v>2</v>
      </c>
      <c r="B348" s="20">
        <f t="shared" si="139"/>
        <v>347</v>
      </c>
      <c r="C348" s="17">
        <f t="shared" si="140"/>
        <v>35</v>
      </c>
      <c r="D348" s="17" t="str">
        <f t="shared" si="141"/>
        <v>20070501</v>
      </c>
      <c r="E348" s="20" t="str">
        <f t="shared" si="134"/>
        <v>20070501035</v>
      </c>
      <c r="F348" s="19">
        <v>24</v>
      </c>
      <c r="G348" s="19">
        <v>28</v>
      </c>
      <c r="H348" s="19">
        <v>49</v>
      </c>
      <c r="I348" s="19">
        <v>34</v>
      </c>
      <c r="J348" s="19">
        <v>45</v>
      </c>
      <c r="K348" s="19">
        <v>21</v>
      </c>
      <c r="L348" s="19">
        <v>46</v>
      </c>
      <c r="M348" s="19">
        <f t="shared" si="137"/>
        <v>247</v>
      </c>
      <c r="N348" s="27">
        <f t="shared" si="135"/>
        <v>39203</v>
      </c>
    </row>
    <row r="349" spans="1:14" x14ac:dyDescent="0.25">
      <c r="A349" s="15">
        <f t="shared" si="136"/>
        <v>5</v>
      </c>
      <c r="B349" s="20">
        <f t="shared" si="139"/>
        <v>348</v>
      </c>
      <c r="C349" s="17">
        <f t="shared" si="140"/>
        <v>36</v>
      </c>
      <c r="D349" s="17" t="str">
        <f t="shared" si="141"/>
        <v>20070504</v>
      </c>
      <c r="E349" s="20" t="str">
        <f t="shared" si="134"/>
        <v>20070504036</v>
      </c>
      <c r="F349" s="19">
        <v>6</v>
      </c>
      <c r="G349" s="19">
        <v>38</v>
      </c>
      <c r="H349" s="19">
        <v>40</v>
      </c>
      <c r="I349" s="19">
        <v>22</v>
      </c>
      <c r="J349" s="19">
        <v>44</v>
      </c>
      <c r="K349" s="19">
        <v>34</v>
      </c>
      <c r="L349" s="19">
        <v>15</v>
      </c>
      <c r="M349" s="19">
        <f t="shared" si="137"/>
        <v>199</v>
      </c>
      <c r="N349" s="27">
        <f t="shared" si="138"/>
        <v>39206</v>
      </c>
    </row>
    <row r="350" spans="1:14" x14ac:dyDescent="0.25">
      <c r="A350" s="15">
        <f t="shared" si="136"/>
        <v>2</v>
      </c>
      <c r="B350" s="20">
        <f t="shared" si="139"/>
        <v>349</v>
      </c>
      <c r="C350" s="17">
        <f t="shared" si="140"/>
        <v>37</v>
      </c>
      <c r="D350" s="17" t="str">
        <f t="shared" si="141"/>
        <v>20070508</v>
      </c>
      <c r="E350" s="20" t="str">
        <f t="shared" si="134"/>
        <v>20070508037</v>
      </c>
      <c r="F350" s="19">
        <v>27</v>
      </c>
      <c r="G350" s="19">
        <v>1</v>
      </c>
      <c r="H350" s="19">
        <v>46</v>
      </c>
      <c r="I350" s="19">
        <v>41</v>
      </c>
      <c r="J350" s="19">
        <v>28</v>
      </c>
      <c r="K350" s="19">
        <v>16</v>
      </c>
      <c r="L350" s="19">
        <v>38</v>
      </c>
      <c r="M350" s="19">
        <f t="shared" si="137"/>
        <v>197</v>
      </c>
      <c r="N350" s="27">
        <f t="shared" si="135"/>
        <v>39210</v>
      </c>
    </row>
    <row r="351" spans="1:14" x14ac:dyDescent="0.25">
      <c r="A351" s="15">
        <f t="shared" si="136"/>
        <v>5</v>
      </c>
      <c r="B351" s="20">
        <f t="shared" si="139"/>
        <v>350</v>
      </c>
      <c r="C351" s="17">
        <f t="shared" si="140"/>
        <v>38</v>
      </c>
      <c r="D351" s="17" t="str">
        <f t="shared" si="141"/>
        <v>20070511</v>
      </c>
      <c r="E351" s="20" t="str">
        <f t="shared" si="134"/>
        <v>20070511038</v>
      </c>
      <c r="F351" s="19">
        <v>29</v>
      </c>
      <c r="G351" s="19">
        <v>26</v>
      </c>
      <c r="H351" s="19">
        <v>10</v>
      </c>
      <c r="I351" s="19">
        <v>13</v>
      </c>
      <c r="J351" s="19">
        <v>47</v>
      </c>
      <c r="K351" s="19">
        <v>21</v>
      </c>
      <c r="L351" s="19">
        <v>49</v>
      </c>
      <c r="M351" s="19">
        <f t="shared" si="137"/>
        <v>195</v>
      </c>
      <c r="N351" s="27">
        <f t="shared" si="138"/>
        <v>39213</v>
      </c>
    </row>
    <row r="352" spans="1:14" x14ac:dyDescent="0.25">
      <c r="A352" s="15">
        <f t="shared" si="136"/>
        <v>2</v>
      </c>
      <c r="B352" s="20">
        <f t="shared" si="139"/>
        <v>351</v>
      </c>
      <c r="C352" s="17">
        <f t="shared" si="140"/>
        <v>39</v>
      </c>
      <c r="D352" s="17" t="str">
        <f t="shared" si="141"/>
        <v>20070515</v>
      </c>
      <c r="E352" s="20" t="str">
        <f t="shared" si="134"/>
        <v>20070515039</v>
      </c>
      <c r="F352" s="19">
        <v>35</v>
      </c>
      <c r="G352" s="19">
        <v>31</v>
      </c>
      <c r="H352" s="19">
        <v>48</v>
      </c>
      <c r="I352" s="19">
        <v>47</v>
      </c>
      <c r="J352" s="19">
        <v>40</v>
      </c>
      <c r="K352" s="19">
        <v>13</v>
      </c>
      <c r="L352" s="19">
        <v>39</v>
      </c>
      <c r="M352" s="19">
        <f t="shared" si="137"/>
        <v>253</v>
      </c>
      <c r="N352" s="27">
        <f t="shared" si="135"/>
        <v>39217</v>
      </c>
    </row>
    <row r="353" spans="1:14" x14ac:dyDescent="0.25">
      <c r="A353" s="15">
        <f t="shared" si="136"/>
        <v>5</v>
      </c>
      <c r="B353" s="20">
        <f t="shared" si="139"/>
        <v>352</v>
      </c>
      <c r="C353" s="17">
        <f t="shared" si="140"/>
        <v>40</v>
      </c>
      <c r="D353" s="17" t="str">
        <f t="shared" si="141"/>
        <v>20070518</v>
      </c>
      <c r="E353" s="20" t="str">
        <f t="shared" si="134"/>
        <v>20070518040</v>
      </c>
      <c r="F353" s="19">
        <v>41</v>
      </c>
      <c r="G353" s="19">
        <v>27</v>
      </c>
      <c r="H353" s="19">
        <v>43</v>
      </c>
      <c r="I353" s="19">
        <v>11</v>
      </c>
      <c r="J353" s="19">
        <v>12</v>
      </c>
      <c r="K353" s="19">
        <v>46</v>
      </c>
      <c r="L353" s="19">
        <v>36</v>
      </c>
      <c r="M353" s="19">
        <f t="shared" si="137"/>
        <v>216</v>
      </c>
      <c r="N353" s="27">
        <f t="shared" si="138"/>
        <v>39220</v>
      </c>
    </row>
    <row r="354" spans="1:14" x14ac:dyDescent="0.25">
      <c r="A354" s="15">
        <f t="shared" si="136"/>
        <v>2</v>
      </c>
      <c r="B354" s="20">
        <f t="shared" si="139"/>
        <v>353</v>
      </c>
      <c r="C354" s="17">
        <f t="shared" si="140"/>
        <v>41</v>
      </c>
      <c r="D354" s="17" t="str">
        <f t="shared" si="141"/>
        <v>20070522</v>
      </c>
      <c r="E354" s="20" t="str">
        <f t="shared" si="134"/>
        <v>20070522041</v>
      </c>
      <c r="F354" s="19">
        <v>41</v>
      </c>
      <c r="G354" s="19">
        <v>48</v>
      </c>
      <c r="H354" s="19">
        <v>1</v>
      </c>
      <c r="I354" s="19">
        <v>30</v>
      </c>
      <c r="J354" s="19">
        <v>18</v>
      </c>
      <c r="K354" s="19">
        <v>32</v>
      </c>
      <c r="L354" s="19">
        <v>24</v>
      </c>
      <c r="M354" s="19">
        <f t="shared" si="137"/>
        <v>194</v>
      </c>
      <c r="N354" s="27">
        <f t="shared" si="135"/>
        <v>39224</v>
      </c>
    </row>
    <row r="355" spans="1:14" x14ac:dyDescent="0.25">
      <c r="A355" s="15">
        <f t="shared" si="136"/>
        <v>5</v>
      </c>
      <c r="B355" s="20">
        <f t="shared" si="139"/>
        <v>354</v>
      </c>
      <c r="C355" s="17">
        <f t="shared" si="140"/>
        <v>42</v>
      </c>
      <c r="D355" s="17" t="str">
        <f t="shared" si="141"/>
        <v>20070525</v>
      </c>
      <c r="E355" s="20" t="str">
        <f t="shared" si="134"/>
        <v>20070525042</v>
      </c>
      <c r="F355" s="19">
        <v>13</v>
      </c>
      <c r="G355" s="19">
        <v>25</v>
      </c>
      <c r="H355" s="19">
        <v>11</v>
      </c>
      <c r="I355" s="19">
        <v>36</v>
      </c>
      <c r="J355" s="19">
        <v>2</v>
      </c>
      <c r="K355" s="19">
        <v>34</v>
      </c>
      <c r="L355" s="19">
        <v>38</v>
      </c>
      <c r="M355" s="19">
        <f t="shared" si="137"/>
        <v>159</v>
      </c>
      <c r="N355" s="27">
        <f t="shared" si="138"/>
        <v>39227</v>
      </c>
    </row>
    <row r="356" spans="1:14" x14ac:dyDescent="0.25">
      <c r="A356" s="15">
        <f t="shared" si="136"/>
        <v>2</v>
      </c>
      <c r="B356" s="20">
        <f t="shared" si="139"/>
        <v>355</v>
      </c>
      <c r="C356" s="17">
        <f t="shared" si="140"/>
        <v>43</v>
      </c>
      <c r="D356" s="17" t="str">
        <f t="shared" si="141"/>
        <v>20070529</v>
      </c>
      <c r="E356" s="20" t="str">
        <f t="shared" si="134"/>
        <v>20070529043</v>
      </c>
      <c r="F356" s="19">
        <v>10</v>
      </c>
      <c r="G356" s="19">
        <v>45</v>
      </c>
      <c r="H356" s="19">
        <v>43</v>
      </c>
      <c r="I356" s="19">
        <v>48</v>
      </c>
      <c r="J356" s="19">
        <v>15</v>
      </c>
      <c r="K356" s="19">
        <v>18</v>
      </c>
      <c r="L356" s="19">
        <v>11</v>
      </c>
      <c r="M356" s="19">
        <f t="shared" si="137"/>
        <v>190</v>
      </c>
      <c r="N356" s="27">
        <f t="shared" si="135"/>
        <v>39231</v>
      </c>
    </row>
    <row r="357" spans="1:14" x14ac:dyDescent="0.25">
      <c r="A357" s="15">
        <f t="shared" si="136"/>
        <v>5</v>
      </c>
      <c r="B357" s="20">
        <f t="shared" si="139"/>
        <v>356</v>
      </c>
      <c r="C357" s="17">
        <f t="shared" si="140"/>
        <v>44</v>
      </c>
      <c r="D357" s="17" t="str">
        <f t="shared" si="141"/>
        <v>20070601</v>
      </c>
      <c r="E357" s="20" t="str">
        <f t="shared" si="134"/>
        <v>20070601044</v>
      </c>
      <c r="F357" s="19">
        <v>11</v>
      </c>
      <c r="G357" s="19">
        <v>43</v>
      </c>
      <c r="H357" s="19">
        <v>34</v>
      </c>
      <c r="I357" s="19">
        <v>25</v>
      </c>
      <c r="J357" s="19">
        <v>7</v>
      </c>
      <c r="K357" s="19">
        <v>8</v>
      </c>
      <c r="L357" s="19">
        <v>16</v>
      </c>
      <c r="M357" s="19">
        <f t="shared" si="137"/>
        <v>144</v>
      </c>
      <c r="N357" s="27">
        <f t="shared" si="138"/>
        <v>39234</v>
      </c>
    </row>
    <row r="358" spans="1:14" x14ac:dyDescent="0.25">
      <c r="A358" s="15">
        <f t="shared" si="136"/>
        <v>2</v>
      </c>
      <c r="B358" s="20">
        <f t="shared" si="139"/>
        <v>357</v>
      </c>
      <c r="C358" s="17">
        <f t="shared" si="140"/>
        <v>45</v>
      </c>
      <c r="D358" s="17" t="str">
        <f t="shared" si="141"/>
        <v>20070605</v>
      </c>
      <c r="E358" s="20" t="str">
        <f t="shared" si="134"/>
        <v>20070605045</v>
      </c>
      <c r="F358" s="19">
        <v>47</v>
      </c>
      <c r="G358" s="19">
        <v>25</v>
      </c>
      <c r="H358" s="19">
        <v>23</v>
      </c>
      <c r="I358" s="19">
        <v>36</v>
      </c>
      <c r="J358" s="19">
        <v>16</v>
      </c>
      <c r="K358" s="19">
        <v>1</v>
      </c>
      <c r="L358" s="19">
        <v>21</v>
      </c>
      <c r="M358" s="19">
        <f t="shared" si="137"/>
        <v>169</v>
      </c>
      <c r="N358" s="27">
        <f t="shared" si="135"/>
        <v>39238</v>
      </c>
    </row>
    <row r="359" spans="1:14" x14ac:dyDescent="0.25">
      <c r="A359" s="15">
        <f t="shared" si="136"/>
        <v>5</v>
      </c>
      <c r="B359" s="20">
        <f t="shared" si="139"/>
        <v>358</v>
      </c>
      <c r="C359" s="17">
        <f t="shared" si="140"/>
        <v>46</v>
      </c>
      <c r="D359" s="17" t="str">
        <f t="shared" si="141"/>
        <v>20070608</v>
      </c>
      <c r="E359" s="20" t="str">
        <f t="shared" si="134"/>
        <v>20070608046</v>
      </c>
      <c r="F359" s="19">
        <v>46</v>
      </c>
      <c r="G359" s="19">
        <v>26</v>
      </c>
      <c r="H359" s="19">
        <v>28</v>
      </c>
      <c r="I359" s="19">
        <v>2</v>
      </c>
      <c r="J359" s="19">
        <v>1</v>
      </c>
      <c r="K359" s="19">
        <v>11</v>
      </c>
      <c r="L359" s="19">
        <v>16</v>
      </c>
      <c r="M359" s="19">
        <f t="shared" si="137"/>
        <v>130</v>
      </c>
      <c r="N359" s="27">
        <f t="shared" si="138"/>
        <v>39241</v>
      </c>
    </row>
    <row r="360" spans="1:14" x14ac:dyDescent="0.25">
      <c r="A360" s="15">
        <f t="shared" si="136"/>
        <v>2</v>
      </c>
      <c r="B360" s="20">
        <f t="shared" si="139"/>
        <v>359</v>
      </c>
      <c r="C360" s="17">
        <f t="shared" si="140"/>
        <v>47</v>
      </c>
      <c r="D360" s="17" t="str">
        <f t="shared" si="141"/>
        <v>20070612</v>
      </c>
      <c r="E360" s="20" t="str">
        <f t="shared" si="134"/>
        <v>20070612047</v>
      </c>
      <c r="F360" s="19">
        <v>5</v>
      </c>
      <c r="G360" s="19">
        <v>38</v>
      </c>
      <c r="H360" s="19">
        <v>39</v>
      </c>
      <c r="I360" s="19">
        <v>3</v>
      </c>
      <c r="J360" s="19">
        <v>20</v>
      </c>
      <c r="K360" s="19">
        <v>44</v>
      </c>
      <c r="L360" s="19">
        <v>43</v>
      </c>
      <c r="M360" s="19">
        <f t="shared" si="137"/>
        <v>192</v>
      </c>
      <c r="N360" s="27">
        <f t="shared" si="135"/>
        <v>39245</v>
      </c>
    </row>
    <row r="361" spans="1:14" x14ac:dyDescent="0.25">
      <c r="A361" s="15">
        <f t="shared" si="136"/>
        <v>5</v>
      </c>
      <c r="B361" s="20">
        <f t="shared" si="139"/>
        <v>360</v>
      </c>
      <c r="C361" s="17">
        <f t="shared" si="140"/>
        <v>48</v>
      </c>
      <c r="D361" s="17" t="str">
        <f t="shared" si="141"/>
        <v>20070615</v>
      </c>
      <c r="E361" s="20" t="str">
        <f t="shared" si="134"/>
        <v>20070615048</v>
      </c>
      <c r="F361" s="19">
        <v>17</v>
      </c>
      <c r="G361" s="19">
        <v>46</v>
      </c>
      <c r="H361" s="19">
        <v>36</v>
      </c>
      <c r="I361" s="19">
        <v>34</v>
      </c>
      <c r="J361" s="19">
        <v>28</v>
      </c>
      <c r="K361" s="19">
        <v>11</v>
      </c>
      <c r="L361" s="19">
        <v>26</v>
      </c>
      <c r="M361" s="19">
        <f t="shared" si="137"/>
        <v>198</v>
      </c>
      <c r="N361" s="27">
        <f t="shared" si="138"/>
        <v>39248</v>
      </c>
    </row>
    <row r="362" spans="1:14" x14ac:dyDescent="0.25">
      <c r="A362" s="15">
        <f t="shared" si="136"/>
        <v>2</v>
      </c>
      <c r="B362" s="20">
        <f t="shared" si="139"/>
        <v>361</v>
      </c>
      <c r="C362" s="17">
        <f t="shared" si="140"/>
        <v>49</v>
      </c>
      <c r="D362" s="17" t="str">
        <f t="shared" si="141"/>
        <v>20070619</v>
      </c>
      <c r="E362" s="20" t="str">
        <f t="shared" si="134"/>
        <v>20070619049</v>
      </c>
      <c r="F362" s="19">
        <v>20</v>
      </c>
      <c r="G362" s="19">
        <v>41</v>
      </c>
      <c r="H362" s="19">
        <v>28</v>
      </c>
      <c r="I362" s="19">
        <v>43</v>
      </c>
      <c r="J362" s="19">
        <v>33</v>
      </c>
      <c r="K362" s="19">
        <v>45</v>
      </c>
      <c r="L362" s="19">
        <v>10</v>
      </c>
      <c r="M362" s="19">
        <f t="shared" si="137"/>
        <v>220</v>
      </c>
      <c r="N362" s="27">
        <f t="shared" si="135"/>
        <v>39252</v>
      </c>
    </row>
    <row r="363" spans="1:14" x14ac:dyDescent="0.25">
      <c r="A363" s="15">
        <f t="shared" si="136"/>
        <v>5</v>
      </c>
      <c r="B363" s="20">
        <f t="shared" si="139"/>
        <v>362</v>
      </c>
      <c r="C363" s="17">
        <f t="shared" si="140"/>
        <v>50</v>
      </c>
      <c r="D363" s="17" t="str">
        <f t="shared" si="141"/>
        <v>20070622</v>
      </c>
      <c r="E363" s="20" t="str">
        <f t="shared" si="134"/>
        <v>20070622050</v>
      </c>
      <c r="F363" s="19">
        <v>13</v>
      </c>
      <c r="G363" s="19">
        <v>35</v>
      </c>
      <c r="H363" s="19">
        <v>42</v>
      </c>
      <c r="I363" s="19">
        <v>39</v>
      </c>
      <c r="J363" s="19">
        <v>32</v>
      </c>
      <c r="K363" s="19">
        <v>41</v>
      </c>
      <c r="L363" s="19">
        <v>1</v>
      </c>
      <c r="M363" s="19">
        <f t="shared" si="137"/>
        <v>203</v>
      </c>
      <c r="N363" s="27">
        <f t="shared" si="138"/>
        <v>39255</v>
      </c>
    </row>
    <row r="364" spans="1:14" x14ac:dyDescent="0.25">
      <c r="A364" s="15">
        <f t="shared" si="136"/>
        <v>2</v>
      </c>
      <c r="B364" s="20">
        <f t="shared" si="139"/>
        <v>363</v>
      </c>
      <c r="C364" s="17">
        <f t="shared" si="140"/>
        <v>51</v>
      </c>
      <c r="D364" s="17" t="str">
        <f t="shared" si="141"/>
        <v>20070626</v>
      </c>
      <c r="E364" s="20" t="str">
        <f t="shared" si="134"/>
        <v>20070626051</v>
      </c>
      <c r="F364" s="19">
        <v>37</v>
      </c>
      <c r="G364" s="19">
        <v>43</v>
      </c>
      <c r="H364" s="19">
        <v>38</v>
      </c>
      <c r="I364" s="19">
        <v>18</v>
      </c>
      <c r="J364" s="19">
        <v>24</v>
      </c>
      <c r="K364" s="19">
        <v>47</v>
      </c>
      <c r="L364" s="19">
        <v>2</v>
      </c>
      <c r="M364" s="19">
        <f t="shared" si="137"/>
        <v>209</v>
      </c>
      <c r="N364" s="27">
        <f t="shared" si="135"/>
        <v>39259</v>
      </c>
    </row>
    <row r="365" spans="1:14" x14ac:dyDescent="0.25">
      <c r="A365" s="15">
        <f t="shared" si="136"/>
        <v>5</v>
      </c>
      <c r="B365" s="20">
        <f t="shared" si="139"/>
        <v>364</v>
      </c>
      <c r="C365" s="17">
        <f t="shared" si="140"/>
        <v>52</v>
      </c>
      <c r="D365" s="17" t="str">
        <f t="shared" si="141"/>
        <v>20070629</v>
      </c>
      <c r="E365" s="20" t="str">
        <f t="shared" si="134"/>
        <v>20070629052</v>
      </c>
      <c r="F365" s="19">
        <v>9</v>
      </c>
      <c r="G365" s="19">
        <v>26</v>
      </c>
      <c r="H365" s="19">
        <v>29</v>
      </c>
      <c r="I365" s="19">
        <v>44</v>
      </c>
      <c r="J365" s="19">
        <v>23</v>
      </c>
      <c r="K365" s="19">
        <v>28</v>
      </c>
      <c r="L365" s="19">
        <v>31</v>
      </c>
      <c r="M365" s="19">
        <f t="shared" si="137"/>
        <v>190</v>
      </c>
      <c r="N365" s="27">
        <f t="shared" si="138"/>
        <v>39262</v>
      </c>
    </row>
    <row r="366" spans="1:14" x14ac:dyDescent="0.25">
      <c r="A366" s="15">
        <f t="shared" si="136"/>
        <v>2</v>
      </c>
      <c r="B366" s="20">
        <f t="shared" si="139"/>
        <v>365</v>
      </c>
      <c r="C366" s="17">
        <f t="shared" si="140"/>
        <v>53</v>
      </c>
      <c r="D366" s="17" t="str">
        <f t="shared" si="141"/>
        <v>20070703</v>
      </c>
      <c r="E366" s="20" t="str">
        <f t="shared" si="134"/>
        <v>20070703053</v>
      </c>
      <c r="F366" s="19">
        <v>9</v>
      </c>
      <c r="G366" s="19">
        <v>49</v>
      </c>
      <c r="H366" s="19">
        <v>24</v>
      </c>
      <c r="I366" s="19">
        <v>1</v>
      </c>
      <c r="J366" s="19">
        <v>5</v>
      </c>
      <c r="K366" s="19">
        <v>21</v>
      </c>
      <c r="L366" s="19">
        <v>35</v>
      </c>
      <c r="M366" s="19">
        <f t="shared" si="137"/>
        <v>144</v>
      </c>
      <c r="N366" s="27">
        <f t="shared" si="135"/>
        <v>39266</v>
      </c>
    </row>
    <row r="367" spans="1:14" x14ac:dyDescent="0.25">
      <c r="A367" s="15">
        <f t="shared" si="136"/>
        <v>5</v>
      </c>
      <c r="B367" s="20">
        <f t="shared" si="139"/>
        <v>366</v>
      </c>
      <c r="C367" s="17">
        <f t="shared" si="140"/>
        <v>54</v>
      </c>
      <c r="D367" s="17" t="str">
        <f t="shared" si="141"/>
        <v>20070706</v>
      </c>
      <c r="E367" s="20" t="str">
        <f t="shared" si="134"/>
        <v>20070706054</v>
      </c>
      <c r="F367" s="19">
        <v>36</v>
      </c>
      <c r="G367" s="19">
        <v>23</v>
      </c>
      <c r="H367" s="19">
        <v>48</v>
      </c>
      <c r="I367" s="19">
        <v>12</v>
      </c>
      <c r="J367" s="19">
        <v>9</v>
      </c>
      <c r="K367" s="19">
        <v>44</v>
      </c>
      <c r="L367" s="19">
        <v>26</v>
      </c>
      <c r="M367" s="19">
        <f t="shared" si="137"/>
        <v>198</v>
      </c>
      <c r="N367" s="27">
        <f t="shared" si="138"/>
        <v>39269</v>
      </c>
    </row>
    <row r="368" spans="1:14" x14ac:dyDescent="0.25">
      <c r="A368" s="15">
        <f t="shared" si="136"/>
        <v>2</v>
      </c>
      <c r="B368" s="20">
        <f t="shared" si="139"/>
        <v>367</v>
      </c>
      <c r="C368" s="17">
        <f t="shared" si="140"/>
        <v>55</v>
      </c>
      <c r="D368" s="17" t="str">
        <f t="shared" si="141"/>
        <v>20070710</v>
      </c>
      <c r="E368" s="20" t="str">
        <f t="shared" si="134"/>
        <v>20070710055</v>
      </c>
      <c r="F368" s="19">
        <v>34</v>
      </c>
      <c r="G368" s="19">
        <v>44</v>
      </c>
      <c r="H368" s="19">
        <v>40</v>
      </c>
      <c r="I368" s="19">
        <v>45</v>
      </c>
      <c r="J368" s="19">
        <v>29</v>
      </c>
      <c r="K368" s="19">
        <v>2</v>
      </c>
      <c r="L368" s="19">
        <v>1</v>
      </c>
      <c r="M368" s="19">
        <f t="shared" si="137"/>
        <v>195</v>
      </c>
      <c r="N368" s="27">
        <f t="shared" si="135"/>
        <v>39273</v>
      </c>
    </row>
    <row r="369" spans="1:14" x14ac:dyDescent="0.25">
      <c r="A369" s="15">
        <f t="shared" si="136"/>
        <v>5</v>
      </c>
      <c r="B369" s="20">
        <f t="shared" si="139"/>
        <v>368</v>
      </c>
      <c r="C369" s="17">
        <f t="shared" si="140"/>
        <v>56</v>
      </c>
      <c r="D369" s="17" t="str">
        <f t="shared" si="141"/>
        <v>20070713</v>
      </c>
      <c r="E369" s="20" t="str">
        <f t="shared" si="134"/>
        <v>20070713056</v>
      </c>
      <c r="F369" s="19">
        <v>10</v>
      </c>
      <c r="G369" s="19">
        <v>34</v>
      </c>
      <c r="H369" s="19">
        <v>35</v>
      </c>
      <c r="I369" s="19">
        <v>13</v>
      </c>
      <c r="J369" s="19">
        <v>5</v>
      </c>
      <c r="K369" s="19">
        <v>18</v>
      </c>
      <c r="L369" s="19">
        <v>15</v>
      </c>
      <c r="M369" s="19">
        <f t="shared" si="137"/>
        <v>130</v>
      </c>
      <c r="N369" s="27">
        <f t="shared" si="138"/>
        <v>39276</v>
      </c>
    </row>
    <row r="370" spans="1:14" x14ac:dyDescent="0.25">
      <c r="A370" s="15">
        <f t="shared" si="136"/>
        <v>2</v>
      </c>
      <c r="B370" s="20">
        <f t="shared" si="139"/>
        <v>369</v>
      </c>
      <c r="C370" s="17">
        <f t="shared" si="140"/>
        <v>57</v>
      </c>
      <c r="D370" s="17" t="str">
        <f t="shared" si="141"/>
        <v>20070717</v>
      </c>
      <c r="E370" s="20" t="str">
        <f t="shared" si="134"/>
        <v>20070717057</v>
      </c>
      <c r="F370" s="19">
        <v>29</v>
      </c>
      <c r="G370" s="19">
        <v>49</v>
      </c>
      <c r="H370" s="19">
        <v>15</v>
      </c>
      <c r="I370" s="19">
        <v>48</v>
      </c>
      <c r="J370" s="19">
        <v>39</v>
      </c>
      <c r="K370" s="19">
        <v>37</v>
      </c>
      <c r="L370" s="19">
        <v>46</v>
      </c>
      <c r="M370" s="19">
        <f t="shared" si="137"/>
        <v>263</v>
      </c>
      <c r="N370" s="27">
        <f t="shared" si="135"/>
        <v>39280</v>
      </c>
    </row>
    <row r="371" spans="1:14" x14ac:dyDescent="0.25">
      <c r="A371" s="15">
        <f t="shared" si="136"/>
        <v>5</v>
      </c>
      <c r="B371" s="20">
        <f t="shared" si="139"/>
        <v>370</v>
      </c>
      <c r="C371" s="17">
        <f t="shared" si="140"/>
        <v>58</v>
      </c>
      <c r="D371" s="17" t="str">
        <f t="shared" si="141"/>
        <v>20070720</v>
      </c>
      <c r="E371" s="20" t="str">
        <f t="shared" si="134"/>
        <v>20070720058</v>
      </c>
      <c r="F371" s="19">
        <v>10</v>
      </c>
      <c r="G371" s="19">
        <v>5</v>
      </c>
      <c r="H371" s="19">
        <v>2</v>
      </c>
      <c r="I371" s="19">
        <v>23</v>
      </c>
      <c r="J371" s="19">
        <v>25</v>
      </c>
      <c r="K371" s="19">
        <v>19</v>
      </c>
      <c r="L371" s="19">
        <v>11</v>
      </c>
      <c r="M371" s="19">
        <f t="shared" si="137"/>
        <v>95</v>
      </c>
      <c r="N371" s="27">
        <f t="shared" si="138"/>
        <v>39283</v>
      </c>
    </row>
    <row r="372" spans="1:14" x14ac:dyDescent="0.25">
      <c r="A372" s="15">
        <f t="shared" si="136"/>
        <v>2</v>
      </c>
      <c r="B372" s="20">
        <f t="shared" si="139"/>
        <v>371</v>
      </c>
      <c r="C372" s="17">
        <f t="shared" si="140"/>
        <v>59</v>
      </c>
      <c r="D372" s="17" t="str">
        <f t="shared" si="141"/>
        <v>20070724</v>
      </c>
      <c r="E372" s="20" t="str">
        <f t="shared" si="134"/>
        <v>20070724059</v>
      </c>
      <c r="F372" s="19">
        <v>31</v>
      </c>
      <c r="G372" s="19">
        <v>1</v>
      </c>
      <c r="H372" s="19">
        <v>12</v>
      </c>
      <c r="I372" s="19">
        <v>22</v>
      </c>
      <c r="J372" s="19">
        <v>29</v>
      </c>
      <c r="K372" s="19">
        <v>7</v>
      </c>
      <c r="L372" s="19">
        <v>4</v>
      </c>
      <c r="M372" s="19">
        <f t="shared" si="137"/>
        <v>106</v>
      </c>
      <c r="N372" s="27">
        <f t="shared" si="135"/>
        <v>39287</v>
      </c>
    </row>
    <row r="373" spans="1:14" x14ac:dyDescent="0.25">
      <c r="A373" s="15">
        <f t="shared" si="136"/>
        <v>5</v>
      </c>
      <c r="B373" s="20">
        <f t="shared" si="139"/>
        <v>372</v>
      </c>
      <c r="C373" s="17">
        <f t="shared" si="140"/>
        <v>60</v>
      </c>
      <c r="D373" s="17" t="str">
        <f t="shared" si="141"/>
        <v>20070727</v>
      </c>
      <c r="E373" s="20" t="str">
        <f t="shared" si="134"/>
        <v>20070727060</v>
      </c>
      <c r="F373" s="19">
        <v>21</v>
      </c>
      <c r="G373" s="19">
        <v>39</v>
      </c>
      <c r="H373" s="19">
        <v>13</v>
      </c>
      <c r="I373" s="19">
        <v>42</v>
      </c>
      <c r="J373" s="19">
        <v>46</v>
      </c>
      <c r="K373" s="19">
        <v>32</v>
      </c>
      <c r="L373" s="19">
        <v>36</v>
      </c>
      <c r="M373" s="19">
        <f t="shared" si="137"/>
        <v>229</v>
      </c>
      <c r="N373" s="27">
        <f t="shared" si="138"/>
        <v>39290</v>
      </c>
    </row>
    <row r="374" spans="1:14" x14ac:dyDescent="0.25">
      <c r="A374" s="15">
        <f t="shared" si="136"/>
        <v>2</v>
      </c>
      <c r="B374" s="20">
        <f t="shared" si="139"/>
        <v>373</v>
      </c>
      <c r="C374" s="17">
        <f t="shared" si="140"/>
        <v>61</v>
      </c>
      <c r="D374" s="17" t="str">
        <f t="shared" si="141"/>
        <v>20070731</v>
      </c>
      <c r="E374" s="20" t="str">
        <f t="shared" si="134"/>
        <v>20070731061</v>
      </c>
      <c r="F374" s="19">
        <v>39</v>
      </c>
      <c r="G374" s="19">
        <v>1</v>
      </c>
      <c r="H374" s="19">
        <v>6</v>
      </c>
      <c r="I374" s="19">
        <v>41</v>
      </c>
      <c r="J374" s="19">
        <v>7</v>
      </c>
      <c r="K374" s="19">
        <v>25</v>
      </c>
      <c r="L374" s="19">
        <v>5</v>
      </c>
      <c r="M374" s="19">
        <f t="shared" si="137"/>
        <v>124</v>
      </c>
      <c r="N374" s="27">
        <f t="shared" si="135"/>
        <v>39294</v>
      </c>
    </row>
    <row r="375" spans="1:14" x14ac:dyDescent="0.25">
      <c r="A375" s="15">
        <f t="shared" si="136"/>
        <v>5</v>
      </c>
      <c r="B375" s="20">
        <f t="shared" si="139"/>
        <v>374</v>
      </c>
      <c r="C375" s="17">
        <f t="shared" si="140"/>
        <v>62</v>
      </c>
      <c r="D375" s="17" t="str">
        <f t="shared" si="141"/>
        <v>20070803</v>
      </c>
      <c r="E375" s="20" t="str">
        <f t="shared" si="134"/>
        <v>20070803062</v>
      </c>
      <c r="F375" s="19">
        <v>2</v>
      </c>
      <c r="G375" s="19">
        <v>15</v>
      </c>
      <c r="H375" s="19">
        <v>12</v>
      </c>
      <c r="I375" s="19">
        <v>40</v>
      </c>
      <c r="J375" s="19">
        <v>27</v>
      </c>
      <c r="K375" s="19">
        <v>38</v>
      </c>
      <c r="L375" s="19">
        <v>35</v>
      </c>
      <c r="M375" s="19">
        <f t="shared" si="137"/>
        <v>169</v>
      </c>
      <c r="N375" s="27">
        <f t="shared" si="138"/>
        <v>39297</v>
      </c>
    </row>
    <row r="376" spans="1:14" x14ac:dyDescent="0.25">
      <c r="A376" s="15">
        <f t="shared" si="136"/>
        <v>2</v>
      </c>
      <c r="B376" s="20">
        <f t="shared" si="139"/>
        <v>375</v>
      </c>
      <c r="C376" s="17">
        <f t="shared" si="140"/>
        <v>63</v>
      </c>
      <c r="D376" s="17" t="str">
        <f t="shared" si="141"/>
        <v>20070807</v>
      </c>
      <c r="E376" s="20" t="str">
        <f t="shared" si="134"/>
        <v>20070807063</v>
      </c>
      <c r="F376" s="19">
        <v>5</v>
      </c>
      <c r="G376" s="19">
        <v>1</v>
      </c>
      <c r="H376" s="19">
        <v>35</v>
      </c>
      <c r="I376" s="19">
        <v>18</v>
      </c>
      <c r="J376" s="19">
        <v>25</v>
      </c>
      <c r="K376" s="19">
        <v>41</v>
      </c>
      <c r="L376" s="19">
        <v>14</v>
      </c>
      <c r="M376" s="19">
        <f t="shared" si="137"/>
        <v>139</v>
      </c>
      <c r="N376" s="27">
        <f t="shared" si="135"/>
        <v>39301</v>
      </c>
    </row>
    <row r="377" spans="1:14" x14ac:dyDescent="0.25">
      <c r="A377" s="15">
        <f t="shared" si="136"/>
        <v>5</v>
      </c>
      <c r="B377" s="20">
        <f t="shared" si="139"/>
        <v>376</v>
      </c>
      <c r="C377" s="17">
        <f t="shared" si="140"/>
        <v>64</v>
      </c>
      <c r="D377" s="17" t="str">
        <f t="shared" si="141"/>
        <v>20070810</v>
      </c>
      <c r="E377" s="20" t="str">
        <f t="shared" si="134"/>
        <v>20070810064</v>
      </c>
      <c r="F377" s="19">
        <v>35</v>
      </c>
      <c r="G377" s="19">
        <v>11</v>
      </c>
      <c r="H377" s="19">
        <v>40</v>
      </c>
      <c r="I377" s="19">
        <v>29</v>
      </c>
      <c r="J377" s="19">
        <v>22</v>
      </c>
      <c r="K377" s="19">
        <v>27</v>
      </c>
      <c r="L377" s="19">
        <v>48</v>
      </c>
      <c r="M377" s="19">
        <f t="shared" si="137"/>
        <v>212</v>
      </c>
      <c r="N377" s="27">
        <f t="shared" si="138"/>
        <v>39304</v>
      </c>
    </row>
    <row r="378" spans="1:14" x14ac:dyDescent="0.25">
      <c r="A378" s="15">
        <f t="shared" si="136"/>
        <v>2</v>
      </c>
      <c r="B378" s="20">
        <f t="shared" si="139"/>
        <v>377</v>
      </c>
      <c r="C378" s="17">
        <f t="shared" si="140"/>
        <v>65</v>
      </c>
      <c r="D378" s="17" t="str">
        <f t="shared" si="141"/>
        <v>20070814</v>
      </c>
      <c r="E378" s="20" t="str">
        <f t="shared" si="134"/>
        <v>20070814065</v>
      </c>
      <c r="F378" s="19">
        <v>38</v>
      </c>
      <c r="G378" s="19">
        <v>26</v>
      </c>
      <c r="H378" s="19">
        <v>2</v>
      </c>
      <c r="I378" s="19">
        <v>25</v>
      </c>
      <c r="J378" s="19">
        <v>12</v>
      </c>
      <c r="K378" s="19">
        <v>5</v>
      </c>
      <c r="L378" s="19">
        <v>6</v>
      </c>
      <c r="M378" s="19">
        <f t="shared" si="137"/>
        <v>114</v>
      </c>
      <c r="N378" s="27">
        <f t="shared" si="135"/>
        <v>39308</v>
      </c>
    </row>
    <row r="379" spans="1:14" x14ac:dyDescent="0.25">
      <c r="A379" s="15">
        <f t="shared" si="136"/>
        <v>5</v>
      </c>
      <c r="B379" s="20">
        <f t="shared" si="139"/>
        <v>378</v>
      </c>
      <c r="C379" s="17">
        <f t="shared" si="140"/>
        <v>66</v>
      </c>
      <c r="D379" s="17" t="str">
        <f t="shared" si="141"/>
        <v>20070817</v>
      </c>
      <c r="E379" s="20" t="str">
        <f t="shared" si="134"/>
        <v>20070817066</v>
      </c>
      <c r="F379" s="19">
        <v>43</v>
      </c>
      <c r="G379" s="19">
        <v>35</v>
      </c>
      <c r="H379" s="19">
        <v>31</v>
      </c>
      <c r="I379" s="19">
        <v>2</v>
      </c>
      <c r="J379" s="19">
        <v>12</v>
      </c>
      <c r="K379" s="19">
        <v>47</v>
      </c>
      <c r="L379" s="19">
        <v>40</v>
      </c>
      <c r="M379" s="19">
        <f t="shared" si="137"/>
        <v>210</v>
      </c>
      <c r="N379" s="27">
        <f t="shared" si="138"/>
        <v>39311</v>
      </c>
    </row>
    <row r="380" spans="1:14" x14ac:dyDescent="0.25">
      <c r="A380" s="15">
        <f t="shared" si="136"/>
        <v>2</v>
      </c>
      <c r="B380" s="20">
        <f t="shared" si="139"/>
        <v>379</v>
      </c>
      <c r="C380" s="17">
        <f t="shared" si="140"/>
        <v>67</v>
      </c>
      <c r="D380" s="17" t="str">
        <f t="shared" si="141"/>
        <v>20070821</v>
      </c>
      <c r="E380" s="20" t="str">
        <f t="shared" si="134"/>
        <v>20070821067</v>
      </c>
      <c r="F380" s="19">
        <v>46</v>
      </c>
      <c r="G380" s="19">
        <v>24</v>
      </c>
      <c r="H380" s="19">
        <v>42</v>
      </c>
      <c r="I380" s="19">
        <v>16</v>
      </c>
      <c r="J380" s="19">
        <v>38</v>
      </c>
      <c r="K380" s="19">
        <v>25</v>
      </c>
      <c r="L380" s="19">
        <v>6</v>
      </c>
      <c r="M380" s="19">
        <f t="shared" si="137"/>
        <v>197</v>
      </c>
      <c r="N380" s="27">
        <f t="shared" si="135"/>
        <v>39315</v>
      </c>
    </row>
    <row r="381" spans="1:14" x14ac:dyDescent="0.25">
      <c r="A381" s="15">
        <f t="shared" si="136"/>
        <v>5</v>
      </c>
      <c r="B381" s="20">
        <f t="shared" si="139"/>
        <v>380</v>
      </c>
      <c r="C381" s="17">
        <f t="shared" si="140"/>
        <v>68</v>
      </c>
      <c r="D381" s="17" t="str">
        <f t="shared" si="141"/>
        <v>20070824</v>
      </c>
      <c r="E381" s="20" t="str">
        <f t="shared" si="134"/>
        <v>20070824068</v>
      </c>
      <c r="F381" s="19">
        <v>47</v>
      </c>
      <c r="G381" s="19">
        <v>4</v>
      </c>
      <c r="H381" s="19">
        <v>25</v>
      </c>
      <c r="I381" s="19">
        <v>7</v>
      </c>
      <c r="J381" s="19">
        <v>12</v>
      </c>
      <c r="K381" s="19">
        <v>6</v>
      </c>
      <c r="L381" s="19">
        <v>9</v>
      </c>
      <c r="M381" s="19">
        <f t="shared" si="137"/>
        <v>110</v>
      </c>
      <c r="N381" s="27">
        <f t="shared" si="138"/>
        <v>39318</v>
      </c>
    </row>
    <row r="382" spans="1:14" x14ac:dyDescent="0.25">
      <c r="A382" s="15">
        <f t="shared" si="136"/>
        <v>2</v>
      </c>
      <c r="B382" s="20">
        <f t="shared" si="139"/>
        <v>381</v>
      </c>
      <c r="C382" s="17">
        <f t="shared" si="140"/>
        <v>69</v>
      </c>
      <c r="D382" s="17" t="str">
        <f t="shared" si="141"/>
        <v>20070828</v>
      </c>
      <c r="E382" s="20" t="str">
        <f t="shared" si="134"/>
        <v>20070828069</v>
      </c>
      <c r="F382" s="19">
        <v>22</v>
      </c>
      <c r="G382" s="19">
        <v>29</v>
      </c>
      <c r="H382" s="19">
        <v>39</v>
      </c>
      <c r="I382" s="19">
        <v>2</v>
      </c>
      <c r="J382" s="19">
        <v>11</v>
      </c>
      <c r="K382" s="19">
        <v>34</v>
      </c>
      <c r="L382" s="19">
        <v>45</v>
      </c>
      <c r="M382" s="19">
        <f t="shared" si="137"/>
        <v>182</v>
      </c>
      <c r="N382" s="27">
        <f t="shared" si="135"/>
        <v>39322</v>
      </c>
    </row>
    <row r="383" spans="1:14" x14ac:dyDescent="0.25">
      <c r="A383" s="15">
        <f t="shared" si="136"/>
        <v>5</v>
      </c>
      <c r="B383" s="20">
        <f t="shared" si="139"/>
        <v>382</v>
      </c>
      <c r="C383" s="17">
        <f t="shared" si="140"/>
        <v>70</v>
      </c>
      <c r="D383" s="17" t="str">
        <f t="shared" si="141"/>
        <v>20070831</v>
      </c>
      <c r="E383" s="20" t="str">
        <f t="shared" si="134"/>
        <v>20070831070</v>
      </c>
      <c r="F383" s="19">
        <v>35</v>
      </c>
      <c r="G383" s="19">
        <v>31</v>
      </c>
      <c r="H383" s="19">
        <v>23</v>
      </c>
      <c r="I383" s="19">
        <v>44</v>
      </c>
      <c r="J383" s="19">
        <v>40</v>
      </c>
      <c r="K383" s="19">
        <v>41</v>
      </c>
      <c r="L383" s="19">
        <v>21</v>
      </c>
      <c r="M383" s="19">
        <f t="shared" si="137"/>
        <v>235</v>
      </c>
      <c r="N383" s="27">
        <f t="shared" si="138"/>
        <v>39325</v>
      </c>
    </row>
    <row r="384" spans="1:14" x14ac:dyDescent="0.25">
      <c r="A384" s="15">
        <f t="shared" si="136"/>
        <v>2</v>
      </c>
      <c r="B384" s="20">
        <f t="shared" si="139"/>
        <v>383</v>
      </c>
      <c r="C384" s="17">
        <f t="shared" si="140"/>
        <v>71</v>
      </c>
      <c r="D384" s="17" t="str">
        <f t="shared" si="141"/>
        <v>20070904</v>
      </c>
      <c r="E384" s="20" t="str">
        <f t="shared" si="134"/>
        <v>20070904071</v>
      </c>
      <c r="F384" s="19">
        <v>21</v>
      </c>
      <c r="G384" s="19">
        <v>17</v>
      </c>
      <c r="H384" s="19">
        <v>42</v>
      </c>
      <c r="I384" s="19">
        <v>48</v>
      </c>
      <c r="J384" s="19">
        <v>9</v>
      </c>
      <c r="K384" s="19">
        <v>18</v>
      </c>
      <c r="L384" s="19">
        <v>7</v>
      </c>
      <c r="M384" s="19">
        <f t="shared" si="137"/>
        <v>162</v>
      </c>
      <c r="N384" s="27">
        <f t="shared" si="135"/>
        <v>39329</v>
      </c>
    </row>
    <row r="385" spans="1:14" x14ac:dyDescent="0.25">
      <c r="A385" s="15">
        <f t="shared" si="136"/>
        <v>5</v>
      </c>
      <c r="B385" s="20">
        <f t="shared" si="139"/>
        <v>384</v>
      </c>
      <c r="C385" s="17">
        <f t="shared" si="140"/>
        <v>72</v>
      </c>
      <c r="D385" s="17" t="str">
        <f t="shared" si="141"/>
        <v>20070907</v>
      </c>
      <c r="E385" s="20" t="str">
        <f t="shared" si="134"/>
        <v>20070907072</v>
      </c>
      <c r="F385" s="19">
        <v>22</v>
      </c>
      <c r="G385" s="19">
        <v>5</v>
      </c>
      <c r="H385" s="19">
        <v>49</v>
      </c>
      <c r="I385" s="19">
        <v>32</v>
      </c>
      <c r="J385" s="19">
        <v>42</v>
      </c>
      <c r="K385" s="19">
        <v>3</v>
      </c>
      <c r="L385" s="19">
        <v>28</v>
      </c>
      <c r="M385" s="19">
        <f t="shared" si="137"/>
        <v>181</v>
      </c>
      <c r="N385" s="27">
        <f t="shared" si="138"/>
        <v>39332</v>
      </c>
    </row>
    <row r="386" spans="1:14" x14ac:dyDescent="0.25">
      <c r="A386" s="15">
        <f t="shared" si="136"/>
        <v>2</v>
      </c>
      <c r="B386" s="20">
        <f t="shared" si="139"/>
        <v>385</v>
      </c>
      <c r="C386" s="17">
        <f t="shared" si="140"/>
        <v>73</v>
      </c>
      <c r="D386" s="17" t="str">
        <f t="shared" si="141"/>
        <v>20070911</v>
      </c>
      <c r="E386" s="20" t="str">
        <f t="shared" ref="E386:E449" si="142">CONCATENATE(D386,TEXT(C386,"000"))</f>
        <v>20070911073</v>
      </c>
      <c r="F386" s="19">
        <v>28</v>
      </c>
      <c r="G386" s="19">
        <v>18</v>
      </c>
      <c r="H386" s="19">
        <v>14</v>
      </c>
      <c r="I386" s="19">
        <v>3</v>
      </c>
      <c r="J386" s="19">
        <v>22</v>
      </c>
      <c r="K386" s="19">
        <v>36</v>
      </c>
      <c r="L386" s="19">
        <v>47</v>
      </c>
      <c r="M386" s="19">
        <f t="shared" si="137"/>
        <v>168</v>
      </c>
      <c r="N386" s="27">
        <f t="shared" ref="N386:N448" si="143">N385+4</f>
        <v>39336</v>
      </c>
    </row>
    <row r="387" spans="1:14" x14ac:dyDescent="0.25">
      <c r="A387" s="15">
        <f t="shared" ref="A387:A450" si="144">WEEKDAY(N387,2)</f>
        <v>5</v>
      </c>
      <c r="B387" s="20">
        <f t="shared" si="139"/>
        <v>386</v>
      </c>
      <c r="C387" s="17">
        <f t="shared" si="140"/>
        <v>74</v>
      </c>
      <c r="D387" s="17" t="str">
        <f t="shared" si="141"/>
        <v>20070914</v>
      </c>
      <c r="E387" s="20" t="str">
        <f t="shared" si="142"/>
        <v>20070914074</v>
      </c>
      <c r="F387" s="19">
        <v>45</v>
      </c>
      <c r="G387" s="19">
        <v>22</v>
      </c>
      <c r="H387" s="19">
        <v>27</v>
      </c>
      <c r="I387" s="19">
        <v>15</v>
      </c>
      <c r="J387" s="19">
        <v>2</v>
      </c>
      <c r="K387" s="19">
        <v>48</v>
      </c>
      <c r="L387" s="19">
        <v>32</v>
      </c>
      <c r="M387" s="19">
        <f t="shared" ref="M387:M450" si="145">SUM(F387:L387)</f>
        <v>191</v>
      </c>
      <c r="N387" s="27">
        <f t="shared" ref="N387:N449" si="146">N386+3</f>
        <v>39339</v>
      </c>
    </row>
    <row r="388" spans="1:14" x14ac:dyDescent="0.25">
      <c r="A388" s="15">
        <f t="shared" si="144"/>
        <v>2</v>
      </c>
      <c r="B388" s="20">
        <f t="shared" ref="B388:B451" si="147">B387+1</f>
        <v>387</v>
      </c>
      <c r="C388" s="17">
        <f t="shared" ref="C388:C451" si="148">C387+1</f>
        <v>75</v>
      </c>
      <c r="D388" s="17" t="str">
        <f t="shared" ref="D388:D451" si="149">CONCATENATE(TEXT(YEAR(N388),"0000"),TEXT(MONTH(N388),"00"),TEXT(DAY(N388),"00"))</f>
        <v>20070918</v>
      </c>
      <c r="E388" s="20" t="str">
        <f t="shared" si="142"/>
        <v>20070918075</v>
      </c>
      <c r="F388" s="19">
        <v>20</v>
      </c>
      <c r="G388" s="19">
        <v>46</v>
      </c>
      <c r="H388" s="19">
        <v>29</v>
      </c>
      <c r="I388" s="19">
        <v>37</v>
      </c>
      <c r="J388" s="19">
        <v>31</v>
      </c>
      <c r="K388" s="19">
        <v>25</v>
      </c>
      <c r="L388" s="19">
        <v>49</v>
      </c>
      <c r="M388" s="19">
        <f t="shared" si="145"/>
        <v>237</v>
      </c>
      <c r="N388" s="27">
        <f t="shared" si="143"/>
        <v>39343</v>
      </c>
    </row>
    <row r="389" spans="1:14" x14ac:dyDescent="0.25">
      <c r="A389" s="15">
        <f t="shared" si="144"/>
        <v>5</v>
      </c>
      <c r="B389" s="20">
        <f t="shared" si="147"/>
        <v>388</v>
      </c>
      <c r="C389" s="17">
        <f t="shared" si="148"/>
        <v>76</v>
      </c>
      <c r="D389" s="17" t="str">
        <f t="shared" si="149"/>
        <v>20070921</v>
      </c>
      <c r="E389" s="20" t="str">
        <f t="shared" si="142"/>
        <v>20070921076</v>
      </c>
      <c r="F389" s="19">
        <v>39</v>
      </c>
      <c r="G389" s="19">
        <v>16</v>
      </c>
      <c r="H389" s="19">
        <v>24</v>
      </c>
      <c r="I389" s="19">
        <v>35</v>
      </c>
      <c r="J389" s="19">
        <v>31</v>
      </c>
      <c r="K389" s="19">
        <v>1</v>
      </c>
      <c r="L389" s="19">
        <v>21</v>
      </c>
      <c r="M389" s="19">
        <f t="shared" si="145"/>
        <v>167</v>
      </c>
      <c r="N389" s="27">
        <f t="shared" si="146"/>
        <v>39346</v>
      </c>
    </row>
    <row r="390" spans="1:14" x14ac:dyDescent="0.25">
      <c r="A390" s="15">
        <f t="shared" si="144"/>
        <v>2</v>
      </c>
      <c r="B390" s="20">
        <f t="shared" si="147"/>
        <v>389</v>
      </c>
      <c r="C390" s="17">
        <f t="shared" si="148"/>
        <v>77</v>
      </c>
      <c r="D390" s="17" t="str">
        <f t="shared" si="149"/>
        <v>20070925</v>
      </c>
      <c r="E390" s="20" t="str">
        <f t="shared" si="142"/>
        <v>20070925077</v>
      </c>
      <c r="F390" s="19">
        <v>8</v>
      </c>
      <c r="G390" s="19">
        <v>42</v>
      </c>
      <c r="H390" s="19">
        <v>38</v>
      </c>
      <c r="I390" s="19">
        <v>28</v>
      </c>
      <c r="J390" s="19">
        <v>10</v>
      </c>
      <c r="K390" s="19">
        <v>12</v>
      </c>
      <c r="L390" s="19">
        <v>33</v>
      </c>
      <c r="M390" s="19">
        <f t="shared" si="145"/>
        <v>171</v>
      </c>
      <c r="N390" s="27">
        <f t="shared" si="143"/>
        <v>39350</v>
      </c>
    </row>
    <row r="391" spans="1:14" x14ac:dyDescent="0.25">
      <c r="A391" s="15">
        <f t="shared" si="144"/>
        <v>5</v>
      </c>
      <c r="B391" s="20">
        <f t="shared" si="147"/>
        <v>390</v>
      </c>
      <c r="C391" s="17">
        <f t="shared" si="148"/>
        <v>78</v>
      </c>
      <c r="D391" s="17" t="str">
        <f t="shared" si="149"/>
        <v>20070928</v>
      </c>
      <c r="E391" s="20" t="str">
        <f t="shared" si="142"/>
        <v>20070928078</v>
      </c>
      <c r="F391" s="19">
        <v>16</v>
      </c>
      <c r="G391" s="19">
        <v>19</v>
      </c>
      <c r="H391" s="19">
        <v>8</v>
      </c>
      <c r="I391" s="19">
        <v>30</v>
      </c>
      <c r="J391" s="19">
        <v>9</v>
      </c>
      <c r="K391" s="19">
        <v>17</v>
      </c>
      <c r="L391" s="19">
        <v>45</v>
      </c>
      <c r="M391" s="19">
        <f t="shared" si="145"/>
        <v>144</v>
      </c>
      <c r="N391" s="27">
        <f t="shared" si="146"/>
        <v>39353</v>
      </c>
    </row>
    <row r="392" spans="1:14" x14ac:dyDescent="0.25">
      <c r="A392" s="15">
        <f t="shared" si="144"/>
        <v>2</v>
      </c>
      <c r="B392" s="20">
        <f t="shared" si="147"/>
        <v>391</v>
      </c>
      <c r="C392" s="17">
        <f t="shared" si="148"/>
        <v>79</v>
      </c>
      <c r="D392" s="17" t="str">
        <f t="shared" si="149"/>
        <v>20071002</v>
      </c>
      <c r="E392" s="20" t="str">
        <f t="shared" si="142"/>
        <v>20071002079</v>
      </c>
      <c r="F392" s="19">
        <v>49</v>
      </c>
      <c r="G392" s="19">
        <v>3</v>
      </c>
      <c r="H392" s="19">
        <v>4</v>
      </c>
      <c r="I392" s="19">
        <v>9</v>
      </c>
      <c r="J392" s="19">
        <v>24</v>
      </c>
      <c r="K392" s="19">
        <v>8</v>
      </c>
      <c r="L392" s="19">
        <v>23</v>
      </c>
      <c r="M392" s="19">
        <f t="shared" si="145"/>
        <v>120</v>
      </c>
      <c r="N392" s="27">
        <f t="shared" si="143"/>
        <v>39357</v>
      </c>
    </row>
    <row r="393" spans="1:14" x14ac:dyDescent="0.25">
      <c r="A393" s="15">
        <f t="shared" si="144"/>
        <v>5</v>
      </c>
      <c r="B393" s="20">
        <f t="shared" si="147"/>
        <v>392</v>
      </c>
      <c r="C393" s="17">
        <f t="shared" si="148"/>
        <v>80</v>
      </c>
      <c r="D393" s="17" t="str">
        <f t="shared" si="149"/>
        <v>20071005</v>
      </c>
      <c r="E393" s="20" t="str">
        <f t="shared" si="142"/>
        <v>20071005080</v>
      </c>
      <c r="F393" s="19">
        <v>19</v>
      </c>
      <c r="G393" s="19">
        <v>48</v>
      </c>
      <c r="H393" s="19">
        <v>26</v>
      </c>
      <c r="I393" s="19">
        <v>29</v>
      </c>
      <c r="J393" s="19">
        <v>10</v>
      </c>
      <c r="K393" s="19">
        <v>3</v>
      </c>
      <c r="L393" s="19">
        <v>18</v>
      </c>
      <c r="M393" s="19">
        <f t="shared" si="145"/>
        <v>153</v>
      </c>
      <c r="N393" s="27">
        <f t="shared" si="146"/>
        <v>39360</v>
      </c>
    </row>
    <row r="394" spans="1:14" x14ac:dyDescent="0.25">
      <c r="A394" s="15">
        <f t="shared" si="144"/>
        <v>2</v>
      </c>
      <c r="B394" s="20">
        <f t="shared" si="147"/>
        <v>393</v>
      </c>
      <c r="C394" s="17">
        <f t="shared" si="148"/>
        <v>81</v>
      </c>
      <c r="D394" s="17" t="str">
        <f t="shared" si="149"/>
        <v>20071009</v>
      </c>
      <c r="E394" s="20" t="str">
        <f t="shared" si="142"/>
        <v>20071009081</v>
      </c>
      <c r="F394" s="19">
        <v>40</v>
      </c>
      <c r="G394" s="19">
        <v>36</v>
      </c>
      <c r="H394" s="19">
        <v>47</v>
      </c>
      <c r="I394" s="19">
        <v>9</v>
      </c>
      <c r="J394" s="19">
        <v>38</v>
      </c>
      <c r="K394" s="19">
        <v>46</v>
      </c>
      <c r="L394" s="19">
        <v>13</v>
      </c>
      <c r="M394" s="19">
        <f t="shared" si="145"/>
        <v>229</v>
      </c>
      <c r="N394" s="27">
        <f t="shared" si="143"/>
        <v>39364</v>
      </c>
    </row>
    <row r="395" spans="1:14" x14ac:dyDescent="0.25">
      <c r="A395" s="15">
        <f t="shared" si="144"/>
        <v>5</v>
      </c>
      <c r="B395" s="20">
        <f t="shared" si="147"/>
        <v>394</v>
      </c>
      <c r="C395" s="17">
        <f t="shared" si="148"/>
        <v>82</v>
      </c>
      <c r="D395" s="17" t="str">
        <f t="shared" si="149"/>
        <v>20071012</v>
      </c>
      <c r="E395" s="20" t="str">
        <f t="shared" si="142"/>
        <v>20071012082</v>
      </c>
      <c r="F395" s="19">
        <v>9</v>
      </c>
      <c r="G395" s="19">
        <v>28</v>
      </c>
      <c r="H395" s="19">
        <v>26</v>
      </c>
      <c r="I395" s="19">
        <v>37</v>
      </c>
      <c r="J395" s="19">
        <v>20</v>
      </c>
      <c r="K395" s="19">
        <v>23</v>
      </c>
      <c r="L395" s="19">
        <v>44</v>
      </c>
      <c r="M395" s="19">
        <f t="shared" si="145"/>
        <v>187</v>
      </c>
      <c r="N395" s="27">
        <f t="shared" si="146"/>
        <v>39367</v>
      </c>
    </row>
    <row r="396" spans="1:14" x14ac:dyDescent="0.25">
      <c r="A396" s="15">
        <f t="shared" si="144"/>
        <v>2</v>
      </c>
      <c r="B396" s="20">
        <f t="shared" si="147"/>
        <v>395</v>
      </c>
      <c r="C396" s="17">
        <f t="shared" si="148"/>
        <v>83</v>
      </c>
      <c r="D396" s="17" t="str">
        <f t="shared" si="149"/>
        <v>20071016</v>
      </c>
      <c r="E396" s="20" t="str">
        <f t="shared" si="142"/>
        <v>20071016083</v>
      </c>
      <c r="F396" s="19">
        <v>38</v>
      </c>
      <c r="G396" s="19">
        <v>7</v>
      </c>
      <c r="H396" s="19">
        <v>18</v>
      </c>
      <c r="I396" s="19">
        <v>40</v>
      </c>
      <c r="J396" s="19">
        <v>11</v>
      </c>
      <c r="K396" s="19">
        <v>5</v>
      </c>
      <c r="L396" s="19">
        <v>31</v>
      </c>
      <c r="M396" s="19">
        <f t="shared" si="145"/>
        <v>150</v>
      </c>
      <c r="N396" s="27">
        <f t="shared" si="143"/>
        <v>39371</v>
      </c>
    </row>
    <row r="397" spans="1:14" x14ac:dyDescent="0.25">
      <c r="A397" s="15">
        <f t="shared" si="144"/>
        <v>5</v>
      </c>
      <c r="B397" s="20">
        <f t="shared" si="147"/>
        <v>396</v>
      </c>
      <c r="C397" s="17">
        <f t="shared" si="148"/>
        <v>84</v>
      </c>
      <c r="D397" s="17" t="str">
        <f t="shared" si="149"/>
        <v>20071019</v>
      </c>
      <c r="E397" s="20" t="str">
        <f t="shared" si="142"/>
        <v>20071019084</v>
      </c>
      <c r="F397" s="19">
        <v>36</v>
      </c>
      <c r="G397" s="19">
        <v>15</v>
      </c>
      <c r="H397" s="19">
        <v>28</v>
      </c>
      <c r="I397" s="19">
        <v>17</v>
      </c>
      <c r="J397" s="19">
        <v>46</v>
      </c>
      <c r="K397" s="19">
        <v>22</v>
      </c>
      <c r="L397" s="19">
        <v>24</v>
      </c>
      <c r="M397" s="19">
        <f t="shared" si="145"/>
        <v>188</v>
      </c>
      <c r="N397" s="27">
        <f t="shared" si="146"/>
        <v>39374</v>
      </c>
    </row>
    <row r="398" spans="1:14" x14ac:dyDescent="0.25">
      <c r="A398" s="15">
        <f t="shared" si="144"/>
        <v>2</v>
      </c>
      <c r="B398" s="20">
        <f t="shared" si="147"/>
        <v>397</v>
      </c>
      <c r="C398" s="17">
        <f t="shared" si="148"/>
        <v>85</v>
      </c>
      <c r="D398" s="17" t="str">
        <f t="shared" si="149"/>
        <v>20071023</v>
      </c>
      <c r="E398" s="20" t="str">
        <f t="shared" si="142"/>
        <v>20071023085</v>
      </c>
      <c r="F398" s="19">
        <v>49</v>
      </c>
      <c r="G398" s="19">
        <v>25</v>
      </c>
      <c r="H398" s="19">
        <v>29</v>
      </c>
      <c r="I398" s="19">
        <v>10</v>
      </c>
      <c r="J398" s="19">
        <v>47</v>
      </c>
      <c r="K398" s="19">
        <v>34</v>
      </c>
      <c r="L398" s="19">
        <v>17</v>
      </c>
      <c r="M398" s="19">
        <f t="shared" si="145"/>
        <v>211</v>
      </c>
      <c r="N398" s="27">
        <f t="shared" si="143"/>
        <v>39378</v>
      </c>
    </row>
    <row r="399" spans="1:14" x14ac:dyDescent="0.25">
      <c r="A399" s="15">
        <f t="shared" si="144"/>
        <v>5</v>
      </c>
      <c r="B399" s="20">
        <f t="shared" si="147"/>
        <v>398</v>
      </c>
      <c r="C399" s="17">
        <f t="shared" si="148"/>
        <v>86</v>
      </c>
      <c r="D399" s="17" t="str">
        <f t="shared" si="149"/>
        <v>20071026</v>
      </c>
      <c r="E399" s="20" t="str">
        <f t="shared" si="142"/>
        <v>20071026086</v>
      </c>
      <c r="F399" s="19">
        <v>36</v>
      </c>
      <c r="G399" s="19">
        <v>21</v>
      </c>
      <c r="H399" s="19">
        <v>13</v>
      </c>
      <c r="I399" s="19">
        <v>3</v>
      </c>
      <c r="J399" s="19">
        <v>11</v>
      </c>
      <c r="K399" s="19">
        <v>16</v>
      </c>
      <c r="L399" s="19">
        <v>26</v>
      </c>
      <c r="M399" s="19">
        <f t="shared" si="145"/>
        <v>126</v>
      </c>
      <c r="N399" s="27">
        <f t="shared" si="146"/>
        <v>39381</v>
      </c>
    </row>
    <row r="400" spans="1:14" x14ac:dyDescent="0.25">
      <c r="A400" s="15">
        <f t="shared" si="144"/>
        <v>2</v>
      </c>
      <c r="B400" s="20">
        <f t="shared" si="147"/>
        <v>399</v>
      </c>
      <c r="C400" s="17">
        <f t="shared" si="148"/>
        <v>87</v>
      </c>
      <c r="D400" s="17" t="str">
        <f t="shared" si="149"/>
        <v>20071030</v>
      </c>
      <c r="E400" s="20" t="str">
        <f t="shared" si="142"/>
        <v>20071030087</v>
      </c>
      <c r="F400" s="19">
        <v>4</v>
      </c>
      <c r="G400" s="19">
        <v>9</v>
      </c>
      <c r="H400" s="19">
        <v>1</v>
      </c>
      <c r="I400" s="19">
        <v>41</v>
      </c>
      <c r="J400" s="19">
        <v>19</v>
      </c>
      <c r="K400" s="19">
        <v>17</v>
      </c>
      <c r="L400" s="19">
        <v>7</v>
      </c>
      <c r="M400" s="19">
        <f t="shared" si="145"/>
        <v>98</v>
      </c>
      <c r="N400" s="27">
        <f t="shared" si="143"/>
        <v>39385</v>
      </c>
    </row>
    <row r="401" spans="1:14" x14ac:dyDescent="0.25">
      <c r="A401" s="15">
        <f t="shared" si="144"/>
        <v>5</v>
      </c>
      <c r="B401" s="20">
        <f t="shared" si="147"/>
        <v>400</v>
      </c>
      <c r="C401" s="17">
        <f t="shared" si="148"/>
        <v>88</v>
      </c>
      <c r="D401" s="17" t="str">
        <f t="shared" si="149"/>
        <v>20071102</v>
      </c>
      <c r="E401" s="20" t="str">
        <f t="shared" si="142"/>
        <v>20071102088</v>
      </c>
      <c r="F401" s="19">
        <v>48</v>
      </c>
      <c r="G401" s="19">
        <v>10</v>
      </c>
      <c r="H401" s="19">
        <v>4</v>
      </c>
      <c r="I401" s="19">
        <v>44</v>
      </c>
      <c r="J401" s="19">
        <v>28</v>
      </c>
      <c r="K401" s="19">
        <v>45</v>
      </c>
      <c r="L401" s="19">
        <v>39</v>
      </c>
      <c r="M401" s="19">
        <f t="shared" si="145"/>
        <v>218</v>
      </c>
      <c r="N401" s="27">
        <f t="shared" si="146"/>
        <v>39388</v>
      </c>
    </row>
    <row r="402" spans="1:14" x14ac:dyDescent="0.25">
      <c r="A402" s="15">
        <f t="shared" si="144"/>
        <v>2</v>
      </c>
      <c r="B402" s="20">
        <f t="shared" si="147"/>
        <v>401</v>
      </c>
      <c r="C402" s="17">
        <f t="shared" si="148"/>
        <v>89</v>
      </c>
      <c r="D402" s="17" t="str">
        <f t="shared" si="149"/>
        <v>20071106</v>
      </c>
      <c r="E402" s="20" t="str">
        <f t="shared" si="142"/>
        <v>20071106089</v>
      </c>
      <c r="F402" s="19">
        <v>43</v>
      </c>
      <c r="G402" s="19">
        <v>44</v>
      </c>
      <c r="H402" s="19">
        <v>10</v>
      </c>
      <c r="I402" s="19">
        <v>1</v>
      </c>
      <c r="J402" s="19">
        <v>27</v>
      </c>
      <c r="K402" s="19">
        <v>40</v>
      </c>
      <c r="L402" s="19">
        <v>2</v>
      </c>
      <c r="M402" s="19">
        <f t="shared" si="145"/>
        <v>167</v>
      </c>
      <c r="N402" s="27">
        <f t="shared" si="143"/>
        <v>39392</v>
      </c>
    </row>
    <row r="403" spans="1:14" x14ac:dyDescent="0.25">
      <c r="A403" s="15">
        <f t="shared" si="144"/>
        <v>5</v>
      </c>
      <c r="B403" s="20">
        <f t="shared" si="147"/>
        <v>402</v>
      </c>
      <c r="C403" s="17">
        <f t="shared" si="148"/>
        <v>90</v>
      </c>
      <c r="D403" s="17" t="str">
        <f t="shared" si="149"/>
        <v>20071109</v>
      </c>
      <c r="E403" s="20" t="str">
        <f t="shared" si="142"/>
        <v>20071109090</v>
      </c>
      <c r="F403" s="19">
        <v>24</v>
      </c>
      <c r="G403" s="19">
        <v>12</v>
      </c>
      <c r="H403" s="19">
        <v>6</v>
      </c>
      <c r="I403" s="19">
        <v>1</v>
      </c>
      <c r="J403" s="19">
        <v>2</v>
      </c>
      <c r="K403" s="19">
        <v>18</v>
      </c>
      <c r="L403" s="19">
        <v>25</v>
      </c>
      <c r="M403" s="19">
        <f t="shared" si="145"/>
        <v>88</v>
      </c>
      <c r="N403" s="27">
        <f t="shared" si="146"/>
        <v>39395</v>
      </c>
    </row>
    <row r="404" spans="1:14" x14ac:dyDescent="0.25">
      <c r="A404" s="15">
        <f t="shared" si="144"/>
        <v>2</v>
      </c>
      <c r="B404" s="20">
        <f t="shared" si="147"/>
        <v>403</v>
      </c>
      <c r="C404" s="17">
        <f t="shared" si="148"/>
        <v>91</v>
      </c>
      <c r="D404" s="17" t="str">
        <f t="shared" si="149"/>
        <v>20071113</v>
      </c>
      <c r="E404" s="20" t="str">
        <f t="shared" si="142"/>
        <v>20071113091</v>
      </c>
      <c r="F404" s="19">
        <v>37</v>
      </c>
      <c r="G404" s="19">
        <v>16</v>
      </c>
      <c r="H404" s="19">
        <v>17</v>
      </c>
      <c r="I404" s="19">
        <v>5</v>
      </c>
      <c r="J404" s="19">
        <v>3</v>
      </c>
      <c r="K404" s="19">
        <v>32</v>
      </c>
      <c r="L404" s="19">
        <v>24</v>
      </c>
      <c r="M404" s="19">
        <f t="shared" si="145"/>
        <v>134</v>
      </c>
      <c r="N404" s="27">
        <f t="shared" si="143"/>
        <v>39399</v>
      </c>
    </row>
    <row r="405" spans="1:14" x14ac:dyDescent="0.25">
      <c r="A405" s="15">
        <f t="shared" si="144"/>
        <v>5</v>
      </c>
      <c r="B405" s="20">
        <f t="shared" si="147"/>
        <v>404</v>
      </c>
      <c r="C405" s="17">
        <f t="shared" si="148"/>
        <v>92</v>
      </c>
      <c r="D405" s="17" t="str">
        <f t="shared" si="149"/>
        <v>20071116</v>
      </c>
      <c r="E405" s="20" t="str">
        <f t="shared" si="142"/>
        <v>20071116092</v>
      </c>
      <c r="F405" s="19">
        <v>16</v>
      </c>
      <c r="G405" s="19">
        <v>39</v>
      </c>
      <c r="H405" s="19">
        <v>42</v>
      </c>
      <c r="I405" s="19">
        <v>20</v>
      </c>
      <c r="J405" s="19">
        <v>46</v>
      </c>
      <c r="K405" s="19">
        <v>22</v>
      </c>
      <c r="L405" s="19">
        <v>38</v>
      </c>
      <c r="M405" s="19">
        <f t="shared" si="145"/>
        <v>223</v>
      </c>
      <c r="N405" s="27">
        <f t="shared" si="146"/>
        <v>39402</v>
      </c>
    </row>
    <row r="406" spans="1:14" x14ac:dyDescent="0.25">
      <c r="A406" s="15">
        <f t="shared" si="144"/>
        <v>2</v>
      </c>
      <c r="B406" s="20">
        <f t="shared" si="147"/>
        <v>405</v>
      </c>
      <c r="C406" s="17">
        <f t="shared" si="148"/>
        <v>93</v>
      </c>
      <c r="D406" s="17" t="str">
        <f t="shared" si="149"/>
        <v>20071120</v>
      </c>
      <c r="E406" s="20" t="str">
        <f t="shared" si="142"/>
        <v>20071120093</v>
      </c>
      <c r="F406" s="19">
        <v>1</v>
      </c>
      <c r="G406" s="19">
        <v>16</v>
      </c>
      <c r="H406" s="19">
        <v>17</v>
      </c>
      <c r="I406" s="19">
        <v>20</v>
      </c>
      <c r="J406" s="19">
        <v>22</v>
      </c>
      <c r="K406" s="19">
        <v>42</v>
      </c>
      <c r="L406" s="19">
        <v>29</v>
      </c>
      <c r="M406" s="19">
        <f t="shared" si="145"/>
        <v>147</v>
      </c>
      <c r="N406" s="27">
        <f t="shared" si="143"/>
        <v>39406</v>
      </c>
    </row>
    <row r="407" spans="1:14" x14ac:dyDescent="0.25">
      <c r="A407" s="15">
        <f t="shared" si="144"/>
        <v>5</v>
      </c>
      <c r="B407" s="20">
        <f t="shared" si="147"/>
        <v>406</v>
      </c>
      <c r="C407" s="17">
        <f t="shared" si="148"/>
        <v>94</v>
      </c>
      <c r="D407" s="17" t="str">
        <f t="shared" si="149"/>
        <v>20071123</v>
      </c>
      <c r="E407" s="20" t="str">
        <f t="shared" si="142"/>
        <v>20071123094</v>
      </c>
      <c r="F407" s="19">
        <v>43</v>
      </c>
      <c r="G407" s="19">
        <v>46</v>
      </c>
      <c r="H407" s="19">
        <v>1</v>
      </c>
      <c r="I407" s="19">
        <v>49</v>
      </c>
      <c r="J407" s="19">
        <v>23</v>
      </c>
      <c r="K407" s="19">
        <v>22</v>
      </c>
      <c r="L407" s="19">
        <v>33</v>
      </c>
      <c r="M407" s="19">
        <f t="shared" si="145"/>
        <v>217</v>
      </c>
      <c r="N407" s="27">
        <f t="shared" si="146"/>
        <v>39409</v>
      </c>
    </row>
    <row r="408" spans="1:14" x14ac:dyDescent="0.25">
      <c r="A408" s="15">
        <f t="shared" si="144"/>
        <v>2</v>
      </c>
      <c r="B408" s="20">
        <f t="shared" si="147"/>
        <v>407</v>
      </c>
      <c r="C408" s="17">
        <f t="shared" si="148"/>
        <v>95</v>
      </c>
      <c r="D408" s="17" t="str">
        <f t="shared" si="149"/>
        <v>20071127</v>
      </c>
      <c r="E408" s="20" t="str">
        <f t="shared" si="142"/>
        <v>20071127095</v>
      </c>
      <c r="F408" s="19">
        <v>8</v>
      </c>
      <c r="G408" s="19">
        <v>47</v>
      </c>
      <c r="H408" s="19">
        <v>12</v>
      </c>
      <c r="I408" s="19">
        <v>36</v>
      </c>
      <c r="J408" s="19">
        <v>34</v>
      </c>
      <c r="K408" s="19">
        <v>16</v>
      </c>
      <c r="L408" s="19">
        <v>33</v>
      </c>
      <c r="M408" s="19">
        <f t="shared" si="145"/>
        <v>186</v>
      </c>
      <c r="N408" s="27">
        <f t="shared" si="143"/>
        <v>39413</v>
      </c>
    </row>
    <row r="409" spans="1:14" x14ac:dyDescent="0.25">
      <c r="A409" s="15">
        <f t="shared" si="144"/>
        <v>5</v>
      </c>
      <c r="B409" s="20">
        <f t="shared" si="147"/>
        <v>408</v>
      </c>
      <c r="C409" s="17">
        <f t="shared" si="148"/>
        <v>96</v>
      </c>
      <c r="D409" s="17" t="str">
        <f t="shared" si="149"/>
        <v>20071130</v>
      </c>
      <c r="E409" s="20" t="str">
        <f t="shared" si="142"/>
        <v>20071130096</v>
      </c>
      <c r="F409" s="19">
        <v>15</v>
      </c>
      <c r="G409" s="19">
        <v>8</v>
      </c>
      <c r="H409" s="19">
        <v>19</v>
      </c>
      <c r="I409" s="19">
        <v>45</v>
      </c>
      <c r="J409" s="19">
        <v>16</v>
      </c>
      <c r="K409" s="19">
        <v>30</v>
      </c>
      <c r="L409" s="19">
        <v>44</v>
      </c>
      <c r="M409" s="19">
        <f t="shared" si="145"/>
        <v>177</v>
      </c>
      <c r="N409" s="27">
        <f t="shared" si="146"/>
        <v>39416</v>
      </c>
    </row>
    <row r="410" spans="1:14" x14ac:dyDescent="0.25">
      <c r="A410" s="15">
        <f t="shared" si="144"/>
        <v>2</v>
      </c>
      <c r="B410" s="20">
        <f t="shared" si="147"/>
        <v>409</v>
      </c>
      <c r="C410" s="17">
        <f t="shared" si="148"/>
        <v>97</v>
      </c>
      <c r="D410" s="17" t="str">
        <f t="shared" si="149"/>
        <v>20071204</v>
      </c>
      <c r="E410" s="20" t="str">
        <f t="shared" si="142"/>
        <v>20071204097</v>
      </c>
      <c r="F410" s="19">
        <v>1</v>
      </c>
      <c r="G410" s="19">
        <v>43</v>
      </c>
      <c r="H410" s="19">
        <v>16</v>
      </c>
      <c r="I410" s="19">
        <v>38</v>
      </c>
      <c r="J410" s="19">
        <v>44</v>
      </c>
      <c r="K410" s="19">
        <v>31</v>
      </c>
      <c r="L410" s="19">
        <v>42</v>
      </c>
      <c r="M410" s="19">
        <f t="shared" si="145"/>
        <v>215</v>
      </c>
      <c r="N410" s="27">
        <f t="shared" si="143"/>
        <v>39420</v>
      </c>
    </row>
    <row r="411" spans="1:14" x14ac:dyDescent="0.25">
      <c r="A411" s="15">
        <f t="shared" si="144"/>
        <v>5</v>
      </c>
      <c r="B411" s="20">
        <f t="shared" si="147"/>
        <v>410</v>
      </c>
      <c r="C411" s="17">
        <f t="shared" si="148"/>
        <v>98</v>
      </c>
      <c r="D411" s="17" t="str">
        <f t="shared" si="149"/>
        <v>20071207</v>
      </c>
      <c r="E411" s="20" t="str">
        <f t="shared" si="142"/>
        <v>20071207098</v>
      </c>
      <c r="F411" s="19">
        <v>8</v>
      </c>
      <c r="G411" s="19">
        <v>17</v>
      </c>
      <c r="H411" s="19">
        <v>28</v>
      </c>
      <c r="I411" s="19">
        <v>32</v>
      </c>
      <c r="J411" s="19">
        <v>34</v>
      </c>
      <c r="K411" s="19">
        <v>10</v>
      </c>
      <c r="L411" s="19">
        <v>42</v>
      </c>
      <c r="M411" s="19">
        <f t="shared" si="145"/>
        <v>171</v>
      </c>
      <c r="N411" s="27">
        <f t="shared" si="146"/>
        <v>39423</v>
      </c>
    </row>
    <row r="412" spans="1:14" x14ac:dyDescent="0.25">
      <c r="A412" s="15">
        <f t="shared" si="144"/>
        <v>2</v>
      </c>
      <c r="B412" s="20">
        <f t="shared" si="147"/>
        <v>411</v>
      </c>
      <c r="C412" s="17">
        <f t="shared" si="148"/>
        <v>99</v>
      </c>
      <c r="D412" s="17" t="str">
        <f t="shared" si="149"/>
        <v>20071211</v>
      </c>
      <c r="E412" s="20" t="str">
        <f t="shared" si="142"/>
        <v>20071211099</v>
      </c>
      <c r="F412" s="19">
        <v>10</v>
      </c>
      <c r="G412" s="19">
        <v>43</v>
      </c>
      <c r="H412" s="19">
        <v>27</v>
      </c>
      <c r="I412" s="19">
        <v>16</v>
      </c>
      <c r="J412" s="19">
        <v>20</v>
      </c>
      <c r="K412" s="19">
        <v>15</v>
      </c>
      <c r="L412" s="19">
        <v>19</v>
      </c>
      <c r="M412" s="19">
        <f t="shared" si="145"/>
        <v>150</v>
      </c>
      <c r="N412" s="27">
        <f t="shared" si="143"/>
        <v>39427</v>
      </c>
    </row>
    <row r="413" spans="1:14" x14ac:dyDescent="0.25">
      <c r="A413" s="15">
        <f t="shared" si="144"/>
        <v>5</v>
      </c>
      <c r="B413" s="20">
        <f t="shared" si="147"/>
        <v>412</v>
      </c>
      <c r="C413" s="17">
        <f t="shared" si="148"/>
        <v>100</v>
      </c>
      <c r="D413" s="17" t="str">
        <f t="shared" si="149"/>
        <v>20071214</v>
      </c>
      <c r="E413" s="20" t="str">
        <f t="shared" si="142"/>
        <v>20071214100</v>
      </c>
      <c r="F413" s="19">
        <v>34</v>
      </c>
      <c r="G413" s="19">
        <v>1</v>
      </c>
      <c r="H413" s="19">
        <v>17</v>
      </c>
      <c r="I413" s="19">
        <v>27</v>
      </c>
      <c r="J413" s="19">
        <v>26</v>
      </c>
      <c r="K413" s="19">
        <v>39</v>
      </c>
      <c r="L413" s="19">
        <v>13</v>
      </c>
      <c r="M413" s="19">
        <f t="shared" si="145"/>
        <v>157</v>
      </c>
      <c r="N413" s="27">
        <f t="shared" si="146"/>
        <v>39430</v>
      </c>
    </row>
    <row r="414" spans="1:14" x14ac:dyDescent="0.25">
      <c r="A414" s="15">
        <f t="shared" si="144"/>
        <v>2</v>
      </c>
      <c r="B414" s="20">
        <f t="shared" si="147"/>
        <v>413</v>
      </c>
      <c r="C414" s="17">
        <f t="shared" si="148"/>
        <v>101</v>
      </c>
      <c r="D414" s="17" t="str">
        <f t="shared" si="149"/>
        <v>20071218</v>
      </c>
      <c r="E414" s="20" t="str">
        <f t="shared" si="142"/>
        <v>20071218101</v>
      </c>
      <c r="F414" s="19">
        <v>13</v>
      </c>
      <c r="G414" s="19">
        <v>7</v>
      </c>
      <c r="H414" s="19">
        <v>4</v>
      </c>
      <c r="I414" s="19">
        <v>19</v>
      </c>
      <c r="J414" s="19">
        <v>49</v>
      </c>
      <c r="K414" s="19">
        <v>23</v>
      </c>
      <c r="L414" s="19">
        <v>17</v>
      </c>
      <c r="M414" s="19">
        <f t="shared" si="145"/>
        <v>132</v>
      </c>
      <c r="N414" s="27">
        <f t="shared" si="143"/>
        <v>39434</v>
      </c>
    </row>
    <row r="415" spans="1:14" x14ac:dyDescent="0.25">
      <c r="A415" s="15">
        <f t="shared" si="144"/>
        <v>5</v>
      </c>
      <c r="B415" s="20">
        <f t="shared" si="147"/>
        <v>414</v>
      </c>
      <c r="C415" s="17">
        <f t="shared" si="148"/>
        <v>102</v>
      </c>
      <c r="D415" s="17" t="str">
        <f t="shared" si="149"/>
        <v>20071221</v>
      </c>
      <c r="E415" s="20" t="str">
        <f t="shared" si="142"/>
        <v>20071221102</v>
      </c>
      <c r="F415" s="19">
        <v>20</v>
      </c>
      <c r="G415" s="19">
        <v>28</v>
      </c>
      <c r="H415" s="19">
        <v>15</v>
      </c>
      <c r="I415" s="19">
        <v>22</v>
      </c>
      <c r="J415" s="19">
        <v>19</v>
      </c>
      <c r="K415" s="19">
        <v>44</v>
      </c>
      <c r="L415" s="19">
        <v>42</v>
      </c>
      <c r="M415" s="19">
        <f t="shared" si="145"/>
        <v>190</v>
      </c>
      <c r="N415" s="27">
        <f t="shared" si="146"/>
        <v>39437</v>
      </c>
    </row>
    <row r="416" spans="1:14" x14ac:dyDescent="0.25">
      <c r="A416" s="15">
        <f t="shared" si="144"/>
        <v>2</v>
      </c>
      <c r="B416" s="20">
        <f t="shared" si="147"/>
        <v>415</v>
      </c>
      <c r="C416" s="17">
        <f t="shared" si="148"/>
        <v>103</v>
      </c>
      <c r="D416" s="17" t="str">
        <f t="shared" si="149"/>
        <v>20071225</v>
      </c>
      <c r="E416" s="20" t="str">
        <f t="shared" si="142"/>
        <v>20071225103</v>
      </c>
      <c r="F416" s="19">
        <v>31</v>
      </c>
      <c r="G416" s="19">
        <v>9</v>
      </c>
      <c r="H416" s="19">
        <v>37</v>
      </c>
      <c r="I416" s="19">
        <v>5</v>
      </c>
      <c r="J416" s="19">
        <v>18</v>
      </c>
      <c r="K416" s="19">
        <v>6</v>
      </c>
      <c r="L416" s="19">
        <v>32</v>
      </c>
      <c r="M416" s="19">
        <f t="shared" si="145"/>
        <v>138</v>
      </c>
      <c r="N416" s="27">
        <f t="shared" si="143"/>
        <v>39441</v>
      </c>
    </row>
    <row r="417" spans="1:14" x14ac:dyDescent="0.25">
      <c r="A417" s="15">
        <f t="shared" si="144"/>
        <v>5</v>
      </c>
      <c r="B417" s="20">
        <f t="shared" si="147"/>
        <v>416</v>
      </c>
      <c r="C417" s="17">
        <f t="shared" si="148"/>
        <v>104</v>
      </c>
      <c r="D417" s="17" t="str">
        <f t="shared" si="149"/>
        <v>20071228</v>
      </c>
      <c r="E417" s="20" t="str">
        <f t="shared" si="142"/>
        <v>20071228104</v>
      </c>
      <c r="F417" s="19">
        <v>12</v>
      </c>
      <c r="G417" s="19">
        <v>18</v>
      </c>
      <c r="H417" s="19">
        <v>10</v>
      </c>
      <c r="I417" s="19">
        <v>22</v>
      </c>
      <c r="J417" s="19">
        <v>16</v>
      </c>
      <c r="K417" s="19">
        <v>29</v>
      </c>
      <c r="L417" s="19">
        <v>30</v>
      </c>
      <c r="M417" s="19">
        <f t="shared" si="145"/>
        <v>137</v>
      </c>
      <c r="N417" s="27">
        <f t="shared" si="146"/>
        <v>39444</v>
      </c>
    </row>
    <row r="418" spans="1:14" x14ac:dyDescent="0.25">
      <c r="A418" s="15">
        <f t="shared" si="144"/>
        <v>2</v>
      </c>
      <c r="B418" s="20">
        <f t="shared" si="147"/>
        <v>417</v>
      </c>
      <c r="C418" s="17">
        <v>1</v>
      </c>
      <c r="D418" s="17" t="str">
        <f t="shared" si="149"/>
        <v>20080101</v>
      </c>
      <c r="E418" s="20" t="str">
        <f t="shared" si="142"/>
        <v>20080101001</v>
      </c>
      <c r="F418" s="19">
        <v>48</v>
      </c>
      <c r="G418" s="19">
        <v>18</v>
      </c>
      <c r="H418" s="19">
        <v>13</v>
      </c>
      <c r="I418" s="19">
        <v>27</v>
      </c>
      <c r="J418" s="19">
        <v>43</v>
      </c>
      <c r="K418" s="19">
        <v>47</v>
      </c>
      <c r="L418" s="19">
        <v>21</v>
      </c>
      <c r="M418" s="19">
        <f t="shared" si="145"/>
        <v>217</v>
      </c>
      <c r="N418" s="27">
        <f t="shared" si="143"/>
        <v>39448</v>
      </c>
    </row>
    <row r="419" spans="1:14" x14ac:dyDescent="0.25">
      <c r="A419" s="15">
        <f t="shared" si="144"/>
        <v>5</v>
      </c>
      <c r="B419" s="20">
        <f t="shared" si="147"/>
        <v>418</v>
      </c>
      <c r="C419" s="17">
        <f t="shared" si="148"/>
        <v>2</v>
      </c>
      <c r="D419" s="17" t="str">
        <f t="shared" si="149"/>
        <v>20080104</v>
      </c>
      <c r="E419" s="20" t="str">
        <f t="shared" si="142"/>
        <v>20080104002</v>
      </c>
      <c r="F419" s="19">
        <v>13</v>
      </c>
      <c r="G419" s="19">
        <v>5</v>
      </c>
      <c r="H419" s="19">
        <v>40</v>
      </c>
      <c r="I419" s="19">
        <v>31</v>
      </c>
      <c r="J419" s="19">
        <v>29</v>
      </c>
      <c r="K419" s="19">
        <v>39</v>
      </c>
      <c r="L419" s="19">
        <v>33</v>
      </c>
      <c r="M419" s="19">
        <f t="shared" si="145"/>
        <v>190</v>
      </c>
      <c r="N419" s="27">
        <f t="shared" si="146"/>
        <v>39451</v>
      </c>
    </row>
    <row r="420" spans="1:14" x14ac:dyDescent="0.25">
      <c r="A420" s="15">
        <f t="shared" si="144"/>
        <v>2</v>
      </c>
      <c r="B420" s="20">
        <f t="shared" si="147"/>
        <v>419</v>
      </c>
      <c r="C420" s="17">
        <f t="shared" si="148"/>
        <v>3</v>
      </c>
      <c r="D420" s="17" t="str">
        <f t="shared" si="149"/>
        <v>20080108</v>
      </c>
      <c r="E420" s="20" t="str">
        <f t="shared" si="142"/>
        <v>20080108003</v>
      </c>
      <c r="F420" s="19">
        <v>17</v>
      </c>
      <c r="G420" s="19">
        <v>28</v>
      </c>
      <c r="H420" s="19">
        <v>44</v>
      </c>
      <c r="I420" s="19">
        <v>12</v>
      </c>
      <c r="J420" s="19">
        <v>7</v>
      </c>
      <c r="K420" s="19">
        <v>3</v>
      </c>
      <c r="L420" s="19">
        <v>36</v>
      </c>
      <c r="M420" s="19">
        <f t="shared" si="145"/>
        <v>147</v>
      </c>
      <c r="N420" s="27">
        <f t="shared" si="143"/>
        <v>39455</v>
      </c>
    </row>
    <row r="421" spans="1:14" x14ac:dyDescent="0.25">
      <c r="A421" s="15">
        <f t="shared" si="144"/>
        <v>5</v>
      </c>
      <c r="B421" s="20">
        <f t="shared" si="147"/>
        <v>420</v>
      </c>
      <c r="C421" s="17">
        <f t="shared" si="148"/>
        <v>4</v>
      </c>
      <c r="D421" s="17" t="str">
        <f t="shared" si="149"/>
        <v>20080111</v>
      </c>
      <c r="E421" s="20" t="str">
        <f t="shared" si="142"/>
        <v>20080111004</v>
      </c>
      <c r="F421" s="19">
        <v>27</v>
      </c>
      <c r="G421" s="19">
        <v>8</v>
      </c>
      <c r="H421" s="19">
        <v>37</v>
      </c>
      <c r="I421" s="19">
        <v>3</v>
      </c>
      <c r="J421" s="19">
        <v>49</v>
      </c>
      <c r="K421" s="19">
        <v>7</v>
      </c>
      <c r="L421" s="19">
        <v>48</v>
      </c>
      <c r="M421" s="19">
        <f t="shared" si="145"/>
        <v>179</v>
      </c>
      <c r="N421" s="27">
        <f t="shared" si="146"/>
        <v>39458</v>
      </c>
    </row>
    <row r="422" spans="1:14" x14ac:dyDescent="0.25">
      <c r="A422" s="15">
        <f t="shared" si="144"/>
        <v>2</v>
      </c>
      <c r="B422" s="20">
        <f t="shared" si="147"/>
        <v>421</v>
      </c>
      <c r="C422" s="17">
        <f t="shared" si="148"/>
        <v>5</v>
      </c>
      <c r="D422" s="17" t="str">
        <f t="shared" si="149"/>
        <v>20080115</v>
      </c>
      <c r="E422" s="20" t="str">
        <f t="shared" si="142"/>
        <v>20080115005</v>
      </c>
      <c r="F422" s="19">
        <v>41</v>
      </c>
      <c r="G422" s="19">
        <v>31</v>
      </c>
      <c r="H422" s="19">
        <v>5</v>
      </c>
      <c r="I422" s="19">
        <v>8</v>
      </c>
      <c r="J422" s="19">
        <v>32</v>
      </c>
      <c r="K422" s="19">
        <v>10</v>
      </c>
      <c r="L422" s="19">
        <v>11</v>
      </c>
      <c r="M422" s="19">
        <f t="shared" si="145"/>
        <v>138</v>
      </c>
      <c r="N422" s="27">
        <f t="shared" si="143"/>
        <v>39462</v>
      </c>
    </row>
    <row r="423" spans="1:14" x14ac:dyDescent="0.25">
      <c r="A423" s="15">
        <f t="shared" si="144"/>
        <v>5</v>
      </c>
      <c r="B423" s="20">
        <f t="shared" si="147"/>
        <v>422</v>
      </c>
      <c r="C423" s="17">
        <f t="shared" si="148"/>
        <v>6</v>
      </c>
      <c r="D423" s="17" t="str">
        <f t="shared" si="149"/>
        <v>20080118</v>
      </c>
      <c r="E423" s="20" t="str">
        <f t="shared" si="142"/>
        <v>20080118006</v>
      </c>
      <c r="F423" s="19">
        <v>6</v>
      </c>
      <c r="G423" s="19">
        <v>18</v>
      </c>
      <c r="H423" s="19">
        <v>36</v>
      </c>
      <c r="I423" s="19">
        <v>25</v>
      </c>
      <c r="J423" s="19">
        <v>8</v>
      </c>
      <c r="K423" s="19">
        <v>26</v>
      </c>
      <c r="L423" s="19">
        <v>13</v>
      </c>
      <c r="M423" s="19">
        <f t="shared" si="145"/>
        <v>132</v>
      </c>
      <c r="N423" s="27">
        <f t="shared" si="146"/>
        <v>39465</v>
      </c>
    </row>
    <row r="424" spans="1:14" x14ac:dyDescent="0.25">
      <c r="A424" s="15">
        <f t="shared" si="144"/>
        <v>2</v>
      </c>
      <c r="B424" s="20">
        <f t="shared" si="147"/>
        <v>423</v>
      </c>
      <c r="C424" s="17">
        <f t="shared" si="148"/>
        <v>7</v>
      </c>
      <c r="D424" s="17" t="str">
        <f t="shared" si="149"/>
        <v>20080122</v>
      </c>
      <c r="E424" s="20" t="str">
        <f t="shared" si="142"/>
        <v>20080122007</v>
      </c>
      <c r="F424" s="19">
        <v>37</v>
      </c>
      <c r="G424" s="19">
        <v>26</v>
      </c>
      <c r="H424" s="19">
        <v>14</v>
      </c>
      <c r="I424" s="19">
        <v>13</v>
      </c>
      <c r="J424" s="19">
        <v>9</v>
      </c>
      <c r="K424" s="19">
        <v>30</v>
      </c>
      <c r="L424" s="19">
        <v>5</v>
      </c>
      <c r="M424" s="19">
        <f t="shared" si="145"/>
        <v>134</v>
      </c>
      <c r="N424" s="27">
        <f t="shared" si="143"/>
        <v>39469</v>
      </c>
    </row>
    <row r="425" spans="1:14" x14ac:dyDescent="0.25">
      <c r="A425" s="15">
        <f t="shared" si="144"/>
        <v>5</v>
      </c>
      <c r="B425" s="20">
        <f t="shared" si="147"/>
        <v>424</v>
      </c>
      <c r="C425" s="17">
        <f t="shared" si="148"/>
        <v>8</v>
      </c>
      <c r="D425" s="17" t="str">
        <f t="shared" si="149"/>
        <v>20080125</v>
      </c>
      <c r="E425" s="20" t="str">
        <f t="shared" si="142"/>
        <v>20080125008</v>
      </c>
      <c r="F425" s="19">
        <v>20</v>
      </c>
      <c r="G425" s="19">
        <v>1</v>
      </c>
      <c r="H425" s="19">
        <v>15</v>
      </c>
      <c r="I425" s="19">
        <v>24</v>
      </c>
      <c r="J425" s="19">
        <v>4</v>
      </c>
      <c r="K425" s="19">
        <v>40</v>
      </c>
      <c r="L425" s="19">
        <v>32</v>
      </c>
      <c r="M425" s="19">
        <f t="shared" si="145"/>
        <v>136</v>
      </c>
      <c r="N425" s="27">
        <f t="shared" si="146"/>
        <v>39472</v>
      </c>
    </row>
    <row r="426" spans="1:14" x14ac:dyDescent="0.25">
      <c r="A426" s="15">
        <f t="shared" si="144"/>
        <v>2</v>
      </c>
      <c r="B426" s="20">
        <f t="shared" si="147"/>
        <v>425</v>
      </c>
      <c r="C426" s="17">
        <f t="shared" si="148"/>
        <v>9</v>
      </c>
      <c r="D426" s="17" t="str">
        <f t="shared" si="149"/>
        <v>20080129</v>
      </c>
      <c r="E426" s="20" t="str">
        <f t="shared" si="142"/>
        <v>20080129009</v>
      </c>
      <c r="F426" s="19">
        <v>49</v>
      </c>
      <c r="G426" s="19">
        <v>42</v>
      </c>
      <c r="H426" s="19">
        <v>21</v>
      </c>
      <c r="I426" s="19">
        <v>38</v>
      </c>
      <c r="J426" s="19">
        <v>34</v>
      </c>
      <c r="K426" s="19">
        <v>41</v>
      </c>
      <c r="L426" s="19">
        <v>25</v>
      </c>
      <c r="M426" s="19">
        <f t="shared" si="145"/>
        <v>250</v>
      </c>
      <c r="N426" s="27">
        <f t="shared" si="143"/>
        <v>39476</v>
      </c>
    </row>
    <row r="427" spans="1:14" x14ac:dyDescent="0.25">
      <c r="A427" s="15">
        <f t="shared" si="144"/>
        <v>5</v>
      </c>
      <c r="B427" s="20">
        <f t="shared" si="147"/>
        <v>426</v>
      </c>
      <c r="C427" s="17">
        <f t="shared" si="148"/>
        <v>10</v>
      </c>
      <c r="D427" s="17" t="str">
        <f t="shared" si="149"/>
        <v>20080201</v>
      </c>
      <c r="E427" s="20" t="str">
        <f t="shared" si="142"/>
        <v>20080201010</v>
      </c>
      <c r="F427" s="19">
        <v>2</v>
      </c>
      <c r="G427" s="19">
        <v>6</v>
      </c>
      <c r="H427" s="19">
        <v>20</v>
      </c>
      <c r="I427" s="19">
        <v>38</v>
      </c>
      <c r="J427" s="19">
        <v>1</v>
      </c>
      <c r="K427" s="19">
        <v>18</v>
      </c>
      <c r="L427" s="19">
        <v>29</v>
      </c>
      <c r="M427" s="19">
        <f t="shared" si="145"/>
        <v>114</v>
      </c>
      <c r="N427" s="27">
        <f t="shared" si="146"/>
        <v>39479</v>
      </c>
    </row>
    <row r="428" spans="1:14" x14ac:dyDescent="0.25">
      <c r="A428" s="15">
        <f t="shared" si="144"/>
        <v>2</v>
      </c>
      <c r="B428" s="20">
        <f t="shared" si="147"/>
        <v>427</v>
      </c>
      <c r="C428" s="17">
        <f t="shared" si="148"/>
        <v>11</v>
      </c>
      <c r="D428" s="17" t="str">
        <f t="shared" si="149"/>
        <v>20080205</v>
      </c>
      <c r="E428" s="20" t="str">
        <f t="shared" si="142"/>
        <v>20080205011</v>
      </c>
      <c r="F428" s="19">
        <v>33</v>
      </c>
      <c r="G428" s="19">
        <v>29</v>
      </c>
      <c r="H428" s="19">
        <v>42</v>
      </c>
      <c r="I428" s="19">
        <v>35</v>
      </c>
      <c r="J428" s="19">
        <v>30</v>
      </c>
      <c r="K428" s="19">
        <v>17</v>
      </c>
      <c r="L428" s="19">
        <v>10</v>
      </c>
      <c r="M428" s="19">
        <f t="shared" si="145"/>
        <v>196</v>
      </c>
      <c r="N428" s="27">
        <f t="shared" si="143"/>
        <v>39483</v>
      </c>
    </row>
    <row r="429" spans="1:14" x14ac:dyDescent="0.25">
      <c r="A429" s="15">
        <f t="shared" si="144"/>
        <v>5</v>
      </c>
      <c r="B429" s="20">
        <f t="shared" si="147"/>
        <v>428</v>
      </c>
      <c r="C429" s="17">
        <f t="shared" si="148"/>
        <v>12</v>
      </c>
      <c r="D429" s="17" t="str">
        <f t="shared" si="149"/>
        <v>20080208</v>
      </c>
      <c r="E429" s="20" t="str">
        <f t="shared" si="142"/>
        <v>20080208012</v>
      </c>
      <c r="F429" s="19">
        <v>7</v>
      </c>
      <c r="G429" s="19">
        <v>15</v>
      </c>
      <c r="H429" s="19">
        <v>36</v>
      </c>
      <c r="I429" s="19">
        <v>6</v>
      </c>
      <c r="J429" s="19">
        <v>1</v>
      </c>
      <c r="K429" s="19">
        <v>27</v>
      </c>
      <c r="L429" s="19">
        <v>39</v>
      </c>
      <c r="M429" s="19">
        <f t="shared" si="145"/>
        <v>131</v>
      </c>
      <c r="N429" s="27">
        <f t="shared" si="146"/>
        <v>39486</v>
      </c>
    </row>
    <row r="430" spans="1:14" x14ac:dyDescent="0.25">
      <c r="A430" s="15">
        <f t="shared" si="144"/>
        <v>2</v>
      </c>
      <c r="B430" s="20">
        <f t="shared" si="147"/>
        <v>429</v>
      </c>
      <c r="C430" s="17">
        <f t="shared" si="148"/>
        <v>13</v>
      </c>
      <c r="D430" s="17" t="str">
        <f t="shared" si="149"/>
        <v>20080212</v>
      </c>
      <c r="E430" s="20" t="str">
        <f t="shared" si="142"/>
        <v>20080212013</v>
      </c>
      <c r="F430" s="19">
        <v>12</v>
      </c>
      <c r="G430" s="19">
        <v>5</v>
      </c>
      <c r="H430" s="19">
        <v>27</v>
      </c>
      <c r="I430" s="19">
        <v>25</v>
      </c>
      <c r="J430" s="19">
        <v>22</v>
      </c>
      <c r="K430" s="19">
        <v>19</v>
      </c>
      <c r="L430" s="19">
        <v>29</v>
      </c>
      <c r="M430" s="19">
        <f t="shared" si="145"/>
        <v>139</v>
      </c>
      <c r="N430" s="27">
        <f t="shared" si="143"/>
        <v>39490</v>
      </c>
    </row>
    <row r="431" spans="1:14" x14ac:dyDescent="0.25">
      <c r="A431" s="15">
        <f t="shared" si="144"/>
        <v>5</v>
      </c>
      <c r="B431" s="20">
        <f t="shared" si="147"/>
        <v>430</v>
      </c>
      <c r="C431" s="17">
        <f t="shared" si="148"/>
        <v>14</v>
      </c>
      <c r="D431" s="17" t="str">
        <f t="shared" si="149"/>
        <v>20080215</v>
      </c>
      <c r="E431" s="20" t="str">
        <f t="shared" si="142"/>
        <v>20080215014</v>
      </c>
      <c r="F431" s="19">
        <v>31</v>
      </c>
      <c r="G431" s="19">
        <v>1</v>
      </c>
      <c r="H431" s="19">
        <v>42</v>
      </c>
      <c r="I431" s="19">
        <v>41</v>
      </c>
      <c r="J431" s="19">
        <v>46</v>
      </c>
      <c r="K431" s="19">
        <v>22</v>
      </c>
      <c r="L431" s="19">
        <v>36</v>
      </c>
      <c r="M431" s="19">
        <f t="shared" si="145"/>
        <v>219</v>
      </c>
      <c r="N431" s="27">
        <f t="shared" si="146"/>
        <v>39493</v>
      </c>
    </row>
    <row r="432" spans="1:14" x14ac:dyDescent="0.25">
      <c r="A432" s="15">
        <f t="shared" si="144"/>
        <v>2</v>
      </c>
      <c r="B432" s="20">
        <f t="shared" si="147"/>
        <v>431</v>
      </c>
      <c r="C432" s="17">
        <f t="shared" si="148"/>
        <v>15</v>
      </c>
      <c r="D432" s="17" t="str">
        <f t="shared" si="149"/>
        <v>20080219</v>
      </c>
      <c r="E432" s="20" t="str">
        <f t="shared" si="142"/>
        <v>20080219015</v>
      </c>
      <c r="F432" s="19">
        <v>26</v>
      </c>
      <c r="G432" s="19">
        <v>22</v>
      </c>
      <c r="H432" s="19">
        <v>31</v>
      </c>
      <c r="I432" s="19">
        <v>16</v>
      </c>
      <c r="J432" s="19">
        <v>39</v>
      </c>
      <c r="K432" s="19">
        <v>43</v>
      </c>
      <c r="L432" s="19">
        <v>9</v>
      </c>
      <c r="M432" s="19">
        <f t="shared" si="145"/>
        <v>186</v>
      </c>
      <c r="N432" s="27">
        <f t="shared" si="143"/>
        <v>39497</v>
      </c>
    </row>
    <row r="433" spans="1:14" x14ac:dyDescent="0.25">
      <c r="A433" s="15">
        <f t="shared" si="144"/>
        <v>5</v>
      </c>
      <c r="B433" s="20">
        <f t="shared" si="147"/>
        <v>432</v>
      </c>
      <c r="C433" s="17">
        <f t="shared" si="148"/>
        <v>16</v>
      </c>
      <c r="D433" s="17" t="str">
        <f t="shared" si="149"/>
        <v>20080222</v>
      </c>
      <c r="E433" s="20" t="str">
        <f t="shared" si="142"/>
        <v>20080222016</v>
      </c>
      <c r="F433" s="19">
        <v>43</v>
      </c>
      <c r="G433" s="19">
        <v>30</v>
      </c>
      <c r="H433" s="19">
        <v>12</v>
      </c>
      <c r="I433" s="19">
        <v>7</v>
      </c>
      <c r="J433" s="19">
        <v>3</v>
      </c>
      <c r="K433" s="19">
        <v>1</v>
      </c>
      <c r="L433" s="19">
        <v>22</v>
      </c>
      <c r="M433" s="19">
        <f t="shared" si="145"/>
        <v>118</v>
      </c>
      <c r="N433" s="27">
        <f t="shared" si="146"/>
        <v>39500</v>
      </c>
    </row>
    <row r="434" spans="1:14" x14ac:dyDescent="0.25">
      <c r="A434" s="15">
        <f t="shared" si="144"/>
        <v>2</v>
      </c>
      <c r="B434" s="20">
        <f t="shared" si="147"/>
        <v>433</v>
      </c>
      <c r="C434" s="17">
        <f t="shared" si="148"/>
        <v>17</v>
      </c>
      <c r="D434" s="17" t="str">
        <f t="shared" si="149"/>
        <v>20080226</v>
      </c>
      <c r="E434" s="20" t="str">
        <f t="shared" si="142"/>
        <v>20080226017</v>
      </c>
      <c r="F434" s="19">
        <v>40</v>
      </c>
      <c r="G434" s="19">
        <v>6</v>
      </c>
      <c r="H434" s="19">
        <v>33</v>
      </c>
      <c r="I434" s="19">
        <v>37</v>
      </c>
      <c r="J434" s="19">
        <v>47</v>
      </c>
      <c r="K434" s="19">
        <v>16</v>
      </c>
      <c r="L434" s="19">
        <v>28</v>
      </c>
      <c r="M434" s="19">
        <f t="shared" si="145"/>
        <v>207</v>
      </c>
      <c r="N434" s="27">
        <f t="shared" si="143"/>
        <v>39504</v>
      </c>
    </row>
    <row r="435" spans="1:14" x14ac:dyDescent="0.25">
      <c r="A435" s="15">
        <f t="shared" si="144"/>
        <v>5</v>
      </c>
      <c r="B435" s="20">
        <f t="shared" si="147"/>
        <v>434</v>
      </c>
      <c r="C435" s="17">
        <f t="shared" si="148"/>
        <v>18</v>
      </c>
      <c r="D435" s="17" t="str">
        <f t="shared" si="149"/>
        <v>20080229</v>
      </c>
      <c r="E435" s="20" t="str">
        <f t="shared" si="142"/>
        <v>20080229018</v>
      </c>
      <c r="F435" s="19">
        <v>7</v>
      </c>
      <c r="G435" s="19">
        <v>1</v>
      </c>
      <c r="H435" s="19">
        <v>9</v>
      </c>
      <c r="I435" s="19">
        <v>10</v>
      </c>
      <c r="J435" s="19">
        <v>18</v>
      </c>
      <c r="K435" s="19">
        <v>27</v>
      </c>
      <c r="L435" s="19">
        <v>43</v>
      </c>
      <c r="M435" s="19">
        <f t="shared" si="145"/>
        <v>115</v>
      </c>
      <c r="N435" s="27">
        <f t="shared" si="146"/>
        <v>39507</v>
      </c>
    </row>
    <row r="436" spans="1:14" x14ac:dyDescent="0.25">
      <c r="A436" s="15">
        <f t="shared" si="144"/>
        <v>2</v>
      </c>
      <c r="B436" s="20">
        <f t="shared" si="147"/>
        <v>435</v>
      </c>
      <c r="C436" s="17">
        <f t="shared" si="148"/>
        <v>19</v>
      </c>
      <c r="D436" s="17" t="str">
        <f t="shared" si="149"/>
        <v>20080304</v>
      </c>
      <c r="E436" s="20" t="str">
        <f t="shared" si="142"/>
        <v>20080304019</v>
      </c>
      <c r="F436" s="19">
        <v>25</v>
      </c>
      <c r="G436" s="19">
        <v>38</v>
      </c>
      <c r="H436" s="19">
        <v>22</v>
      </c>
      <c r="I436" s="19">
        <v>1</v>
      </c>
      <c r="J436" s="19">
        <v>47</v>
      </c>
      <c r="K436" s="19">
        <v>15</v>
      </c>
      <c r="L436" s="19">
        <v>16</v>
      </c>
      <c r="M436" s="19">
        <f t="shared" si="145"/>
        <v>164</v>
      </c>
      <c r="N436" s="27">
        <f t="shared" si="143"/>
        <v>39511</v>
      </c>
    </row>
    <row r="437" spans="1:14" x14ac:dyDescent="0.25">
      <c r="A437" s="15">
        <f t="shared" si="144"/>
        <v>5</v>
      </c>
      <c r="B437" s="20">
        <f t="shared" si="147"/>
        <v>436</v>
      </c>
      <c r="C437" s="17">
        <f t="shared" si="148"/>
        <v>20</v>
      </c>
      <c r="D437" s="17" t="str">
        <f t="shared" si="149"/>
        <v>20080307</v>
      </c>
      <c r="E437" s="20" t="str">
        <f t="shared" si="142"/>
        <v>20080307020</v>
      </c>
      <c r="F437" s="19">
        <v>28</v>
      </c>
      <c r="G437" s="19">
        <v>40</v>
      </c>
      <c r="H437" s="19">
        <v>41</v>
      </c>
      <c r="I437" s="19">
        <v>25</v>
      </c>
      <c r="J437" s="19">
        <v>12</v>
      </c>
      <c r="K437" s="19">
        <v>42</v>
      </c>
      <c r="L437" s="19">
        <v>29</v>
      </c>
      <c r="M437" s="19">
        <f t="shared" si="145"/>
        <v>217</v>
      </c>
      <c r="N437" s="27">
        <f t="shared" si="146"/>
        <v>39514</v>
      </c>
    </row>
    <row r="438" spans="1:14" x14ac:dyDescent="0.25">
      <c r="A438" s="15">
        <f t="shared" si="144"/>
        <v>2</v>
      </c>
      <c r="B438" s="20">
        <f t="shared" si="147"/>
        <v>437</v>
      </c>
      <c r="C438" s="17">
        <f t="shared" si="148"/>
        <v>21</v>
      </c>
      <c r="D438" s="17" t="str">
        <f t="shared" si="149"/>
        <v>20080311</v>
      </c>
      <c r="E438" s="20" t="str">
        <f t="shared" si="142"/>
        <v>20080311021</v>
      </c>
      <c r="F438" s="19">
        <v>44</v>
      </c>
      <c r="G438" s="19">
        <v>30</v>
      </c>
      <c r="H438" s="19">
        <v>7</v>
      </c>
      <c r="I438" s="19">
        <v>8</v>
      </c>
      <c r="J438" s="19">
        <v>21</v>
      </c>
      <c r="K438" s="19">
        <v>36</v>
      </c>
      <c r="L438" s="19">
        <v>4</v>
      </c>
      <c r="M438" s="19">
        <f t="shared" si="145"/>
        <v>150</v>
      </c>
      <c r="N438" s="27">
        <f t="shared" si="143"/>
        <v>39518</v>
      </c>
    </row>
    <row r="439" spans="1:14" x14ac:dyDescent="0.25">
      <c r="A439" s="15">
        <f t="shared" si="144"/>
        <v>5</v>
      </c>
      <c r="B439" s="20">
        <f t="shared" si="147"/>
        <v>438</v>
      </c>
      <c r="C439" s="17">
        <f t="shared" si="148"/>
        <v>22</v>
      </c>
      <c r="D439" s="17" t="str">
        <f t="shared" si="149"/>
        <v>20080314</v>
      </c>
      <c r="E439" s="20" t="str">
        <f t="shared" si="142"/>
        <v>20080314022</v>
      </c>
      <c r="F439" s="19">
        <v>44</v>
      </c>
      <c r="G439" s="19">
        <v>34</v>
      </c>
      <c r="H439" s="19">
        <v>21</v>
      </c>
      <c r="I439" s="19">
        <v>30</v>
      </c>
      <c r="J439" s="19">
        <v>3</v>
      </c>
      <c r="K439" s="19">
        <v>49</v>
      </c>
      <c r="L439" s="19">
        <v>13</v>
      </c>
      <c r="M439" s="19">
        <f t="shared" si="145"/>
        <v>194</v>
      </c>
      <c r="N439" s="27">
        <f t="shared" si="146"/>
        <v>39521</v>
      </c>
    </row>
    <row r="440" spans="1:14" x14ac:dyDescent="0.25">
      <c r="A440" s="15">
        <f t="shared" si="144"/>
        <v>2</v>
      </c>
      <c r="B440" s="20">
        <f t="shared" si="147"/>
        <v>439</v>
      </c>
      <c r="C440" s="17">
        <f t="shared" si="148"/>
        <v>23</v>
      </c>
      <c r="D440" s="17" t="str">
        <f t="shared" si="149"/>
        <v>20080318</v>
      </c>
      <c r="E440" s="20" t="str">
        <f t="shared" si="142"/>
        <v>20080318023</v>
      </c>
      <c r="F440" s="19">
        <v>38</v>
      </c>
      <c r="G440" s="19">
        <v>9</v>
      </c>
      <c r="H440" s="19">
        <v>27</v>
      </c>
      <c r="I440" s="19">
        <v>1</v>
      </c>
      <c r="J440" s="19">
        <v>33</v>
      </c>
      <c r="K440" s="19">
        <v>49</v>
      </c>
      <c r="L440" s="19">
        <v>31</v>
      </c>
      <c r="M440" s="19">
        <f t="shared" si="145"/>
        <v>188</v>
      </c>
      <c r="N440" s="27">
        <f t="shared" si="143"/>
        <v>39525</v>
      </c>
    </row>
    <row r="441" spans="1:14" x14ac:dyDescent="0.25">
      <c r="A441" s="15">
        <f t="shared" si="144"/>
        <v>5</v>
      </c>
      <c r="B441" s="20">
        <f t="shared" si="147"/>
        <v>440</v>
      </c>
      <c r="C441" s="17">
        <f t="shared" si="148"/>
        <v>24</v>
      </c>
      <c r="D441" s="17" t="str">
        <f t="shared" si="149"/>
        <v>20080321</v>
      </c>
      <c r="E441" s="20" t="str">
        <f t="shared" si="142"/>
        <v>20080321024</v>
      </c>
      <c r="F441" s="19">
        <v>11</v>
      </c>
      <c r="G441" s="19">
        <v>49</v>
      </c>
      <c r="H441" s="19">
        <v>27</v>
      </c>
      <c r="I441" s="19">
        <v>32</v>
      </c>
      <c r="J441" s="19">
        <v>34</v>
      </c>
      <c r="K441" s="19">
        <v>14</v>
      </c>
      <c r="L441" s="19">
        <v>28</v>
      </c>
      <c r="M441" s="19">
        <f t="shared" si="145"/>
        <v>195</v>
      </c>
      <c r="N441" s="27">
        <f t="shared" si="146"/>
        <v>39528</v>
      </c>
    </row>
    <row r="442" spans="1:14" x14ac:dyDescent="0.25">
      <c r="A442" s="15">
        <f t="shared" si="144"/>
        <v>2</v>
      </c>
      <c r="B442" s="20">
        <f t="shared" si="147"/>
        <v>441</v>
      </c>
      <c r="C442" s="17">
        <f t="shared" si="148"/>
        <v>25</v>
      </c>
      <c r="D442" s="17" t="str">
        <f t="shared" si="149"/>
        <v>20080325</v>
      </c>
      <c r="E442" s="20" t="str">
        <f t="shared" si="142"/>
        <v>20080325025</v>
      </c>
      <c r="F442" s="19">
        <v>33</v>
      </c>
      <c r="G442" s="19">
        <v>3</v>
      </c>
      <c r="H442" s="19">
        <v>13</v>
      </c>
      <c r="I442" s="19">
        <v>5</v>
      </c>
      <c r="J442" s="19">
        <v>2</v>
      </c>
      <c r="K442" s="19">
        <v>49</v>
      </c>
      <c r="L442" s="19">
        <v>10</v>
      </c>
      <c r="M442" s="19">
        <f t="shared" si="145"/>
        <v>115</v>
      </c>
      <c r="N442" s="27">
        <f t="shared" si="143"/>
        <v>39532</v>
      </c>
    </row>
    <row r="443" spans="1:14" x14ac:dyDescent="0.25">
      <c r="A443" s="15">
        <f t="shared" si="144"/>
        <v>5</v>
      </c>
      <c r="B443" s="20">
        <f t="shared" si="147"/>
        <v>442</v>
      </c>
      <c r="C443" s="17">
        <f t="shared" si="148"/>
        <v>26</v>
      </c>
      <c r="D443" s="17" t="str">
        <f t="shared" si="149"/>
        <v>20080328</v>
      </c>
      <c r="E443" s="20" t="str">
        <f t="shared" si="142"/>
        <v>20080328026</v>
      </c>
      <c r="F443" s="19">
        <v>19</v>
      </c>
      <c r="G443" s="19">
        <v>26</v>
      </c>
      <c r="H443" s="19">
        <v>8</v>
      </c>
      <c r="I443" s="19">
        <v>9</v>
      </c>
      <c r="J443" s="19">
        <v>1</v>
      </c>
      <c r="K443" s="19">
        <v>12</v>
      </c>
      <c r="L443" s="19">
        <v>49</v>
      </c>
      <c r="M443" s="19">
        <f t="shared" si="145"/>
        <v>124</v>
      </c>
      <c r="N443" s="27">
        <f t="shared" si="146"/>
        <v>39535</v>
      </c>
    </row>
    <row r="444" spans="1:14" x14ac:dyDescent="0.25">
      <c r="A444" s="15">
        <f t="shared" si="144"/>
        <v>2</v>
      </c>
      <c r="B444" s="20">
        <f t="shared" si="147"/>
        <v>443</v>
      </c>
      <c r="C444" s="17">
        <f t="shared" si="148"/>
        <v>27</v>
      </c>
      <c r="D444" s="17" t="str">
        <f t="shared" si="149"/>
        <v>20080401</v>
      </c>
      <c r="E444" s="20" t="str">
        <f t="shared" si="142"/>
        <v>20080401027</v>
      </c>
      <c r="F444" s="19">
        <v>32</v>
      </c>
      <c r="G444" s="19">
        <v>25</v>
      </c>
      <c r="H444" s="19">
        <v>8</v>
      </c>
      <c r="I444" s="19">
        <v>33</v>
      </c>
      <c r="J444" s="19">
        <v>24</v>
      </c>
      <c r="K444" s="19">
        <v>16</v>
      </c>
      <c r="L444" s="19">
        <v>12</v>
      </c>
      <c r="M444" s="19">
        <f t="shared" si="145"/>
        <v>150</v>
      </c>
      <c r="N444" s="27">
        <f t="shared" si="143"/>
        <v>39539</v>
      </c>
    </row>
    <row r="445" spans="1:14" x14ac:dyDescent="0.25">
      <c r="A445" s="15">
        <f t="shared" si="144"/>
        <v>5</v>
      </c>
      <c r="B445" s="20">
        <f t="shared" si="147"/>
        <v>444</v>
      </c>
      <c r="C445" s="17">
        <f t="shared" si="148"/>
        <v>28</v>
      </c>
      <c r="D445" s="17" t="str">
        <f t="shared" si="149"/>
        <v>20080404</v>
      </c>
      <c r="E445" s="20" t="str">
        <f t="shared" si="142"/>
        <v>20080404028</v>
      </c>
      <c r="F445" s="19">
        <v>28</v>
      </c>
      <c r="G445" s="19">
        <v>23</v>
      </c>
      <c r="H445" s="19">
        <v>44</v>
      </c>
      <c r="I445" s="19">
        <v>38</v>
      </c>
      <c r="J445" s="19">
        <v>13</v>
      </c>
      <c r="K445" s="19">
        <v>30</v>
      </c>
      <c r="L445" s="19">
        <v>26</v>
      </c>
      <c r="M445" s="19">
        <f t="shared" si="145"/>
        <v>202</v>
      </c>
      <c r="N445" s="27">
        <f t="shared" si="146"/>
        <v>39542</v>
      </c>
    </row>
    <row r="446" spans="1:14" x14ac:dyDescent="0.25">
      <c r="A446" s="15">
        <f t="shared" si="144"/>
        <v>2</v>
      </c>
      <c r="B446" s="20">
        <f t="shared" si="147"/>
        <v>445</v>
      </c>
      <c r="C446" s="17">
        <f t="shared" si="148"/>
        <v>29</v>
      </c>
      <c r="D446" s="17" t="str">
        <f t="shared" si="149"/>
        <v>20080408</v>
      </c>
      <c r="E446" s="20" t="str">
        <f t="shared" si="142"/>
        <v>20080408029</v>
      </c>
      <c r="F446" s="19">
        <v>29</v>
      </c>
      <c r="G446" s="19">
        <v>32</v>
      </c>
      <c r="H446" s="19">
        <v>23</v>
      </c>
      <c r="I446" s="19">
        <v>39</v>
      </c>
      <c r="J446" s="19">
        <v>37</v>
      </c>
      <c r="K446" s="19">
        <v>11</v>
      </c>
      <c r="L446" s="19">
        <v>31</v>
      </c>
      <c r="M446" s="19">
        <f t="shared" si="145"/>
        <v>202</v>
      </c>
      <c r="N446" s="27">
        <f t="shared" si="143"/>
        <v>39546</v>
      </c>
    </row>
    <row r="447" spans="1:14" x14ac:dyDescent="0.25">
      <c r="A447" s="15">
        <f t="shared" si="144"/>
        <v>5</v>
      </c>
      <c r="B447" s="20">
        <f t="shared" si="147"/>
        <v>446</v>
      </c>
      <c r="C447" s="17">
        <f t="shared" si="148"/>
        <v>30</v>
      </c>
      <c r="D447" s="17" t="str">
        <f t="shared" si="149"/>
        <v>20080411</v>
      </c>
      <c r="E447" s="20" t="str">
        <f t="shared" si="142"/>
        <v>20080411030</v>
      </c>
      <c r="F447" s="19">
        <v>25</v>
      </c>
      <c r="G447" s="19">
        <v>23</v>
      </c>
      <c r="H447" s="19">
        <v>6</v>
      </c>
      <c r="I447" s="19">
        <v>42</v>
      </c>
      <c r="J447" s="19">
        <v>28</v>
      </c>
      <c r="K447" s="19">
        <v>5</v>
      </c>
      <c r="L447" s="19">
        <v>43</v>
      </c>
      <c r="M447" s="19">
        <f t="shared" si="145"/>
        <v>172</v>
      </c>
      <c r="N447" s="27">
        <f t="shared" si="146"/>
        <v>39549</v>
      </c>
    </row>
    <row r="448" spans="1:14" x14ac:dyDescent="0.25">
      <c r="A448" s="15">
        <f t="shared" si="144"/>
        <v>2</v>
      </c>
      <c r="B448" s="20">
        <f t="shared" si="147"/>
        <v>447</v>
      </c>
      <c r="C448" s="17">
        <f t="shared" si="148"/>
        <v>31</v>
      </c>
      <c r="D448" s="17" t="str">
        <f t="shared" si="149"/>
        <v>20080415</v>
      </c>
      <c r="E448" s="20" t="str">
        <f t="shared" si="142"/>
        <v>20080415031</v>
      </c>
      <c r="F448" s="19">
        <v>43</v>
      </c>
      <c r="G448" s="19">
        <v>47</v>
      </c>
      <c r="H448" s="19">
        <v>32</v>
      </c>
      <c r="I448" s="19">
        <v>33</v>
      </c>
      <c r="J448" s="19">
        <v>13</v>
      </c>
      <c r="K448" s="19">
        <v>20</v>
      </c>
      <c r="L448" s="19">
        <v>28</v>
      </c>
      <c r="M448" s="19">
        <f t="shared" si="145"/>
        <v>216</v>
      </c>
      <c r="N448" s="27">
        <f t="shared" si="143"/>
        <v>39553</v>
      </c>
    </row>
    <row r="449" spans="1:14" x14ac:dyDescent="0.25">
      <c r="A449" s="15">
        <f t="shared" si="144"/>
        <v>5</v>
      </c>
      <c r="B449" s="20">
        <f t="shared" si="147"/>
        <v>448</v>
      </c>
      <c r="C449" s="17">
        <f t="shared" si="148"/>
        <v>32</v>
      </c>
      <c r="D449" s="17" t="str">
        <f t="shared" si="149"/>
        <v>20080418</v>
      </c>
      <c r="E449" s="20" t="str">
        <f t="shared" si="142"/>
        <v>20080418032</v>
      </c>
      <c r="F449" s="19">
        <v>35</v>
      </c>
      <c r="G449" s="19">
        <v>43</v>
      </c>
      <c r="H449" s="19">
        <v>13</v>
      </c>
      <c r="I449" s="19">
        <v>38</v>
      </c>
      <c r="J449" s="19">
        <v>4</v>
      </c>
      <c r="K449" s="19">
        <v>25</v>
      </c>
      <c r="L449" s="19">
        <v>30</v>
      </c>
      <c r="M449" s="19">
        <f t="shared" si="145"/>
        <v>188</v>
      </c>
      <c r="N449" s="27">
        <f t="shared" si="146"/>
        <v>39556</v>
      </c>
    </row>
    <row r="450" spans="1:14" x14ac:dyDescent="0.25">
      <c r="A450" s="15">
        <f t="shared" si="144"/>
        <v>2</v>
      </c>
      <c r="B450" s="20">
        <f t="shared" si="147"/>
        <v>449</v>
      </c>
      <c r="C450" s="17">
        <f t="shared" si="148"/>
        <v>33</v>
      </c>
      <c r="D450" s="17" t="str">
        <f t="shared" si="149"/>
        <v>20080422</v>
      </c>
      <c r="E450" s="20" t="str">
        <f t="shared" ref="E450:E513" si="150">CONCATENATE(D450,TEXT(C450,"000"))</f>
        <v>20080422033</v>
      </c>
      <c r="F450" s="19">
        <v>49</v>
      </c>
      <c r="G450" s="19">
        <v>36</v>
      </c>
      <c r="H450" s="19">
        <v>10</v>
      </c>
      <c r="I450" s="19">
        <v>15</v>
      </c>
      <c r="J450" s="19">
        <v>44</v>
      </c>
      <c r="K450" s="19">
        <v>31</v>
      </c>
      <c r="L450" s="19">
        <v>7</v>
      </c>
      <c r="M450" s="19">
        <f t="shared" si="145"/>
        <v>192</v>
      </c>
      <c r="N450" s="27">
        <f t="shared" ref="N450:N512" si="151">N449+4</f>
        <v>39560</v>
      </c>
    </row>
    <row r="451" spans="1:14" x14ac:dyDescent="0.25">
      <c r="A451" s="15">
        <f t="shared" ref="A451:A514" si="152">WEEKDAY(N451,2)</f>
        <v>5</v>
      </c>
      <c r="B451" s="20">
        <f t="shared" si="147"/>
        <v>450</v>
      </c>
      <c r="C451" s="17">
        <f t="shared" si="148"/>
        <v>34</v>
      </c>
      <c r="D451" s="17" t="str">
        <f t="shared" si="149"/>
        <v>20080425</v>
      </c>
      <c r="E451" s="20" t="str">
        <f t="shared" si="150"/>
        <v>20080425034</v>
      </c>
      <c r="F451" s="19">
        <v>45</v>
      </c>
      <c r="G451" s="19">
        <v>15</v>
      </c>
      <c r="H451" s="19">
        <v>48</v>
      </c>
      <c r="I451" s="19">
        <v>20</v>
      </c>
      <c r="J451" s="19">
        <v>47</v>
      </c>
      <c r="K451" s="19">
        <v>4</v>
      </c>
      <c r="L451" s="19">
        <v>34</v>
      </c>
      <c r="M451" s="19">
        <f t="shared" ref="M451:M514" si="153">SUM(F451:L451)</f>
        <v>213</v>
      </c>
      <c r="N451" s="27">
        <f t="shared" ref="N451:N513" si="154">N450+3</f>
        <v>39563</v>
      </c>
    </row>
    <row r="452" spans="1:14" x14ac:dyDescent="0.25">
      <c r="A452" s="15">
        <f t="shared" si="152"/>
        <v>2</v>
      </c>
      <c r="B452" s="20">
        <f t="shared" ref="B452:B515" si="155">B451+1</f>
        <v>451</v>
      </c>
      <c r="C452" s="17">
        <f t="shared" ref="C452:C515" si="156">C451+1</f>
        <v>35</v>
      </c>
      <c r="D452" s="17" t="str">
        <f t="shared" ref="D452:D515" si="157">CONCATENATE(TEXT(YEAR(N452),"0000"),TEXT(MONTH(N452),"00"),TEXT(DAY(N452),"00"))</f>
        <v>20080429</v>
      </c>
      <c r="E452" s="20" t="str">
        <f t="shared" si="150"/>
        <v>20080429035</v>
      </c>
      <c r="F452" s="19">
        <v>42</v>
      </c>
      <c r="G452" s="19">
        <v>11</v>
      </c>
      <c r="H452" s="19">
        <v>2</v>
      </c>
      <c r="I452" s="19">
        <v>35</v>
      </c>
      <c r="J452" s="19">
        <v>3</v>
      </c>
      <c r="K452" s="19">
        <v>32</v>
      </c>
      <c r="L452" s="19">
        <v>18</v>
      </c>
      <c r="M452" s="19">
        <f t="shared" si="153"/>
        <v>143</v>
      </c>
      <c r="N452" s="27">
        <f t="shared" si="151"/>
        <v>39567</v>
      </c>
    </row>
    <row r="453" spans="1:14" x14ac:dyDescent="0.25">
      <c r="A453" s="15">
        <f t="shared" si="152"/>
        <v>5</v>
      </c>
      <c r="B453" s="20">
        <f t="shared" si="155"/>
        <v>452</v>
      </c>
      <c r="C453" s="17">
        <f t="shared" si="156"/>
        <v>36</v>
      </c>
      <c r="D453" s="17" t="str">
        <f t="shared" si="157"/>
        <v>20080502</v>
      </c>
      <c r="E453" s="20" t="str">
        <f t="shared" si="150"/>
        <v>20080502036</v>
      </c>
      <c r="F453" s="19">
        <v>14</v>
      </c>
      <c r="G453" s="19">
        <v>45</v>
      </c>
      <c r="H453" s="19">
        <v>13</v>
      </c>
      <c r="I453" s="19">
        <v>33</v>
      </c>
      <c r="J453" s="19">
        <v>11</v>
      </c>
      <c r="K453" s="19">
        <v>39</v>
      </c>
      <c r="L453" s="19">
        <v>41</v>
      </c>
      <c r="M453" s="19">
        <f t="shared" si="153"/>
        <v>196</v>
      </c>
      <c r="N453" s="27">
        <f t="shared" si="154"/>
        <v>39570</v>
      </c>
    </row>
    <row r="454" spans="1:14" x14ac:dyDescent="0.25">
      <c r="A454" s="15">
        <f t="shared" si="152"/>
        <v>2</v>
      </c>
      <c r="B454" s="20">
        <f t="shared" si="155"/>
        <v>453</v>
      </c>
      <c r="C454" s="17">
        <f t="shared" si="156"/>
        <v>37</v>
      </c>
      <c r="D454" s="17" t="str">
        <f t="shared" si="157"/>
        <v>20080506</v>
      </c>
      <c r="E454" s="20" t="str">
        <f t="shared" si="150"/>
        <v>20080506037</v>
      </c>
      <c r="F454" s="19">
        <v>9</v>
      </c>
      <c r="G454" s="19">
        <v>23</v>
      </c>
      <c r="H454" s="19">
        <v>46</v>
      </c>
      <c r="I454" s="19">
        <v>10</v>
      </c>
      <c r="J454" s="19">
        <v>15</v>
      </c>
      <c r="K454" s="19">
        <v>48</v>
      </c>
      <c r="L454" s="19">
        <v>38</v>
      </c>
      <c r="M454" s="19">
        <f t="shared" si="153"/>
        <v>189</v>
      </c>
      <c r="N454" s="27">
        <f t="shared" si="151"/>
        <v>39574</v>
      </c>
    </row>
    <row r="455" spans="1:14" x14ac:dyDescent="0.25">
      <c r="A455" s="15">
        <f t="shared" si="152"/>
        <v>5</v>
      </c>
      <c r="B455" s="20">
        <f t="shared" si="155"/>
        <v>454</v>
      </c>
      <c r="C455" s="17">
        <f t="shared" si="156"/>
        <v>38</v>
      </c>
      <c r="D455" s="17" t="str">
        <f t="shared" si="157"/>
        <v>20080509</v>
      </c>
      <c r="E455" s="20" t="str">
        <f t="shared" si="150"/>
        <v>20080509038</v>
      </c>
      <c r="F455" s="19">
        <v>15</v>
      </c>
      <c r="G455" s="19">
        <v>43</v>
      </c>
      <c r="H455" s="19">
        <v>36</v>
      </c>
      <c r="I455" s="19">
        <v>23</v>
      </c>
      <c r="J455" s="19">
        <v>48</v>
      </c>
      <c r="K455" s="19">
        <v>17</v>
      </c>
      <c r="L455" s="19">
        <v>21</v>
      </c>
      <c r="M455" s="19">
        <f t="shared" si="153"/>
        <v>203</v>
      </c>
      <c r="N455" s="27">
        <f t="shared" si="154"/>
        <v>39577</v>
      </c>
    </row>
    <row r="456" spans="1:14" x14ac:dyDescent="0.25">
      <c r="A456" s="15">
        <f t="shared" si="152"/>
        <v>2</v>
      </c>
      <c r="B456" s="20">
        <f t="shared" si="155"/>
        <v>455</v>
      </c>
      <c r="C456" s="17">
        <f t="shared" si="156"/>
        <v>39</v>
      </c>
      <c r="D456" s="17" t="str">
        <f t="shared" si="157"/>
        <v>20080513</v>
      </c>
      <c r="E456" s="20" t="str">
        <f t="shared" si="150"/>
        <v>20080513039</v>
      </c>
      <c r="F456" s="19">
        <v>41</v>
      </c>
      <c r="G456" s="19">
        <v>31</v>
      </c>
      <c r="H456" s="19">
        <v>37</v>
      </c>
      <c r="I456" s="19">
        <v>38</v>
      </c>
      <c r="J456" s="19">
        <v>11</v>
      </c>
      <c r="K456" s="19">
        <v>47</v>
      </c>
      <c r="L456" s="19">
        <v>18</v>
      </c>
      <c r="M456" s="19">
        <f t="shared" si="153"/>
        <v>223</v>
      </c>
      <c r="N456" s="27">
        <f t="shared" si="151"/>
        <v>39581</v>
      </c>
    </row>
    <row r="457" spans="1:14" x14ac:dyDescent="0.25">
      <c r="A457" s="15">
        <f t="shared" si="152"/>
        <v>5</v>
      </c>
      <c r="B457" s="20">
        <f t="shared" si="155"/>
        <v>456</v>
      </c>
      <c r="C457" s="17">
        <f t="shared" si="156"/>
        <v>40</v>
      </c>
      <c r="D457" s="17" t="str">
        <f t="shared" si="157"/>
        <v>20080516</v>
      </c>
      <c r="E457" s="20" t="str">
        <f t="shared" si="150"/>
        <v>20080516040</v>
      </c>
      <c r="F457" s="19">
        <v>22</v>
      </c>
      <c r="G457" s="19">
        <v>7</v>
      </c>
      <c r="H457" s="19">
        <v>26</v>
      </c>
      <c r="I457" s="19">
        <v>3</v>
      </c>
      <c r="J457" s="19">
        <v>21</v>
      </c>
      <c r="K457" s="19">
        <v>40</v>
      </c>
      <c r="L457" s="19">
        <v>41</v>
      </c>
      <c r="M457" s="19">
        <f t="shared" si="153"/>
        <v>160</v>
      </c>
      <c r="N457" s="27">
        <f t="shared" si="154"/>
        <v>39584</v>
      </c>
    </row>
    <row r="458" spans="1:14" x14ac:dyDescent="0.25">
      <c r="A458" s="15">
        <f t="shared" si="152"/>
        <v>2</v>
      </c>
      <c r="B458" s="20">
        <f t="shared" si="155"/>
        <v>457</v>
      </c>
      <c r="C458" s="17">
        <f t="shared" si="156"/>
        <v>41</v>
      </c>
      <c r="D458" s="17" t="str">
        <f t="shared" si="157"/>
        <v>20080520</v>
      </c>
      <c r="E458" s="20" t="str">
        <f t="shared" si="150"/>
        <v>20080520041</v>
      </c>
      <c r="F458" s="19">
        <v>45</v>
      </c>
      <c r="G458" s="19">
        <v>17</v>
      </c>
      <c r="H458" s="19">
        <v>8</v>
      </c>
      <c r="I458" s="19">
        <v>47</v>
      </c>
      <c r="J458" s="19">
        <v>14</v>
      </c>
      <c r="K458" s="19">
        <v>42</v>
      </c>
      <c r="L458" s="19">
        <v>39</v>
      </c>
      <c r="M458" s="19">
        <f t="shared" si="153"/>
        <v>212</v>
      </c>
      <c r="N458" s="27">
        <f t="shared" si="151"/>
        <v>39588</v>
      </c>
    </row>
    <row r="459" spans="1:14" x14ac:dyDescent="0.25">
      <c r="A459" s="15">
        <f t="shared" si="152"/>
        <v>5</v>
      </c>
      <c r="B459" s="20">
        <f t="shared" si="155"/>
        <v>458</v>
      </c>
      <c r="C459" s="17">
        <f t="shared" si="156"/>
        <v>42</v>
      </c>
      <c r="D459" s="17" t="str">
        <f t="shared" si="157"/>
        <v>20080523</v>
      </c>
      <c r="E459" s="20" t="str">
        <f t="shared" si="150"/>
        <v>20080523042</v>
      </c>
      <c r="F459" s="19">
        <v>11</v>
      </c>
      <c r="G459" s="19">
        <v>37</v>
      </c>
      <c r="H459" s="19">
        <v>44</v>
      </c>
      <c r="I459" s="19">
        <v>29</v>
      </c>
      <c r="J459" s="19">
        <v>2</v>
      </c>
      <c r="K459" s="19">
        <v>10</v>
      </c>
      <c r="L459" s="19">
        <v>13</v>
      </c>
      <c r="M459" s="19">
        <f t="shared" si="153"/>
        <v>146</v>
      </c>
      <c r="N459" s="27">
        <f t="shared" si="154"/>
        <v>39591</v>
      </c>
    </row>
    <row r="460" spans="1:14" x14ac:dyDescent="0.25">
      <c r="A460" s="15">
        <f t="shared" si="152"/>
        <v>2</v>
      </c>
      <c r="B460" s="20">
        <f t="shared" si="155"/>
        <v>459</v>
      </c>
      <c r="C460" s="17">
        <f t="shared" si="156"/>
        <v>43</v>
      </c>
      <c r="D460" s="17" t="str">
        <f t="shared" si="157"/>
        <v>20080527</v>
      </c>
      <c r="E460" s="20" t="str">
        <f t="shared" si="150"/>
        <v>20080527043</v>
      </c>
      <c r="F460" s="19">
        <v>4</v>
      </c>
      <c r="G460" s="19">
        <v>15</v>
      </c>
      <c r="H460" s="19">
        <v>49</v>
      </c>
      <c r="I460" s="19">
        <v>24</v>
      </c>
      <c r="J460" s="19">
        <v>41</v>
      </c>
      <c r="K460" s="19">
        <v>7</v>
      </c>
      <c r="L460" s="19">
        <v>30</v>
      </c>
      <c r="M460" s="19">
        <f t="shared" si="153"/>
        <v>170</v>
      </c>
      <c r="N460" s="27">
        <f t="shared" si="151"/>
        <v>39595</v>
      </c>
    </row>
    <row r="461" spans="1:14" x14ac:dyDescent="0.25">
      <c r="A461" s="15">
        <f t="shared" si="152"/>
        <v>5</v>
      </c>
      <c r="B461" s="20">
        <f t="shared" si="155"/>
        <v>460</v>
      </c>
      <c r="C461" s="17">
        <f t="shared" si="156"/>
        <v>44</v>
      </c>
      <c r="D461" s="17" t="str">
        <f t="shared" si="157"/>
        <v>20080530</v>
      </c>
      <c r="E461" s="20" t="str">
        <f t="shared" si="150"/>
        <v>20080530044</v>
      </c>
      <c r="F461" s="19">
        <v>42</v>
      </c>
      <c r="G461" s="19">
        <v>12</v>
      </c>
      <c r="H461" s="19">
        <v>8</v>
      </c>
      <c r="I461" s="19">
        <v>20</v>
      </c>
      <c r="J461" s="19">
        <v>32</v>
      </c>
      <c r="K461" s="19">
        <v>11</v>
      </c>
      <c r="L461" s="19">
        <v>30</v>
      </c>
      <c r="M461" s="19">
        <f t="shared" si="153"/>
        <v>155</v>
      </c>
      <c r="N461" s="27">
        <f t="shared" si="154"/>
        <v>39598</v>
      </c>
    </row>
    <row r="462" spans="1:14" x14ac:dyDescent="0.25">
      <c r="A462" s="15">
        <f t="shared" si="152"/>
        <v>2</v>
      </c>
      <c r="B462" s="20">
        <f t="shared" si="155"/>
        <v>461</v>
      </c>
      <c r="C462" s="17">
        <f t="shared" si="156"/>
        <v>45</v>
      </c>
      <c r="D462" s="17" t="str">
        <f t="shared" si="157"/>
        <v>20080603</v>
      </c>
      <c r="E462" s="20" t="str">
        <f t="shared" si="150"/>
        <v>20080603045</v>
      </c>
      <c r="F462" s="19">
        <v>31</v>
      </c>
      <c r="G462" s="19">
        <v>1</v>
      </c>
      <c r="H462" s="19">
        <v>27</v>
      </c>
      <c r="I462" s="19">
        <v>20</v>
      </c>
      <c r="J462" s="19">
        <v>29</v>
      </c>
      <c r="K462" s="19">
        <v>24</v>
      </c>
      <c r="L462" s="19">
        <v>4</v>
      </c>
      <c r="M462" s="19">
        <f t="shared" si="153"/>
        <v>136</v>
      </c>
      <c r="N462" s="27">
        <f t="shared" si="151"/>
        <v>39602</v>
      </c>
    </row>
    <row r="463" spans="1:14" x14ac:dyDescent="0.25">
      <c r="A463" s="15">
        <f t="shared" si="152"/>
        <v>5</v>
      </c>
      <c r="B463" s="20">
        <f t="shared" si="155"/>
        <v>462</v>
      </c>
      <c r="C463" s="17">
        <f t="shared" si="156"/>
        <v>46</v>
      </c>
      <c r="D463" s="17" t="str">
        <f t="shared" si="157"/>
        <v>20080606</v>
      </c>
      <c r="E463" s="20" t="str">
        <f t="shared" si="150"/>
        <v>20080606046</v>
      </c>
      <c r="F463" s="19">
        <v>22</v>
      </c>
      <c r="G463" s="19">
        <v>31</v>
      </c>
      <c r="H463" s="19">
        <v>20</v>
      </c>
      <c r="I463" s="19">
        <v>42</v>
      </c>
      <c r="J463" s="19">
        <v>1</v>
      </c>
      <c r="K463" s="19">
        <v>40</v>
      </c>
      <c r="L463" s="19">
        <v>38</v>
      </c>
      <c r="M463" s="19">
        <f t="shared" si="153"/>
        <v>194</v>
      </c>
      <c r="N463" s="27">
        <f t="shared" si="154"/>
        <v>39605</v>
      </c>
    </row>
    <row r="464" spans="1:14" x14ac:dyDescent="0.25">
      <c r="A464" s="15">
        <f t="shared" si="152"/>
        <v>2</v>
      </c>
      <c r="B464" s="20">
        <f t="shared" si="155"/>
        <v>463</v>
      </c>
      <c r="C464" s="17">
        <f t="shared" si="156"/>
        <v>47</v>
      </c>
      <c r="D464" s="17" t="str">
        <f t="shared" si="157"/>
        <v>20080610</v>
      </c>
      <c r="E464" s="20" t="str">
        <f t="shared" si="150"/>
        <v>20080610047</v>
      </c>
      <c r="F464" s="19">
        <v>22</v>
      </c>
      <c r="G464" s="19">
        <v>19</v>
      </c>
      <c r="H464" s="19">
        <v>39</v>
      </c>
      <c r="I464" s="19">
        <v>14</v>
      </c>
      <c r="J464" s="19">
        <v>20</v>
      </c>
      <c r="K464" s="19">
        <v>34</v>
      </c>
      <c r="L464" s="19">
        <v>37</v>
      </c>
      <c r="M464" s="19">
        <f t="shared" si="153"/>
        <v>185</v>
      </c>
      <c r="N464" s="27">
        <f t="shared" si="151"/>
        <v>39609</v>
      </c>
    </row>
    <row r="465" spans="1:14" x14ac:dyDescent="0.25">
      <c r="A465" s="15">
        <f t="shared" si="152"/>
        <v>5</v>
      </c>
      <c r="B465" s="20">
        <f t="shared" si="155"/>
        <v>464</v>
      </c>
      <c r="C465" s="17">
        <f t="shared" si="156"/>
        <v>48</v>
      </c>
      <c r="D465" s="17" t="str">
        <f t="shared" si="157"/>
        <v>20080613</v>
      </c>
      <c r="E465" s="20" t="str">
        <f t="shared" si="150"/>
        <v>20080613048</v>
      </c>
      <c r="F465" s="19">
        <v>8</v>
      </c>
      <c r="G465" s="19">
        <v>39</v>
      </c>
      <c r="H465" s="19">
        <v>31</v>
      </c>
      <c r="I465" s="19">
        <v>20</v>
      </c>
      <c r="J465" s="19">
        <v>7</v>
      </c>
      <c r="K465" s="19">
        <v>21</v>
      </c>
      <c r="L465" s="19">
        <v>6</v>
      </c>
      <c r="M465" s="19">
        <f t="shared" si="153"/>
        <v>132</v>
      </c>
      <c r="N465" s="27">
        <f t="shared" si="154"/>
        <v>39612</v>
      </c>
    </row>
    <row r="466" spans="1:14" x14ac:dyDescent="0.25">
      <c r="A466" s="15">
        <f t="shared" si="152"/>
        <v>2</v>
      </c>
      <c r="B466" s="20">
        <f t="shared" si="155"/>
        <v>465</v>
      </c>
      <c r="C466" s="17">
        <f t="shared" si="156"/>
        <v>49</v>
      </c>
      <c r="D466" s="17" t="str">
        <f t="shared" si="157"/>
        <v>20080617</v>
      </c>
      <c r="E466" s="20" t="str">
        <f t="shared" si="150"/>
        <v>20080617049</v>
      </c>
      <c r="F466" s="19">
        <v>41</v>
      </c>
      <c r="G466" s="19">
        <v>32</v>
      </c>
      <c r="H466" s="19">
        <v>15</v>
      </c>
      <c r="I466" s="19">
        <v>40</v>
      </c>
      <c r="J466" s="19">
        <v>7</v>
      </c>
      <c r="K466" s="19">
        <v>1</v>
      </c>
      <c r="L466" s="19">
        <v>9</v>
      </c>
      <c r="M466" s="19">
        <f t="shared" si="153"/>
        <v>145</v>
      </c>
      <c r="N466" s="27">
        <f t="shared" si="151"/>
        <v>39616</v>
      </c>
    </row>
    <row r="467" spans="1:14" x14ac:dyDescent="0.25">
      <c r="A467" s="15">
        <f t="shared" si="152"/>
        <v>5</v>
      </c>
      <c r="B467" s="20">
        <f t="shared" si="155"/>
        <v>466</v>
      </c>
      <c r="C467" s="17">
        <f t="shared" si="156"/>
        <v>50</v>
      </c>
      <c r="D467" s="17" t="str">
        <f t="shared" si="157"/>
        <v>20080620</v>
      </c>
      <c r="E467" s="20" t="str">
        <f t="shared" si="150"/>
        <v>20080620050</v>
      </c>
      <c r="F467" s="19">
        <v>24</v>
      </c>
      <c r="G467" s="19">
        <v>28</v>
      </c>
      <c r="H467" s="19">
        <v>3</v>
      </c>
      <c r="I467" s="19">
        <v>39</v>
      </c>
      <c r="J467" s="19">
        <v>20</v>
      </c>
      <c r="K467" s="19">
        <v>21</v>
      </c>
      <c r="L467" s="19">
        <v>23</v>
      </c>
      <c r="M467" s="19">
        <f t="shared" si="153"/>
        <v>158</v>
      </c>
      <c r="N467" s="27">
        <f t="shared" si="154"/>
        <v>39619</v>
      </c>
    </row>
    <row r="468" spans="1:14" x14ac:dyDescent="0.25">
      <c r="A468" s="15">
        <f t="shared" si="152"/>
        <v>2</v>
      </c>
      <c r="B468" s="20">
        <f t="shared" si="155"/>
        <v>467</v>
      </c>
      <c r="C468" s="17">
        <f t="shared" si="156"/>
        <v>51</v>
      </c>
      <c r="D468" s="17" t="str">
        <f t="shared" si="157"/>
        <v>20080624</v>
      </c>
      <c r="E468" s="20" t="str">
        <f t="shared" si="150"/>
        <v>20080624051</v>
      </c>
      <c r="F468" s="19">
        <v>8</v>
      </c>
      <c r="G468" s="19">
        <v>20</v>
      </c>
      <c r="H468" s="19">
        <v>2</v>
      </c>
      <c r="I468" s="19">
        <v>43</v>
      </c>
      <c r="J468" s="19">
        <v>33</v>
      </c>
      <c r="K468" s="19">
        <v>7</v>
      </c>
      <c r="L468" s="19">
        <v>4</v>
      </c>
      <c r="M468" s="19">
        <f t="shared" si="153"/>
        <v>117</v>
      </c>
      <c r="N468" s="27">
        <f t="shared" si="151"/>
        <v>39623</v>
      </c>
    </row>
    <row r="469" spans="1:14" x14ac:dyDescent="0.25">
      <c r="A469" s="15">
        <f t="shared" si="152"/>
        <v>5</v>
      </c>
      <c r="B469" s="20">
        <f t="shared" si="155"/>
        <v>468</v>
      </c>
      <c r="C469" s="17">
        <f t="shared" si="156"/>
        <v>52</v>
      </c>
      <c r="D469" s="17" t="str">
        <f t="shared" si="157"/>
        <v>20080627</v>
      </c>
      <c r="E469" s="20" t="str">
        <f t="shared" si="150"/>
        <v>20080627052</v>
      </c>
      <c r="F469" s="19">
        <v>41</v>
      </c>
      <c r="G469" s="19">
        <v>38</v>
      </c>
      <c r="H469" s="19">
        <v>2</v>
      </c>
      <c r="I469" s="19">
        <v>9</v>
      </c>
      <c r="J469" s="19">
        <v>10</v>
      </c>
      <c r="K469" s="19">
        <v>1</v>
      </c>
      <c r="L469" s="19">
        <v>31</v>
      </c>
      <c r="M469" s="19">
        <f t="shared" si="153"/>
        <v>132</v>
      </c>
      <c r="N469" s="27">
        <f t="shared" si="154"/>
        <v>39626</v>
      </c>
    </row>
    <row r="470" spans="1:14" x14ac:dyDescent="0.25">
      <c r="A470" s="15">
        <f t="shared" si="152"/>
        <v>2</v>
      </c>
      <c r="B470" s="20">
        <f t="shared" si="155"/>
        <v>469</v>
      </c>
      <c r="C470" s="17">
        <f t="shared" si="156"/>
        <v>53</v>
      </c>
      <c r="D470" s="17" t="str">
        <f t="shared" si="157"/>
        <v>20080701</v>
      </c>
      <c r="E470" s="20" t="str">
        <f t="shared" si="150"/>
        <v>20080701053</v>
      </c>
      <c r="F470" s="19">
        <v>38</v>
      </c>
      <c r="G470" s="19">
        <v>15</v>
      </c>
      <c r="H470" s="19">
        <v>43</v>
      </c>
      <c r="I470" s="19">
        <v>35</v>
      </c>
      <c r="J470" s="19">
        <v>24</v>
      </c>
      <c r="K470" s="19">
        <v>20</v>
      </c>
      <c r="L470" s="19">
        <v>9</v>
      </c>
      <c r="M470" s="19">
        <f t="shared" si="153"/>
        <v>184</v>
      </c>
      <c r="N470" s="27">
        <f t="shared" si="151"/>
        <v>39630</v>
      </c>
    </row>
    <row r="471" spans="1:14" x14ac:dyDescent="0.25">
      <c r="A471" s="15">
        <f t="shared" si="152"/>
        <v>5</v>
      </c>
      <c r="B471" s="20">
        <f t="shared" si="155"/>
        <v>470</v>
      </c>
      <c r="C471" s="17">
        <f t="shared" si="156"/>
        <v>54</v>
      </c>
      <c r="D471" s="17" t="str">
        <f t="shared" si="157"/>
        <v>20080704</v>
      </c>
      <c r="E471" s="20" t="str">
        <f t="shared" si="150"/>
        <v>20080704054</v>
      </c>
      <c r="F471" s="19">
        <v>21</v>
      </c>
      <c r="G471" s="19">
        <v>10</v>
      </c>
      <c r="H471" s="19">
        <v>43</v>
      </c>
      <c r="I471" s="19">
        <v>49</v>
      </c>
      <c r="J471" s="19">
        <v>6</v>
      </c>
      <c r="K471" s="19">
        <v>17</v>
      </c>
      <c r="L471" s="19">
        <v>33</v>
      </c>
      <c r="M471" s="19">
        <f t="shared" si="153"/>
        <v>179</v>
      </c>
      <c r="N471" s="27">
        <f t="shared" si="154"/>
        <v>39633</v>
      </c>
    </row>
    <row r="472" spans="1:14" x14ac:dyDescent="0.25">
      <c r="A472" s="15">
        <f t="shared" si="152"/>
        <v>2</v>
      </c>
      <c r="B472" s="20">
        <f t="shared" si="155"/>
        <v>471</v>
      </c>
      <c r="C472" s="17">
        <f t="shared" si="156"/>
        <v>55</v>
      </c>
      <c r="D472" s="17" t="str">
        <f t="shared" si="157"/>
        <v>20080708</v>
      </c>
      <c r="E472" s="20" t="str">
        <f t="shared" si="150"/>
        <v>20080708055</v>
      </c>
      <c r="F472" s="19">
        <v>32</v>
      </c>
      <c r="G472" s="19">
        <v>33</v>
      </c>
      <c r="H472" s="19">
        <v>14</v>
      </c>
      <c r="I472" s="19">
        <v>36</v>
      </c>
      <c r="J472" s="19">
        <v>23</v>
      </c>
      <c r="K472" s="19">
        <v>42</v>
      </c>
      <c r="L472" s="19">
        <v>3</v>
      </c>
      <c r="M472" s="19">
        <f t="shared" si="153"/>
        <v>183</v>
      </c>
      <c r="N472" s="27">
        <f t="shared" si="151"/>
        <v>39637</v>
      </c>
    </row>
    <row r="473" spans="1:14" x14ac:dyDescent="0.25">
      <c r="A473" s="15">
        <f t="shared" si="152"/>
        <v>5</v>
      </c>
      <c r="B473" s="20">
        <f t="shared" si="155"/>
        <v>472</v>
      </c>
      <c r="C473" s="17">
        <f t="shared" si="156"/>
        <v>56</v>
      </c>
      <c r="D473" s="17" t="str">
        <f t="shared" si="157"/>
        <v>20080711</v>
      </c>
      <c r="E473" s="20" t="str">
        <f t="shared" si="150"/>
        <v>20080711056</v>
      </c>
      <c r="F473" s="19">
        <v>34</v>
      </c>
      <c r="G473" s="19">
        <v>7</v>
      </c>
      <c r="H473" s="19">
        <v>21</v>
      </c>
      <c r="I473" s="19">
        <v>23</v>
      </c>
      <c r="J473" s="19">
        <v>22</v>
      </c>
      <c r="K473" s="19">
        <v>36</v>
      </c>
      <c r="L473" s="19">
        <v>11</v>
      </c>
      <c r="M473" s="19">
        <f t="shared" si="153"/>
        <v>154</v>
      </c>
      <c r="N473" s="27">
        <f t="shared" si="154"/>
        <v>39640</v>
      </c>
    </row>
    <row r="474" spans="1:14" x14ac:dyDescent="0.25">
      <c r="A474" s="15">
        <f t="shared" si="152"/>
        <v>2</v>
      </c>
      <c r="B474" s="20">
        <f t="shared" si="155"/>
        <v>473</v>
      </c>
      <c r="C474" s="17">
        <f t="shared" si="156"/>
        <v>57</v>
      </c>
      <c r="D474" s="17" t="str">
        <f t="shared" si="157"/>
        <v>20080715</v>
      </c>
      <c r="E474" s="20" t="str">
        <f t="shared" si="150"/>
        <v>20080715057</v>
      </c>
      <c r="F474" s="19">
        <v>6</v>
      </c>
      <c r="G474" s="19">
        <v>16</v>
      </c>
      <c r="H474" s="19">
        <v>21</v>
      </c>
      <c r="I474" s="19">
        <v>45</v>
      </c>
      <c r="J474" s="19">
        <v>37</v>
      </c>
      <c r="K474" s="19">
        <v>36</v>
      </c>
      <c r="L474" s="19">
        <v>40</v>
      </c>
      <c r="M474" s="19">
        <f t="shared" si="153"/>
        <v>201</v>
      </c>
      <c r="N474" s="27">
        <f t="shared" si="151"/>
        <v>39644</v>
      </c>
    </row>
    <row r="475" spans="1:14" x14ac:dyDescent="0.25">
      <c r="A475" s="15">
        <f t="shared" si="152"/>
        <v>5</v>
      </c>
      <c r="B475" s="20">
        <f t="shared" si="155"/>
        <v>474</v>
      </c>
      <c r="C475" s="17">
        <f t="shared" si="156"/>
        <v>58</v>
      </c>
      <c r="D475" s="17" t="str">
        <f t="shared" si="157"/>
        <v>20080718</v>
      </c>
      <c r="E475" s="20" t="str">
        <f t="shared" si="150"/>
        <v>20080718058</v>
      </c>
      <c r="F475" s="19">
        <v>38</v>
      </c>
      <c r="G475" s="19">
        <v>9</v>
      </c>
      <c r="H475" s="19">
        <v>4</v>
      </c>
      <c r="I475" s="19">
        <v>15</v>
      </c>
      <c r="J475" s="19">
        <v>6</v>
      </c>
      <c r="K475" s="19">
        <v>20</v>
      </c>
      <c r="L475" s="19">
        <v>27</v>
      </c>
      <c r="M475" s="19">
        <f t="shared" si="153"/>
        <v>119</v>
      </c>
      <c r="N475" s="27">
        <f t="shared" si="154"/>
        <v>39647</v>
      </c>
    </row>
    <row r="476" spans="1:14" x14ac:dyDescent="0.25">
      <c r="A476" s="15">
        <f t="shared" si="152"/>
        <v>2</v>
      </c>
      <c r="B476" s="20">
        <f t="shared" si="155"/>
        <v>475</v>
      </c>
      <c r="C476" s="17">
        <f t="shared" si="156"/>
        <v>59</v>
      </c>
      <c r="D476" s="17" t="str">
        <f t="shared" si="157"/>
        <v>20080722</v>
      </c>
      <c r="E476" s="20" t="str">
        <f t="shared" si="150"/>
        <v>20080722059</v>
      </c>
      <c r="F476" s="19">
        <v>1</v>
      </c>
      <c r="G476" s="19">
        <v>29</v>
      </c>
      <c r="H476" s="19">
        <v>30</v>
      </c>
      <c r="I476" s="19">
        <v>33</v>
      </c>
      <c r="J476" s="19">
        <v>25</v>
      </c>
      <c r="K476" s="19">
        <v>17</v>
      </c>
      <c r="L476" s="19">
        <v>47</v>
      </c>
      <c r="M476" s="19">
        <f t="shared" si="153"/>
        <v>182</v>
      </c>
      <c r="N476" s="27">
        <f t="shared" si="151"/>
        <v>39651</v>
      </c>
    </row>
    <row r="477" spans="1:14" x14ac:dyDescent="0.25">
      <c r="A477" s="15">
        <f t="shared" si="152"/>
        <v>5</v>
      </c>
      <c r="B477" s="20">
        <f t="shared" si="155"/>
        <v>476</v>
      </c>
      <c r="C477" s="17">
        <f t="shared" si="156"/>
        <v>60</v>
      </c>
      <c r="D477" s="17" t="str">
        <f t="shared" si="157"/>
        <v>20080725</v>
      </c>
      <c r="E477" s="20" t="str">
        <f t="shared" si="150"/>
        <v>20080725060</v>
      </c>
      <c r="F477" s="19">
        <v>19</v>
      </c>
      <c r="G477" s="19">
        <v>25</v>
      </c>
      <c r="H477" s="19">
        <v>29</v>
      </c>
      <c r="I477" s="19">
        <v>7</v>
      </c>
      <c r="J477" s="19">
        <v>43</v>
      </c>
      <c r="K477" s="19">
        <v>35</v>
      </c>
      <c r="L477" s="19">
        <v>1</v>
      </c>
      <c r="M477" s="19">
        <f t="shared" si="153"/>
        <v>159</v>
      </c>
      <c r="N477" s="27">
        <f t="shared" si="154"/>
        <v>39654</v>
      </c>
    </row>
    <row r="478" spans="1:14" x14ac:dyDescent="0.25">
      <c r="A478" s="15">
        <f t="shared" si="152"/>
        <v>2</v>
      </c>
      <c r="B478" s="20">
        <f t="shared" si="155"/>
        <v>477</v>
      </c>
      <c r="C478" s="17">
        <f t="shared" si="156"/>
        <v>61</v>
      </c>
      <c r="D478" s="17" t="str">
        <f t="shared" si="157"/>
        <v>20080729</v>
      </c>
      <c r="E478" s="20" t="str">
        <f t="shared" si="150"/>
        <v>20080729061</v>
      </c>
      <c r="F478" s="19">
        <v>41</v>
      </c>
      <c r="G478" s="19">
        <v>39</v>
      </c>
      <c r="H478" s="19">
        <v>43</v>
      </c>
      <c r="I478" s="19">
        <v>45</v>
      </c>
      <c r="J478" s="19">
        <v>16</v>
      </c>
      <c r="K478" s="19">
        <v>42</v>
      </c>
      <c r="L478" s="19">
        <v>14</v>
      </c>
      <c r="M478" s="19">
        <f t="shared" si="153"/>
        <v>240</v>
      </c>
      <c r="N478" s="27">
        <f t="shared" si="151"/>
        <v>39658</v>
      </c>
    </row>
    <row r="479" spans="1:14" x14ac:dyDescent="0.25">
      <c r="A479" s="15">
        <f t="shared" si="152"/>
        <v>5</v>
      </c>
      <c r="B479" s="20">
        <f t="shared" si="155"/>
        <v>478</v>
      </c>
      <c r="C479" s="17">
        <f t="shared" si="156"/>
        <v>62</v>
      </c>
      <c r="D479" s="17" t="str">
        <f t="shared" si="157"/>
        <v>20080801</v>
      </c>
      <c r="E479" s="20" t="str">
        <f t="shared" si="150"/>
        <v>20080801062</v>
      </c>
      <c r="F479" s="19">
        <v>37</v>
      </c>
      <c r="G479" s="19">
        <v>38</v>
      </c>
      <c r="H479" s="19">
        <v>7</v>
      </c>
      <c r="I479" s="19">
        <v>22</v>
      </c>
      <c r="J479" s="19">
        <v>18</v>
      </c>
      <c r="K479" s="19">
        <v>11</v>
      </c>
      <c r="L479" s="19">
        <v>30</v>
      </c>
      <c r="M479" s="19">
        <f t="shared" si="153"/>
        <v>163</v>
      </c>
      <c r="N479" s="27">
        <f t="shared" si="154"/>
        <v>39661</v>
      </c>
    </row>
    <row r="480" spans="1:14" x14ac:dyDescent="0.25">
      <c r="A480" s="15">
        <f t="shared" si="152"/>
        <v>2</v>
      </c>
      <c r="B480" s="20">
        <f t="shared" si="155"/>
        <v>479</v>
      </c>
      <c r="C480" s="17">
        <f t="shared" si="156"/>
        <v>63</v>
      </c>
      <c r="D480" s="17" t="str">
        <f t="shared" si="157"/>
        <v>20080805</v>
      </c>
      <c r="E480" s="20" t="str">
        <f t="shared" si="150"/>
        <v>20080805063</v>
      </c>
      <c r="F480" s="19">
        <v>29</v>
      </c>
      <c r="G480" s="19">
        <v>10</v>
      </c>
      <c r="H480" s="19">
        <v>41</v>
      </c>
      <c r="I480" s="19">
        <v>44</v>
      </c>
      <c r="J480" s="19">
        <v>5</v>
      </c>
      <c r="K480" s="19">
        <v>45</v>
      </c>
      <c r="L480" s="19">
        <v>6</v>
      </c>
      <c r="M480" s="19">
        <f t="shared" si="153"/>
        <v>180</v>
      </c>
      <c r="N480" s="27">
        <f t="shared" si="151"/>
        <v>39665</v>
      </c>
    </row>
    <row r="481" spans="1:14" x14ac:dyDescent="0.25">
      <c r="A481" s="15">
        <f t="shared" si="152"/>
        <v>5</v>
      </c>
      <c r="B481" s="20">
        <f t="shared" si="155"/>
        <v>480</v>
      </c>
      <c r="C481" s="17">
        <f t="shared" si="156"/>
        <v>64</v>
      </c>
      <c r="D481" s="17" t="str">
        <f t="shared" si="157"/>
        <v>20080808</v>
      </c>
      <c r="E481" s="20" t="str">
        <f t="shared" si="150"/>
        <v>20080808064</v>
      </c>
      <c r="F481" s="19">
        <v>35</v>
      </c>
      <c r="G481" s="19">
        <v>16</v>
      </c>
      <c r="H481" s="19">
        <v>8</v>
      </c>
      <c r="I481" s="19">
        <v>33</v>
      </c>
      <c r="J481" s="19">
        <v>49</v>
      </c>
      <c r="K481" s="19">
        <v>20</v>
      </c>
      <c r="L481" s="19">
        <v>24</v>
      </c>
      <c r="M481" s="19">
        <f t="shared" si="153"/>
        <v>185</v>
      </c>
      <c r="N481" s="27">
        <f t="shared" si="154"/>
        <v>39668</v>
      </c>
    </row>
    <row r="482" spans="1:14" x14ac:dyDescent="0.25">
      <c r="A482" s="15">
        <f t="shared" si="152"/>
        <v>2</v>
      </c>
      <c r="B482" s="20">
        <f t="shared" si="155"/>
        <v>481</v>
      </c>
      <c r="C482" s="17">
        <f t="shared" si="156"/>
        <v>65</v>
      </c>
      <c r="D482" s="17" t="str">
        <f t="shared" si="157"/>
        <v>20080812</v>
      </c>
      <c r="E482" s="20" t="str">
        <f t="shared" si="150"/>
        <v>20080812065</v>
      </c>
      <c r="F482" s="19">
        <v>43</v>
      </c>
      <c r="G482" s="19">
        <v>16</v>
      </c>
      <c r="H482" s="19">
        <v>24</v>
      </c>
      <c r="I482" s="19">
        <v>33</v>
      </c>
      <c r="J482" s="19">
        <v>22</v>
      </c>
      <c r="K482" s="19">
        <v>49</v>
      </c>
      <c r="L482" s="19">
        <v>45</v>
      </c>
      <c r="M482" s="19">
        <f t="shared" si="153"/>
        <v>232</v>
      </c>
      <c r="N482" s="27">
        <f t="shared" si="151"/>
        <v>39672</v>
      </c>
    </row>
    <row r="483" spans="1:14" x14ac:dyDescent="0.25">
      <c r="A483" s="15">
        <f t="shared" si="152"/>
        <v>5</v>
      </c>
      <c r="B483" s="20">
        <f t="shared" si="155"/>
        <v>482</v>
      </c>
      <c r="C483" s="17">
        <f t="shared" si="156"/>
        <v>66</v>
      </c>
      <c r="D483" s="17" t="str">
        <f t="shared" si="157"/>
        <v>20080815</v>
      </c>
      <c r="E483" s="20" t="str">
        <f t="shared" si="150"/>
        <v>20080815066</v>
      </c>
      <c r="F483" s="19">
        <v>23</v>
      </c>
      <c r="G483" s="19">
        <v>8</v>
      </c>
      <c r="H483" s="19">
        <v>24</v>
      </c>
      <c r="I483" s="19">
        <v>43</v>
      </c>
      <c r="J483" s="19">
        <v>14</v>
      </c>
      <c r="K483" s="19">
        <v>44</v>
      </c>
      <c r="L483" s="19">
        <v>4</v>
      </c>
      <c r="M483" s="19">
        <f t="shared" si="153"/>
        <v>160</v>
      </c>
      <c r="N483" s="27">
        <f t="shared" si="154"/>
        <v>39675</v>
      </c>
    </row>
    <row r="484" spans="1:14" x14ac:dyDescent="0.25">
      <c r="A484" s="15">
        <f t="shared" si="152"/>
        <v>2</v>
      </c>
      <c r="B484" s="20">
        <f t="shared" si="155"/>
        <v>483</v>
      </c>
      <c r="C484" s="17">
        <f t="shared" si="156"/>
        <v>67</v>
      </c>
      <c r="D484" s="17" t="str">
        <f t="shared" si="157"/>
        <v>20080819</v>
      </c>
      <c r="E484" s="20" t="str">
        <f t="shared" si="150"/>
        <v>20080819067</v>
      </c>
      <c r="F484" s="19">
        <v>39</v>
      </c>
      <c r="G484" s="19">
        <v>43</v>
      </c>
      <c r="H484" s="19">
        <v>16</v>
      </c>
      <c r="I484" s="19">
        <v>2</v>
      </c>
      <c r="J484" s="19">
        <v>25</v>
      </c>
      <c r="K484" s="19">
        <v>35</v>
      </c>
      <c r="L484" s="19">
        <v>26</v>
      </c>
      <c r="M484" s="19">
        <f t="shared" si="153"/>
        <v>186</v>
      </c>
      <c r="N484" s="27">
        <f t="shared" si="151"/>
        <v>39679</v>
      </c>
    </row>
    <row r="485" spans="1:14" x14ac:dyDescent="0.25">
      <c r="A485" s="15">
        <f t="shared" si="152"/>
        <v>5</v>
      </c>
      <c r="B485" s="20">
        <f t="shared" si="155"/>
        <v>484</v>
      </c>
      <c r="C485" s="17">
        <f t="shared" si="156"/>
        <v>68</v>
      </c>
      <c r="D485" s="17" t="str">
        <f t="shared" si="157"/>
        <v>20080822</v>
      </c>
      <c r="E485" s="20" t="str">
        <f t="shared" si="150"/>
        <v>20080822068</v>
      </c>
      <c r="F485" s="19">
        <v>4</v>
      </c>
      <c r="G485" s="19">
        <v>37</v>
      </c>
      <c r="H485" s="19">
        <v>8</v>
      </c>
      <c r="I485" s="19">
        <v>26</v>
      </c>
      <c r="J485" s="19">
        <v>31</v>
      </c>
      <c r="K485" s="19">
        <v>5</v>
      </c>
      <c r="L485" s="19">
        <v>10</v>
      </c>
      <c r="M485" s="19">
        <f t="shared" si="153"/>
        <v>121</v>
      </c>
      <c r="N485" s="27">
        <f t="shared" si="154"/>
        <v>39682</v>
      </c>
    </row>
    <row r="486" spans="1:14" x14ac:dyDescent="0.25">
      <c r="A486" s="15">
        <f t="shared" si="152"/>
        <v>2</v>
      </c>
      <c r="B486" s="20">
        <f t="shared" si="155"/>
        <v>485</v>
      </c>
      <c r="C486" s="17">
        <f t="shared" si="156"/>
        <v>69</v>
      </c>
      <c r="D486" s="17" t="str">
        <f t="shared" si="157"/>
        <v>20080826</v>
      </c>
      <c r="E486" s="20" t="str">
        <f t="shared" si="150"/>
        <v>20080826069</v>
      </c>
      <c r="F486" s="19">
        <v>23</v>
      </c>
      <c r="G486" s="19">
        <v>18</v>
      </c>
      <c r="H486" s="19">
        <v>24</v>
      </c>
      <c r="I486" s="19">
        <v>2</v>
      </c>
      <c r="J486" s="19">
        <v>4</v>
      </c>
      <c r="K486" s="19">
        <v>6</v>
      </c>
      <c r="L486" s="19">
        <v>32</v>
      </c>
      <c r="M486" s="19">
        <f t="shared" si="153"/>
        <v>109</v>
      </c>
      <c r="N486" s="27">
        <f t="shared" si="151"/>
        <v>39686</v>
      </c>
    </row>
    <row r="487" spans="1:14" x14ac:dyDescent="0.25">
      <c r="A487" s="15">
        <f t="shared" si="152"/>
        <v>5</v>
      </c>
      <c r="B487" s="20">
        <f t="shared" si="155"/>
        <v>486</v>
      </c>
      <c r="C487" s="17">
        <f t="shared" si="156"/>
        <v>70</v>
      </c>
      <c r="D487" s="17" t="str">
        <f t="shared" si="157"/>
        <v>20080829</v>
      </c>
      <c r="E487" s="20" t="str">
        <f t="shared" si="150"/>
        <v>20080829070</v>
      </c>
      <c r="F487" s="19">
        <v>28</v>
      </c>
      <c r="G487" s="19">
        <v>24</v>
      </c>
      <c r="H487" s="19">
        <v>2</v>
      </c>
      <c r="I487" s="19">
        <v>25</v>
      </c>
      <c r="J487" s="19">
        <v>26</v>
      </c>
      <c r="K487" s="19">
        <v>46</v>
      </c>
      <c r="L487" s="19">
        <v>49</v>
      </c>
      <c r="M487" s="19">
        <f t="shared" si="153"/>
        <v>200</v>
      </c>
      <c r="N487" s="27">
        <f t="shared" si="154"/>
        <v>39689</v>
      </c>
    </row>
    <row r="488" spans="1:14" x14ac:dyDescent="0.25">
      <c r="A488" s="15">
        <f t="shared" si="152"/>
        <v>2</v>
      </c>
      <c r="B488" s="20">
        <f t="shared" si="155"/>
        <v>487</v>
      </c>
      <c r="C488" s="17">
        <f t="shared" si="156"/>
        <v>71</v>
      </c>
      <c r="D488" s="17" t="str">
        <f t="shared" si="157"/>
        <v>20080902</v>
      </c>
      <c r="E488" s="20" t="str">
        <f t="shared" si="150"/>
        <v>20080902071</v>
      </c>
      <c r="F488" s="19">
        <v>3</v>
      </c>
      <c r="G488" s="19">
        <v>34</v>
      </c>
      <c r="H488" s="19">
        <v>25</v>
      </c>
      <c r="I488" s="19">
        <v>21</v>
      </c>
      <c r="J488" s="19">
        <v>10</v>
      </c>
      <c r="K488" s="19">
        <v>2</v>
      </c>
      <c r="L488" s="19">
        <v>47</v>
      </c>
      <c r="M488" s="19">
        <f t="shared" si="153"/>
        <v>142</v>
      </c>
      <c r="N488" s="27">
        <f t="shared" si="151"/>
        <v>39693</v>
      </c>
    </row>
    <row r="489" spans="1:14" x14ac:dyDescent="0.25">
      <c r="A489" s="15">
        <f t="shared" si="152"/>
        <v>5</v>
      </c>
      <c r="B489" s="20">
        <f t="shared" si="155"/>
        <v>488</v>
      </c>
      <c r="C489" s="17">
        <f t="shared" si="156"/>
        <v>72</v>
      </c>
      <c r="D489" s="17" t="str">
        <f t="shared" si="157"/>
        <v>20080905</v>
      </c>
      <c r="E489" s="20" t="str">
        <f t="shared" si="150"/>
        <v>20080905072</v>
      </c>
      <c r="F489" s="19">
        <v>2</v>
      </c>
      <c r="G489" s="19">
        <v>32</v>
      </c>
      <c r="H489" s="19">
        <v>33</v>
      </c>
      <c r="I489" s="19">
        <v>22</v>
      </c>
      <c r="J489" s="19">
        <v>14</v>
      </c>
      <c r="K489" s="19">
        <v>3</v>
      </c>
      <c r="L489" s="19">
        <v>24</v>
      </c>
      <c r="M489" s="19">
        <f t="shared" si="153"/>
        <v>130</v>
      </c>
      <c r="N489" s="27">
        <f t="shared" si="154"/>
        <v>39696</v>
      </c>
    </row>
    <row r="490" spans="1:14" x14ac:dyDescent="0.25">
      <c r="A490" s="15">
        <f t="shared" si="152"/>
        <v>2</v>
      </c>
      <c r="B490" s="20">
        <f t="shared" si="155"/>
        <v>489</v>
      </c>
      <c r="C490" s="17">
        <f t="shared" si="156"/>
        <v>73</v>
      </c>
      <c r="D490" s="17" t="str">
        <f t="shared" si="157"/>
        <v>20080909</v>
      </c>
      <c r="E490" s="20" t="str">
        <f t="shared" si="150"/>
        <v>20080909073</v>
      </c>
      <c r="F490" s="19">
        <v>46</v>
      </c>
      <c r="G490" s="19">
        <v>23</v>
      </c>
      <c r="H490" s="19">
        <v>28</v>
      </c>
      <c r="I490" s="19">
        <v>10</v>
      </c>
      <c r="J490" s="19">
        <v>35</v>
      </c>
      <c r="K490" s="19">
        <v>27</v>
      </c>
      <c r="L490" s="19">
        <v>2</v>
      </c>
      <c r="M490" s="19">
        <f t="shared" si="153"/>
        <v>171</v>
      </c>
      <c r="N490" s="27">
        <f t="shared" si="151"/>
        <v>39700</v>
      </c>
    </row>
    <row r="491" spans="1:14" x14ac:dyDescent="0.25">
      <c r="A491" s="15">
        <f t="shared" si="152"/>
        <v>5</v>
      </c>
      <c r="B491" s="20">
        <f t="shared" si="155"/>
        <v>490</v>
      </c>
      <c r="C491" s="17">
        <f t="shared" si="156"/>
        <v>74</v>
      </c>
      <c r="D491" s="17" t="str">
        <f t="shared" si="157"/>
        <v>20080912</v>
      </c>
      <c r="E491" s="20" t="str">
        <f t="shared" si="150"/>
        <v>20080912074</v>
      </c>
      <c r="F491" s="19">
        <v>34</v>
      </c>
      <c r="G491" s="19">
        <v>37</v>
      </c>
      <c r="H491" s="19">
        <v>16</v>
      </c>
      <c r="I491" s="19">
        <v>9</v>
      </c>
      <c r="J491" s="19">
        <v>18</v>
      </c>
      <c r="K491" s="19">
        <v>1</v>
      </c>
      <c r="L491" s="19">
        <v>12</v>
      </c>
      <c r="M491" s="19">
        <f t="shared" si="153"/>
        <v>127</v>
      </c>
      <c r="N491" s="27">
        <f t="shared" si="154"/>
        <v>39703</v>
      </c>
    </row>
    <row r="492" spans="1:14" x14ac:dyDescent="0.25">
      <c r="A492" s="15">
        <f t="shared" si="152"/>
        <v>2</v>
      </c>
      <c r="B492" s="20">
        <f t="shared" si="155"/>
        <v>491</v>
      </c>
      <c r="C492" s="17">
        <f t="shared" si="156"/>
        <v>75</v>
      </c>
      <c r="D492" s="17" t="str">
        <f t="shared" si="157"/>
        <v>20080916</v>
      </c>
      <c r="E492" s="20" t="str">
        <f t="shared" si="150"/>
        <v>20080916075</v>
      </c>
      <c r="F492" s="19">
        <v>2</v>
      </c>
      <c r="G492" s="19">
        <v>31</v>
      </c>
      <c r="H492" s="19">
        <v>44</v>
      </c>
      <c r="I492" s="19">
        <v>32</v>
      </c>
      <c r="J492" s="19">
        <v>46</v>
      </c>
      <c r="K492" s="19">
        <v>25</v>
      </c>
      <c r="L492" s="19">
        <v>7</v>
      </c>
      <c r="M492" s="19">
        <f t="shared" si="153"/>
        <v>187</v>
      </c>
      <c r="N492" s="27">
        <f t="shared" si="151"/>
        <v>39707</v>
      </c>
    </row>
    <row r="493" spans="1:14" x14ac:dyDescent="0.25">
      <c r="A493" s="15">
        <f t="shared" si="152"/>
        <v>5</v>
      </c>
      <c r="B493" s="20">
        <f t="shared" si="155"/>
        <v>492</v>
      </c>
      <c r="C493" s="17">
        <f t="shared" si="156"/>
        <v>76</v>
      </c>
      <c r="D493" s="17" t="str">
        <f t="shared" si="157"/>
        <v>20080919</v>
      </c>
      <c r="E493" s="20" t="str">
        <f t="shared" si="150"/>
        <v>20080919076</v>
      </c>
      <c r="F493" s="19">
        <v>23</v>
      </c>
      <c r="G493" s="19">
        <v>2</v>
      </c>
      <c r="H493" s="19">
        <v>13</v>
      </c>
      <c r="I493" s="19">
        <v>48</v>
      </c>
      <c r="J493" s="19">
        <v>28</v>
      </c>
      <c r="K493" s="19">
        <v>35</v>
      </c>
      <c r="L493" s="19">
        <v>18</v>
      </c>
      <c r="M493" s="19">
        <f t="shared" si="153"/>
        <v>167</v>
      </c>
      <c r="N493" s="27">
        <f t="shared" si="154"/>
        <v>39710</v>
      </c>
    </row>
    <row r="494" spans="1:14" x14ac:dyDescent="0.25">
      <c r="A494" s="15">
        <f t="shared" si="152"/>
        <v>2</v>
      </c>
      <c r="B494" s="20">
        <f t="shared" si="155"/>
        <v>493</v>
      </c>
      <c r="C494" s="17">
        <f t="shared" si="156"/>
        <v>77</v>
      </c>
      <c r="D494" s="17" t="str">
        <f t="shared" si="157"/>
        <v>20080923</v>
      </c>
      <c r="E494" s="20" t="str">
        <f t="shared" si="150"/>
        <v>20080923077</v>
      </c>
      <c r="F494" s="19">
        <v>20</v>
      </c>
      <c r="G494" s="19">
        <v>22</v>
      </c>
      <c r="H494" s="19">
        <v>29</v>
      </c>
      <c r="I494" s="19">
        <v>35</v>
      </c>
      <c r="J494" s="19">
        <v>2</v>
      </c>
      <c r="K494" s="19">
        <v>9</v>
      </c>
      <c r="L494" s="19">
        <v>38</v>
      </c>
      <c r="M494" s="19">
        <f t="shared" si="153"/>
        <v>155</v>
      </c>
      <c r="N494" s="27">
        <f t="shared" si="151"/>
        <v>39714</v>
      </c>
    </row>
    <row r="495" spans="1:14" x14ac:dyDescent="0.25">
      <c r="A495" s="15">
        <f t="shared" si="152"/>
        <v>5</v>
      </c>
      <c r="B495" s="20">
        <f t="shared" si="155"/>
        <v>494</v>
      </c>
      <c r="C495" s="17">
        <f t="shared" si="156"/>
        <v>78</v>
      </c>
      <c r="D495" s="17" t="str">
        <f t="shared" si="157"/>
        <v>20080926</v>
      </c>
      <c r="E495" s="20" t="str">
        <f t="shared" si="150"/>
        <v>20080926078</v>
      </c>
      <c r="F495" s="19">
        <v>42</v>
      </c>
      <c r="G495" s="19">
        <v>30</v>
      </c>
      <c r="H495" s="19">
        <v>15</v>
      </c>
      <c r="I495" s="19">
        <v>41</v>
      </c>
      <c r="J495" s="19">
        <v>29</v>
      </c>
      <c r="K495" s="19">
        <v>36</v>
      </c>
      <c r="L495" s="19">
        <v>39</v>
      </c>
      <c r="M495" s="19">
        <f t="shared" si="153"/>
        <v>232</v>
      </c>
      <c r="N495" s="27">
        <f t="shared" si="154"/>
        <v>39717</v>
      </c>
    </row>
    <row r="496" spans="1:14" x14ac:dyDescent="0.25">
      <c r="A496" s="15">
        <f t="shared" si="152"/>
        <v>2</v>
      </c>
      <c r="B496" s="20">
        <f t="shared" si="155"/>
        <v>495</v>
      </c>
      <c r="C496" s="17">
        <f t="shared" si="156"/>
        <v>79</v>
      </c>
      <c r="D496" s="17" t="str">
        <f t="shared" si="157"/>
        <v>20080930</v>
      </c>
      <c r="E496" s="20" t="str">
        <f t="shared" si="150"/>
        <v>20080930079</v>
      </c>
      <c r="F496" s="19">
        <v>22</v>
      </c>
      <c r="G496" s="19">
        <v>9</v>
      </c>
      <c r="H496" s="19">
        <v>13</v>
      </c>
      <c r="I496" s="19">
        <v>1</v>
      </c>
      <c r="J496" s="19">
        <v>7</v>
      </c>
      <c r="K496" s="19">
        <v>27</v>
      </c>
      <c r="L496" s="19">
        <v>34</v>
      </c>
      <c r="M496" s="19">
        <f t="shared" si="153"/>
        <v>113</v>
      </c>
      <c r="N496" s="27">
        <f t="shared" si="151"/>
        <v>39721</v>
      </c>
    </row>
    <row r="497" spans="1:14" x14ac:dyDescent="0.25">
      <c r="A497" s="15">
        <f t="shared" si="152"/>
        <v>5</v>
      </c>
      <c r="B497" s="20">
        <f t="shared" si="155"/>
        <v>496</v>
      </c>
      <c r="C497" s="17">
        <f t="shared" si="156"/>
        <v>80</v>
      </c>
      <c r="D497" s="17" t="str">
        <f t="shared" si="157"/>
        <v>20081003</v>
      </c>
      <c r="E497" s="20" t="str">
        <f t="shared" si="150"/>
        <v>20081003080</v>
      </c>
      <c r="F497" s="19">
        <v>18</v>
      </c>
      <c r="G497" s="19">
        <v>41</v>
      </c>
      <c r="H497" s="19">
        <v>48</v>
      </c>
      <c r="I497" s="19">
        <v>19</v>
      </c>
      <c r="J497" s="19">
        <v>37</v>
      </c>
      <c r="K497" s="19">
        <v>45</v>
      </c>
      <c r="L497" s="19">
        <v>9</v>
      </c>
      <c r="M497" s="19">
        <f t="shared" si="153"/>
        <v>217</v>
      </c>
      <c r="N497" s="27">
        <f t="shared" si="154"/>
        <v>39724</v>
      </c>
    </row>
    <row r="498" spans="1:14" x14ac:dyDescent="0.25">
      <c r="A498" s="15">
        <f t="shared" si="152"/>
        <v>2</v>
      </c>
      <c r="B498" s="20">
        <f t="shared" si="155"/>
        <v>497</v>
      </c>
      <c r="C498" s="17">
        <f t="shared" si="156"/>
        <v>81</v>
      </c>
      <c r="D498" s="17" t="str">
        <f t="shared" si="157"/>
        <v>20081007</v>
      </c>
      <c r="E498" s="20" t="str">
        <f t="shared" si="150"/>
        <v>20081007081</v>
      </c>
      <c r="F498" s="19">
        <v>33</v>
      </c>
      <c r="G498" s="19">
        <v>1</v>
      </c>
      <c r="H498" s="19">
        <v>34</v>
      </c>
      <c r="I498" s="19">
        <v>20</v>
      </c>
      <c r="J498" s="19">
        <v>29</v>
      </c>
      <c r="K498" s="19">
        <v>28</v>
      </c>
      <c r="L498" s="19">
        <v>40</v>
      </c>
      <c r="M498" s="19">
        <f t="shared" si="153"/>
        <v>185</v>
      </c>
      <c r="N498" s="27">
        <f t="shared" si="151"/>
        <v>39728</v>
      </c>
    </row>
    <row r="499" spans="1:14" x14ac:dyDescent="0.25">
      <c r="A499" s="15">
        <f t="shared" si="152"/>
        <v>5</v>
      </c>
      <c r="B499" s="20">
        <f t="shared" si="155"/>
        <v>498</v>
      </c>
      <c r="C499" s="17">
        <f t="shared" si="156"/>
        <v>82</v>
      </c>
      <c r="D499" s="17" t="str">
        <f t="shared" si="157"/>
        <v>20081010</v>
      </c>
      <c r="E499" s="20" t="str">
        <f t="shared" si="150"/>
        <v>20081010082</v>
      </c>
      <c r="F499" s="19">
        <v>13</v>
      </c>
      <c r="G499" s="19">
        <v>24</v>
      </c>
      <c r="H499" s="19">
        <v>14</v>
      </c>
      <c r="I499" s="19">
        <v>41</v>
      </c>
      <c r="J499" s="19">
        <v>20</v>
      </c>
      <c r="K499" s="19">
        <v>47</v>
      </c>
      <c r="L499" s="19">
        <v>6</v>
      </c>
      <c r="M499" s="19">
        <f t="shared" si="153"/>
        <v>165</v>
      </c>
      <c r="N499" s="27">
        <f t="shared" si="154"/>
        <v>39731</v>
      </c>
    </row>
    <row r="500" spans="1:14" x14ac:dyDescent="0.25">
      <c r="A500" s="15">
        <f t="shared" si="152"/>
        <v>2</v>
      </c>
      <c r="B500" s="20">
        <f t="shared" si="155"/>
        <v>499</v>
      </c>
      <c r="C500" s="17">
        <f t="shared" si="156"/>
        <v>83</v>
      </c>
      <c r="D500" s="17" t="str">
        <f t="shared" si="157"/>
        <v>20081014</v>
      </c>
      <c r="E500" s="20" t="str">
        <f t="shared" si="150"/>
        <v>20081014083</v>
      </c>
      <c r="F500" s="19">
        <v>28</v>
      </c>
      <c r="G500" s="19">
        <v>46</v>
      </c>
      <c r="H500" s="19">
        <v>30</v>
      </c>
      <c r="I500" s="19">
        <v>8</v>
      </c>
      <c r="J500" s="19">
        <v>44</v>
      </c>
      <c r="K500" s="19">
        <v>43</v>
      </c>
      <c r="L500" s="19">
        <v>12</v>
      </c>
      <c r="M500" s="19">
        <f t="shared" si="153"/>
        <v>211</v>
      </c>
      <c r="N500" s="27">
        <f t="shared" si="151"/>
        <v>39735</v>
      </c>
    </row>
    <row r="501" spans="1:14" x14ac:dyDescent="0.25">
      <c r="A501" s="15">
        <f t="shared" si="152"/>
        <v>5</v>
      </c>
      <c r="B501" s="20">
        <f t="shared" si="155"/>
        <v>500</v>
      </c>
      <c r="C501" s="17">
        <f t="shared" si="156"/>
        <v>84</v>
      </c>
      <c r="D501" s="17" t="str">
        <f t="shared" si="157"/>
        <v>20081017</v>
      </c>
      <c r="E501" s="20" t="str">
        <f t="shared" si="150"/>
        <v>20081017084</v>
      </c>
      <c r="F501" s="19">
        <v>5</v>
      </c>
      <c r="G501" s="19">
        <v>36</v>
      </c>
      <c r="H501" s="19">
        <v>28</v>
      </c>
      <c r="I501" s="19">
        <v>11</v>
      </c>
      <c r="J501" s="19">
        <v>15</v>
      </c>
      <c r="K501" s="19">
        <v>19</v>
      </c>
      <c r="L501" s="19">
        <v>46</v>
      </c>
      <c r="M501" s="19">
        <f t="shared" si="153"/>
        <v>160</v>
      </c>
      <c r="N501" s="27">
        <f t="shared" si="154"/>
        <v>39738</v>
      </c>
    </row>
    <row r="502" spans="1:14" x14ac:dyDescent="0.25">
      <c r="A502" s="15">
        <f t="shared" si="152"/>
        <v>2</v>
      </c>
      <c r="B502" s="20">
        <f t="shared" si="155"/>
        <v>501</v>
      </c>
      <c r="C502" s="17">
        <f t="shared" si="156"/>
        <v>85</v>
      </c>
      <c r="D502" s="17" t="str">
        <f t="shared" si="157"/>
        <v>20081021</v>
      </c>
      <c r="E502" s="20" t="str">
        <f t="shared" si="150"/>
        <v>20081021085</v>
      </c>
      <c r="F502" s="19">
        <v>4</v>
      </c>
      <c r="G502" s="19">
        <v>30</v>
      </c>
      <c r="H502" s="19">
        <v>7</v>
      </c>
      <c r="I502" s="19">
        <v>8</v>
      </c>
      <c r="J502" s="19">
        <v>2</v>
      </c>
      <c r="K502" s="19">
        <v>18</v>
      </c>
      <c r="L502" s="19">
        <v>33</v>
      </c>
      <c r="M502" s="19">
        <f t="shared" si="153"/>
        <v>102</v>
      </c>
      <c r="N502" s="27">
        <f t="shared" si="151"/>
        <v>39742</v>
      </c>
    </row>
    <row r="503" spans="1:14" x14ac:dyDescent="0.25">
      <c r="A503" s="15">
        <f t="shared" si="152"/>
        <v>5</v>
      </c>
      <c r="B503" s="20">
        <f t="shared" si="155"/>
        <v>502</v>
      </c>
      <c r="C503" s="17">
        <f t="shared" si="156"/>
        <v>86</v>
      </c>
      <c r="D503" s="17" t="str">
        <f t="shared" si="157"/>
        <v>20081024</v>
      </c>
      <c r="E503" s="20" t="str">
        <f t="shared" si="150"/>
        <v>20081024086</v>
      </c>
      <c r="F503" s="19">
        <v>49</v>
      </c>
      <c r="G503" s="19">
        <v>14</v>
      </c>
      <c r="H503" s="19">
        <v>6</v>
      </c>
      <c r="I503" s="19">
        <v>9</v>
      </c>
      <c r="J503" s="19">
        <v>5</v>
      </c>
      <c r="K503" s="19">
        <v>8</v>
      </c>
      <c r="L503" s="19">
        <v>3</v>
      </c>
      <c r="M503" s="19">
        <f t="shared" si="153"/>
        <v>94</v>
      </c>
      <c r="N503" s="27">
        <f t="shared" si="154"/>
        <v>39745</v>
      </c>
    </row>
    <row r="504" spans="1:14" x14ac:dyDescent="0.25">
      <c r="A504" s="15">
        <f t="shared" si="152"/>
        <v>2</v>
      </c>
      <c r="B504" s="20">
        <f t="shared" si="155"/>
        <v>503</v>
      </c>
      <c r="C504" s="17">
        <f t="shared" si="156"/>
        <v>87</v>
      </c>
      <c r="D504" s="17" t="str">
        <f t="shared" si="157"/>
        <v>20081028</v>
      </c>
      <c r="E504" s="20" t="str">
        <f t="shared" si="150"/>
        <v>20081028087</v>
      </c>
      <c r="F504" s="19">
        <v>12</v>
      </c>
      <c r="G504" s="19">
        <v>14</v>
      </c>
      <c r="H504" s="19">
        <v>2</v>
      </c>
      <c r="I504" s="19">
        <v>36</v>
      </c>
      <c r="J504" s="19">
        <v>41</v>
      </c>
      <c r="K504" s="19">
        <v>7</v>
      </c>
      <c r="L504" s="19">
        <v>35</v>
      </c>
      <c r="M504" s="19">
        <f t="shared" si="153"/>
        <v>147</v>
      </c>
      <c r="N504" s="27">
        <f t="shared" si="151"/>
        <v>39749</v>
      </c>
    </row>
    <row r="505" spans="1:14" x14ac:dyDescent="0.25">
      <c r="A505" s="15">
        <f t="shared" si="152"/>
        <v>5</v>
      </c>
      <c r="B505" s="20">
        <f t="shared" si="155"/>
        <v>504</v>
      </c>
      <c r="C505" s="17">
        <f t="shared" si="156"/>
        <v>88</v>
      </c>
      <c r="D505" s="17" t="str">
        <f t="shared" si="157"/>
        <v>20081031</v>
      </c>
      <c r="E505" s="20" t="str">
        <f t="shared" si="150"/>
        <v>20081031088</v>
      </c>
      <c r="F505" s="19">
        <v>9</v>
      </c>
      <c r="G505" s="19">
        <v>1</v>
      </c>
      <c r="H505" s="19">
        <v>47</v>
      </c>
      <c r="I505" s="19">
        <v>11</v>
      </c>
      <c r="J505" s="19">
        <v>19</v>
      </c>
      <c r="K505" s="19">
        <v>3</v>
      </c>
      <c r="L505" s="19">
        <v>40</v>
      </c>
      <c r="M505" s="19">
        <f t="shared" si="153"/>
        <v>130</v>
      </c>
      <c r="N505" s="27">
        <f t="shared" si="154"/>
        <v>39752</v>
      </c>
    </row>
    <row r="506" spans="1:14" x14ac:dyDescent="0.25">
      <c r="A506" s="15">
        <f t="shared" si="152"/>
        <v>2</v>
      </c>
      <c r="B506" s="20">
        <f t="shared" si="155"/>
        <v>505</v>
      </c>
      <c r="C506" s="17">
        <f t="shared" si="156"/>
        <v>89</v>
      </c>
      <c r="D506" s="17" t="str">
        <f t="shared" si="157"/>
        <v>20081104</v>
      </c>
      <c r="E506" s="20" t="str">
        <f t="shared" si="150"/>
        <v>20081104089</v>
      </c>
      <c r="F506" s="19">
        <v>40</v>
      </c>
      <c r="G506" s="19">
        <v>32</v>
      </c>
      <c r="H506" s="19">
        <v>19</v>
      </c>
      <c r="I506" s="19">
        <v>11</v>
      </c>
      <c r="J506" s="19">
        <v>20</v>
      </c>
      <c r="K506" s="19">
        <v>13</v>
      </c>
      <c r="L506" s="19">
        <v>9</v>
      </c>
      <c r="M506" s="19">
        <f t="shared" si="153"/>
        <v>144</v>
      </c>
      <c r="N506" s="27">
        <f t="shared" si="151"/>
        <v>39756</v>
      </c>
    </row>
    <row r="507" spans="1:14" x14ac:dyDescent="0.25">
      <c r="A507" s="15">
        <f t="shared" si="152"/>
        <v>5</v>
      </c>
      <c r="B507" s="20">
        <f t="shared" si="155"/>
        <v>506</v>
      </c>
      <c r="C507" s="17">
        <f t="shared" si="156"/>
        <v>90</v>
      </c>
      <c r="D507" s="17" t="str">
        <f t="shared" si="157"/>
        <v>20081107</v>
      </c>
      <c r="E507" s="20" t="str">
        <f t="shared" si="150"/>
        <v>20081107090</v>
      </c>
      <c r="F507" s="19">
        <v>33</v>
      </c>
      <c r="G507" s="19">
        <v>25</v>
      </c>
      <c r="H507" s="19">
        <v>40</v>
      </c>
      <c r="I507" s="19">
        <v>15</v>
      </c>
      <c r="J507" s="19">
        <v>30</v>
      </c>
      <c r="K507" s="19">
        <v>46</v>
      </c>
      <c r="L507" s="19">
        <v>18</v>
      </c>
      <c r="M507" s="19">
        <f t="shared" si="153"/>
        <v>207</v>
      </c>
      <c r="N507" s="27">
        <f t="shared" si="154"/>
        <v>39759</v>
      </c>
    </row>
    <row r="508" spans="1:14" x14ac:dyDescent="0.25">
      <c r="A508" s="15">
        <f t="shared" si="152"/>
        <v>2</v>
      </c>
      <c r="B508" s="20">
        <f t="shared" si="155"/>
        <v>507</v>
      </c>
      <c r="C508" s="17">
        <f t="shared" si="156"/>
        <v>91</v>
      </c>
      <c r="D508" s="17" t="str">
        <f t="shared" si="157"/>
        <v>20081111</v>
      </c>
      <c r="E508" s="20" t="str">
        <f t="shared" si="150"/>
        <v>20081111091</v>
      </c>
      <c r="F508" s="19">
        <v>45</v>
      </c>
      <c r="G508" s="19">
        <v>39</v>
      </c>
      <c r="H508" s="19">
        <v>11</v>
      </c>
      <c r="I508" s="19">
        <v>33</v>
      </c>
      <c r="J508" s="19">
        <v>13</v>
      </c>
      <c r="K508" s="19">
        <v>34</v>
      </c>
      <c r="L508" s="19">
        <v>15</v>
      </c>
      <c r="M508" s="19">
        <f t="shared" si="153"/>
        <v>190</v>
      </c>
      <c r="N508" s="27">
        <f t="shared" si="151"/>
        <v>39763</v>
      </c>
    </row>
    <row r="509" spans="1:14" x14ac:dyDescent="0.25">
      <c r="A509" s="15">
        <f t="shared" si="152"/>
        <v>5</v>
      </c>
      <c r="B509" s="20">
        <f t="shared" si="155"/>
        <v>508</v>
      </c>
      <c r="C509" s="17">
        <f t="shared" si="156"/>
        <v>92</v>
      </c>
      <c r="D509" s="17" t="str">
        <f t="shared" si="157"/>
        <v>20081114</v>
      </c>
      <c r="E509" s="20" t="str">
        <f t="shared" si="150"/>
        <v>20081114092</v>
      </c>
      <c r="F509" s="19">
        <v>36</v>
      </c>
      <c r="G509" s="19">
        <v>7</v>
      </c>
      <c r="H509" s="19">
        <v>23</v>
      </c>
      <c r="I509" s="19">
        <v>43</v>
      </c>
      <c r="J509" s="19">
        <v>35</v>
      </c>
      <c r="K509" s="19">
        <v>15</v>
      </c>
      <c r="L509" s="19">
        <v>8</v>
      </c>
      <c r="M509" s="19">
        <f t="shared" si="153"/>
        <v>167</v>
      </c>
      <c r="N509" s="27">
        <f t="shared" si="154"/>
        <v>39766</v>
      </c>
    </row>
    <row r="510" spans="1:14" x14ac:dyDescent="0.25">
      <c r="A510" s="15">
        <f t="shared" si="152"/>
        <v>2</v>
      </c>
      <c r="B510" s="20">
        <f t="shared" si="155"/>
        <v>509</v>
      </c>
      <c r="C510" s="17">
        <f t="shared" si="156"/>
        <v>93</v>
      </c>
      <c r="D510" s="17" t="str">
        <f t="shared" si="157"/>
        <v>20081118</v>
      </c>
      <c r="E510" s="20" t="str">
        <f t="shared" si="150"/>
        <v>20081118093</v>
      </c>
      <c r="F510" s="19">
        <v>34</v>
      </c>
      <c r="G510" s="19">
        <v>39</v>
      </c>
      <c r="H510" s="19">
        <v>17</v>
      </c>
      <c r="I510" s="19">
        <v>29</v>
      </c>
      <c r="J510" s="19">
        <v>14</v>
      </c>
      <c r="K510" s="19">
        <v>20</v>
      </c>
      <c r="L510" s="19">
        <v>7</v>
      </c>
      <c r="M510" s="19">
        <f t="shared" si="153"/>
        <v>160</v>
      </c>
      <c r="N510" s="27">
        <f t="shared" si="151"/>
        <v>39770</v>
      </c>
    </row>
    <row r="511" spans="1:14" x14ac:dyDescent="0.25">
      <c r="A511" s="15">
        <f t="shared" si="152"/>
        <v>5</v>
      </c>
      <c r="B511" s="20">
        <f t="shared" si="155"/>
        <v>510</v>
      </c>
      <c r="C511" s="17">
        <f t="shared" si="156"/>
        <v>94</v>
      </c>
      <c r="D511" s="17" t="str">
        <f t="shared" si="157"/>
        <v>20081121</v>
      </c>
      <c r="E511" s="20" t="str">
        <f t="shared" si="150"/>
        <v>20081121094</v>
      </c>
      <c r="F511" s="19">
        <v>37</v>
      </c>
      <c r="G511" s="19">
        <v>17</v>
      </c>
      <c r="H511" s="19">
        <v>16</v>
      </c>
      <c r="I511" s="19">
        <v>30</v>
      </c>
      <c r="J511" s="19">
        <v>28</v>
      </c>
      <c r="K511" s="19">
        <v>21</v>
      </c>
      <c r="L511" s="19">
        <v>9</v>
      </c>
      <c r="M511" s="19">
        <f t="shared" si="153"/>
        <v>158</v>
      </c>
      <c r="N511" s="27">
        <f t="shared" si="154"/>
        <v>39773</v>
      </c>
    </row>
    <row r="512" spans="1:14" x14ac:dyDescent="0.25">
      <c r="A512" s="15">
        <f t="shared" si="152"/>
        <v>2</v>
      </c>
      <c r="B512" s="20">
        <f t="shared" si="155"/>
        <v>511</v>
      </c>
      <c r="C512" s="17">
        <f t="shared" si="156"/>
        <v>95</v>
      </c>
      <c r="D512" s="17" t="str">
        <f t="shared" si="157"/>
        <v>20081125</v>
      </c>
      <c r="E512" s="20" t="str">
        <f t="shared" si="150"/>
        <v>20081125095</v>
      </c>
      <c r="F512" s="19">
        <v>15</v>
      </c>
      <c r="G512" s="19">
        <v>39</v>
      </c>
      <c r="H512" s="19">
        <v>46</v>
      </c>
      <c r="I512" s="19">
        <v>49</v>
      </c>
      <c r="J512" s="19">
        <v>4</v>
      </c>
      <c r="K512" s="19">
        <v>26</v>
      </c>
      <c r="L512" s="19">
        <v>11</v>
      </c>
      <c r="M512" s="19">
        <f t="shared" si="153"/>
        <v>190</v>
      </c>
      <c r="N512" s="27">
        <f t="shared" si="151"/>
        <v>39777</v>
      </c>
    </row>
    <row r="513" spans="1:14" x14ac:dyDescent="0.25">
      <c r="A513" s="15">
        <f t="shared" si="152"/>
        <v>5</v>
      </c>
      <c r="B513" s="20">
        <f t="shared" si="155"/>
        <v>512</v>
      </c>
      <c r="C513" s="17">
        <f t="shared" si="156"/>
        <v>96</v>
      </c>
      <c r="D513" s="17" t="str">
        <f t="shared" si="157"/>
        <v>20081128</v>
      </c>
      <c r="E513" s="20" t="str">
        <f t="shared" si="150"/>
        <v>20081128096</v>
      </c>
      <c r="F513" s="19">
        <v>5</v>
      </c>
      <c r="G513" s="19">
        <v>1</v>
      </c>
      <c r="H513" s="19">
        <v>17</v>
      </c>
      <c r="I513" s="19">
        <v>7</v>
      </c>
      <c r="J513" s="19">
        <v>16</v>
      </c>
      <c r="K513" s="19">
        <v>41</v>
      </c>
      <c r="L513" s="19">
        <v>20</v>
      </c>
      <c r="M513" s="19">
        <f t="shared" si="153"/>
        <v>107</v>
      </c>
      <c r="N513" s="27">
        <f t="shared" si="154"/>
        <v>39780</v>
      </c>
    </row>
    <row r="514" spans="1:14" x14ac:dyDescent="0.25">
      <c r="A514" s="15">
        <f t="shared" si="152"/>
        <v>2</v>
      </c>
      <c r="B514" s="20">
        <f t="shared" si="155"/>
        <v>513</v>
      </c>
      <c r="C514" s="17">
        <f t="shared" si="156"/>
        <v>97</v>
      </c>
      <c r="D514" s="17" t="str">
        <f t="shared" si="157"/>
        <v>20081202</v>
      </c>
      <c r="E514" s="20" t="str">
        <f t="shared" ref="E514:E577" si="158">CONCATENATE(D514,TEXT(C514,"000"))</f>
        <v>20081202097</v>
      </c>
      <c r="F514" s="19">
        <v>21</v>
      </c>
      <c r="G514" s="19">
        <v>7</v>
      </c>
      <c r="H514" s="19">
        <v>37</v>
      </c>
      <c r="I514" s="19">
        <v>30</v>
      </c>
      <c r="J514" s="19">
        <v>49</v>
      </c>
      <c r="K514" s="19">
        <v>29</v>
      </c>
      <c r="L514" s="19">
        <v>36</v>
      </c>
      <c r="M514" s="19">
        <f t="shared" si="153"/>
        <v>209</v>
      </c>
      <c r="N514" s="27">
        <f t="shared" ref="N514:N576" si="159">N513+4</f>
        <v>39784</v>
      </c>
    </row>
    <row r="515" spans="1:14" x14ac:dyDescent="0.25">
      <c r="A515" s="15">
        <f t="shared" ref="A515:A578" si="160">WEEKDAY(N515,2)</f>
        <v>5</v>
      </c>
      <c r="B515" s="20">
        <f t="shared" si="155"/>
        <v>514</v>
      </c>
      <c r="C515" s="17">
        <f t="shared" si="156"/>
        <v>98</v>
      </c>
      <c r="D515" s="17" t="str">
        <f t="shared" si="157"/>
        <v>20081205</v>
      </c>
      <c r="E515" s="20" t="str">
        <f t="shared" si="158"/>
        <v>20081205098</v>
      </c>
      <c r="F515" s="19">
        <v>2</v>
      </c>
      <c r="G515" s="19">
        <v>8</v>
      </c>
      <c r="H515" s="19">
        <v>44</v>
      </c>
      <c r="I515" s="19">
        <v>40</v>
      </c>
      <c r="J515" s="19">
        <v>3</v>
      </c>
      <c r="K515" s="19">
        <v>31</v>
      </c>
      <c r="L515" s="19">
        <v>45</v>
      </c>
      <c r="M515" s="19">
        <f t="shared" ref="M515:M578" si="161">SUM(F515:L515)</f>
        <v>173</v>
      </c>
      <c r="N515" s="27">
        <f t="shared" ref="N515:N577" si="162">N514+3</f>
        <v>39787</v>
      </c>
    </row>
    <row r="516" spans="1:14" x14ac:dyDescent="0.25">
      <c r="A516" s="15">
        <f t="shared" si="160"/>
        <v>2</v>
      </c>
      <c r="B516" s="20">
        <f t="shared" ref="B516:B579" si="163">B515+1</f>
        <v>515</v>
      </c>
      <c r="C516" s="17">
        <f t="shared" ref="C516:C579" si="164">C515+1</f>
        <v>99</v>
      </c>
      <c r="D516" s="17" t="str">
        <f t="shared" ref="D516:D579" si="165">CONCATENATE(TEXT(YEAR(N516),"0000"),TEXT(MONTH(N516),"00"),TEXT(DAY(N516),"00"))</f>
        <v>20081209</v>
      </c>
      <c r="E516" s="20" t="str">
        <f t="shared" si="158"/>
        <v>20081209099</v>
      </c>
      <c r="F516" s="19">
        <v>26</v>
      </c>
      <c r="G516" s="19">
        <v>16</v>
      </c>
      <c r="H516" s="19">
        <v>41</v>
      </c>
      <c r="I516" s="19">
        <v>6</v>
      </c>
      <c r="J516" s="19">
        <v>1</v>
      </c>
      <c r="K516" s="19">
        <v>5</v>
      </c>
      <c r="L516" s="19">
        <v>48</v>
      </c>
      <c r="M516" s="19">
        <f t="shared" si="161"/>
        <v>143</v>
      </c>
      <c r="N516" s="27">
        <f t="shared" si="159"/>
        <v>39791</v>
      </c>
    </row>
    <row r="517" spans="1:14" x14ac:dyDescent="0.25">
      <c r="A517" s="15">
        <f t="shared" si="160"/>
        <v>5</v>
      </c>
      <c r="B517" s="20">
        <f t="shared" si="163"/>
        <v>516</v>
      </c>
      <c r="C517" s="17">
        <f t="shared" si="164"/>
        <v>100</v>
      </c>
      <c r="D517" s="17" t="str">
        <f t="shared" si="165"/>
        <v>20081212</v>
      </c>
      <c r="E517" s="20" t="str">
        <f t="shared" si="158"/>
        <v>20081212100</v>
      </c>
      <c r="F517" s="19">
        <v>34</v>
      </c>
      <c r="G517" s="19">
        <v>28</v>
      </c>
      <c r="H517" s="19">
        <v>42</v>
      </c>
      <c r="I517" s="19">
        <v>39</v>
      </c>
      <c r="J517" s="19">
        <v>2</v>
      </c>
      <c r="K517" s="19">
        <v>36</v>
      </c>
      <c r="L517" s="19">
        <v>24</v>
      </c>
      <c r="M517" s="19">
        <f t="shared" si="161"/>
        <v>205</v>
      </c>
      <c r="N517" s="27">
        <f t="shared" si="162"/>
        <v>39794</v>
      </c>
    </row>
    <row r="518" spans="1:14" x14ac:dyDescent="0.25">
      <c r="A518" s="15">
        <f t="shared" si="160"/>
        <v>2</v>
      </c>
      <c r="B518" s="20">
        <f t="shared" si="163"/>
        <v>517</v>
      </c>
      <c r="C518" s="17">
        <f t="shared" si="164"/>
        <v>101</v>
      </c>
      <c r="D518" s="17" t="str">
        <f t="shared" si="165"/>
        <v>20081216</v>
      </c>
      <c r="E518" s="20" t="str">
        <f t="shared" si="158"/>
        <v>20081216101</v>
      </c>
      <c r="F518" s="19">
        <v>35</v>
      </c>
      <c r="G518" s="19">
        <v>40</v>
      </c>
      <c r="H518" s="19">
        <v>25</v>
      </c>
      <c r="I518" s="19">
        <v>26</v>
      </c>
      <c r="J518" s="19">
        <v>39</v>
      </c>
      <c r="K518" s="19">
        <v>14</v>
      </c>
      <c r="L518" s="19">
        <v>37</v>
      </c>
      <c r="M518" s="19">
        <f t="shared" si="161"/>
        <v>216</v>
      </c>
      <c r="N518" s="27">
        <f t="shared" si="159"/>
        <v>39798</v>
      </c>
    </row>
    <row r="519" spans="1:14" x14ac:dyDescent="0.25">
      <c r="A519" s="15">
        <f t="shared" si="160"/>
        <v>5</v>
      </c>
      <c r="B519" s="20">
        <f t="shared" si="163"/>
        <v>518</v>
      </c>
      <c r="C519" s="17">
        <f t="shared" si="164"/>
        <v>102</v>
      </c>
      <c r="D519" s="17" t="str">
        <f t="shared" si="165"/>
        <v>20081219</v>
      </c>
      <c r="E519" s="20" t="str">
        <f t="shared" si="158"/>
        <v>20081219102</v>
      </c>
      <c r="F519" s="19">
        <v>10</v>
      </c>
      <c r="G519" s="19">
        <v>30</v>
      </c>
      <c r="H519" s="19">
        <v>15</v>
      </c>
      <c r="I519" s="19">
        <v>38</v>
      </c>
      <c r="J519" s="19">
        <v>45</v>
      </c>
      <c r="K519" s="19">
        <v>3</v>
      </c>
      <c r="L519" s="19">
        <v>41</v>
      </c>
      <c r="M519" s="19">
        <f t="shared" si="161"/>
        <v>182</v>
      </c>
      <c r="N519" s="27">
        <f t="shared" si="162"/>
        <v>39801</v>
      </c>
    </row>
    <row r="520" spans="1:14" x14ac:dyDescent="0.25">
      <c r="A520" s="15">
        <f t="shared" si="160"/>
        <v>2</v>
      </c>
      <c r="B520" s="20">
        <f t="shared" si="163"/>
        <v>519</v>
      </c>
      <c r="C520" s="17">
        <f t="shared" si="164"/>
        <v>103</v>
      </c>
      <c r="D520" s="17" t="str">
        <f t="shared" si="165"/>
        <v>20081223</v>
      </c>
      <c r="E520" s="20" t="str">
        <f t="shared" si="158"/>
        <v>20081223103</v>
      </c>
      <c r="F520" s="19">
        <v>23</v>
      </c>
      <c r="G520" s="19">
        <v>45</v>
      </c>
      <c r="H520" s="19">
        <v>2</v>
      </c>
      <c r="I520" s="19">
        <v>25</v>
      </c>
      <c r="J520" s="19">
        <v>7</v>
      </c>
      <c r="K520" s="19">
        <v>39</v>
      </c>
      <c r="L520" s="19">
        <v>22</v>
      </c>
      <c r="M520" s="19">
        <f t="shared" si="161"/>
        <v>163</v>
      </c>
      <c r="N520" s="27">
        <f t="shared" si="159"/>
        <v>39805</v>
      </c>
    </row>
    <row r="521" spans="1:14" x14ac:dyDescent="0.25">
      <c r="A521" s="15">
        <f t="shared" si="160"/>
        <v>5</v>
      </c>
      <c r="B521" s="20">
        <f t="shared" si="163"/>
        <v>520</v>
      </c>
      <c r="C521" s="17">
        <f t="shared" si="164"/>
        <v>104</v>
      </c>
      <c r="D521" s="17" t="str">
        <f t="shared" si="165"/>
        <v>20081226</v>
      </c>
      <c r="E521" s="20" t="str">
        <f t="shared" si="158"/>
        <v>20081226104</v>
      </c>
      <c r="F521" s="19">
        <v>40</v>
      </c>
      <c r="G521" s="19">
        <v>18</v>
      </c>
      <c r="H521" s="19">
        <v>37</v>
      </c>
      <c r="I521" s="19">
        <v>8</v>
      </c>
      <c r="J521" s="19">
        <v>33</v>
      </c>
      <c r="K521" s="19">
        <v>15</v>
      </c>
      <c r="L521" s="19">
        <v>32</v>
      </c>
      <c r="M521" s="19">
        <f t="shared" si="161"/>
        <v>183</v>
      </c>
      <c r="N521" s="27">
        <f t="shared" si="162"/>
        <v>39808</v>
      </c>
    </row>
    <row r="522" spans="1:14" x14ac:dyDescent="0.25">
      <c r="A522" s="15">
        <f t="shared" si="160"/>
        <v>2</v>
      </c>
      <c r="B522" s="20">
        <f t="shared" si="163"/>
        <v>521</v>
      </c>
      <c r="C522" s="17">
        <f t="shared" si="164"/>
        <v>105</v>
      </c>
      <c r="D522" s="17" t="str">
        <f t="shared" si="165"/>
        <v>20081230</v>
      </c>
      <c r="E522" s="20" t="str">
        <f t="shared" si="158"/>
        <v>20081230105</v>
      </c>
      <c r="F522" s="19">
        <v>25</v>
      </c>
      <c r="G522" s="19">
        <v>9</v>
      </c>
      <c r="H522" s="19">
        <v>39</v>
      </c>
      <c r="I522" s="19">
        <v>26</v>
      </c>
      <c r="J522" s="19">
        <v>36</v>
      </c>
      <c r="K522" s="19">
        <v>3</v>
      </c>
      <c r="L522" s="19">
        <v>35</v>
      </c>
      <c r="M522" s="19">
        <f t="shared" si="161"/>
        <v>173</v>
      </c>
      <c r="N522" s="27">
        <f t="shared" si="159"/>
        <v>39812</v>
      </c>
    </row>
    <row r="523" spans="1:14" x14ac:dyDescent="0.25">
      <c r="A523" s="15">
        <f t="shared" si="160"/>
        <v>5</v>
      </c>
      <c r="B523" s="20">
        <f t="shared" si="163"/>
        <v>522</v>
      </c>
      <c r="C523" s="17">
        <v>1</v>
      </c>
      <c r="D523" s="17" t="str">
        <f t="shared" si="165"/>
        <v>20090102</v>
      </c>
      <c r="E523" s="20" t="str">
        <f t="shared" si="158"/>
        <v>20090102001</v>
      </c>
      <c r="F523" s="19">
        <v>26</v>
      </c>
      <c r="G523" s="19">
        <v>38</v>
      </c>
      <c r="H523" s="19">
        <v>6</v>
      </c>
      <c r="I523" s="19">
        <v>2</v>
      </c>
      <c r="J523" s="19">
        <v>35</v>
      </c>
      <c r="K523" s="19">
        <v>23</v>
      </c>
      <c r="L523" s="19">
        <v>11</v>
      </c>
      <c r="M523" s="19">
        <f t="shared" si="161"/>
        <v>141</v>
      </c>
      <c r="N523" s="27">
        <f t="shared" si="162"/>
        <v>39815</v>
      </c>
    </row>
    <row r="524" spans="1:14" x14ac:dyDescent="0.25">
      <c r="A524" s="15">
        <f t="shared" si="160"/>
        <v>2</v>
      </c>
      <c r="B524" s="20">
        <f t="shared" si="163"/>
        <v>523</v>
      </c>
      <c r="C524" s="17">
        <f t="shared" si="164"/>
        <v>2</v>
      </c>
      <c r="D524" s="17" t="str">
        <f t="shared" si="165"/>
        <v>20090106</v>
      </c>
      <c r="E524" s="20" t="str">
        <f t="shared" si="158"/>
        <v>20090106002</v>
      </c>
      <c r="F524" s="19">
        <v>21</v>
      </c>
      <c r="G524" s="19">
        <v>20</v>
      </c>
      <c r="H524" s="19">
        <v>15</v>
      </c>
      <c r="I524" s="19">
        <v>29</v>
      </c>
      <c r="J524" s="19">
        <v>33</v>
      </c>
      <c r="K524" s="19">
        <v>4</v>
      </c>
      <c r="L524" s="19">
        <v>16</v>
      </c>
      <c r="M524" s="19">
        <f t="shared" si="161"/>
        <v>138</v>
      </c>
      <c r="N524" s="27">
        <f t="shared" si="159"/>
        <v>39819</v>
      </c>
    </row>
    <row r="525" spans="1:14" x14ac:dyDescent="0.25">
      <c r="A525" s="15">
        <f t="shared" si="160"/>
        <v>5</v>
      </c>
      <c r="B525" s="20">
        <f t="shared" si="163"/>
        <v>524</v>
      </c>
      <c r="C525" s="17">
        <f t="shared" si="164"/>
        <v>3</v>
      </c>
      <c r="D525" s="17" t="str">
        <f t="shared" si="165"/>
        <v>20090109</v>
      </c>
      <c r="E525" s="20" t="str">
        <f t="shared" si="158"/>
        <v>20090109003</v>
      </c>
      <c r="F525" s="19">
        <v>37</v>
      </c>
      <c r="G525" s="19">
        <v>30</v>
      </c>
      <c r="H525" s="19">
        <v>45</v>
      </c>
      <c r="I525" s="19">
        <v>27</v>
      </c>
      <c r="J525" s="19">
        <v>4</v>
      </c>
      <c r="K525" s="19">
        <v>15</v>
      </c>
      <c r="L525" s="19">
        <v>19</v>
      </c>
      <c r="M525" s="19">
        <f t="shared" si="161"/>
        <v>177</v>
      </c>
      <c r="N525" s="27">
        <f t="shared" si="162"/>
        <v>39822</v>
      </c>
    </row>
    <row r="526" spans="1:14" x14ac:dyDescent="0.25">
      <c r="A526" s="15">
        <f t="shared" si="160"/>
        <v>2</v>
      </c>
      <c r="B526" s="20">
        <f t="shared" si="163"/>
        <v>525</v>
      </c>
      <c r="C526" s="17">
        <f t="shared" si="164"/>
        <v>4</v>
      </c>
      <c r="D526" s="17" t="str">
        <f t="shared" si="165"/>
        <v>20090113</v>
      </c>
      <c r="E526" s="20" t="str">
        <f t="shared" si="158"/>
        <v>20090113004</v>
      </c>
      <c r="F526" s="19">
        <v>18</v>
      </c>
      <c r="G526" s="19">
        <v>48</v>
      </c>
      <c r="H526" s="19">
        <v>47</v>
      </c>
      <c r="I526" s="19">
        <v>4</v>
      </c>
      <c r="J526" s="19">
        <v>11</v>
      </c>
      <c r="K526" s="19">
        <v>33</v>
      </c>
      <c r="L526" s="19">
        <v>30</v>
      </c>
      <c r="M526" s="19">
        <f t="shared" si="161"/>
        <v>191</v>
      </c>
      <c r="N526" s="27">
        <f t="shared" si="159"/>
        <v>39826</v>
      </c>
    </row>
    <row r="527" spans="1:14" x14ac:dyDescent="0.25">
      <c r="A527" s="15">
        <f t="shared" si="160"/>
        <v>5</v>
      </c>
      <c r="B527" s="20">
        <f t="shared" si="163"/>
        <v>526</v>
      </c>
      <c r="C527" s="17">
        <f t="shared" si="164"/>
        <v>5</v>
      </c>
      <c r="D527" s="17" t="str">
        <f t="shared" si="165"/>
        <v>20090116</v>
      </c>
      <c r="E527" s="20" t="str">
        <f t="shared" si="158"/>
        <v>20090116005</v>
      </c>
      <c r="F527" s="19">
        <v>8</v>
      </c>
      <c r="G527" s="19">
        <v>40</v>
      </c>
      <c r="H527" s="19">
        <v>24</v>
      </c>
      <c r="I527" s="19">
        <v>26</v>
      </c>
      <c r="J527" s="19">
        <v>33</v>
      </c>
      <c r="K527" s="19">
        <v>25</v>
      </c>
      <c r="L527" s="19">
        <v>13</v>
      </c>
      <c r="M527" s="19">
        <f t="shared" si="161"/>
        <v>169</v>
      </c>
      <c r="N527" s="27">
        <f t="shared" si="162"/>
        <v>39829</v>
      </c>
    </row>
    <row r="528" spans="1:14" x14ac:dyDescent="0.25">
      <c r="A528" s="15">
        <f t="shared" si="160"/>
        <v>2</v>
      </c>
      <c r="B528" s="20">
        <f t="shared" si="163"/>
        <v>527</v>
      </c>
      <c r="C528" s="17">
        <f t="shared" si="164"/>
        <v>6</v>
      </c>
      <c r="D528" s="17" t="str">
        <f t="shared" si="165"/>
        <v>20090120</v>
      </c>
      <c r="E528" s="20" t="str">
        <f t="shared" si="158"/>
        <v>20090120006</v>
      </c>
      <c r="F528" s="19">
        <v>40</v>
      </c>
      <c r="G528" s="19">
        <v>23</v>
      </c>
      <c r="H528" s="19">
        <v>22</v>
      </c>
      <c r="I528" s="19">
        <v>7</v>
      </c>
      <c r="J528" s="19">
        <v>21</v>
      </c>
      <c r="K528" s="19">
        <v>43</v>
      </c>
      <c r="L528" s="19">
        <v>34</v>
      </c>
      <c r="M528" s="19">
        <f t="shared" si="161"/>
        <v>190</v>
      </c>
      <c r="N528" s="27">
        <f t="shared" si="159"/>
        <v>39833</v>
      </c>
    </row>
    <row r="529" spans="1:14" x14ac:dyDescent="0.25">
      <c r="A529" s="15">
        <f t="shared" si="160"/>
        <v>5</v>
      </c>
      <c r="B529" s="20">
        <f t="shared" si="163"/>
        <v>528</v>
      </c>
      <c r="C529" s="17">
        <f t="shared" si="164"/>
        <v>7</v>
      </c>
      <c r="D529" s="17" t="str">
        <f t="shared" si="165"/>
        <v>20090123</v>
      </c>
      <c r="E529" s="20" t="str">
        <f t="shared" si="158"/>
        <v>20090123007</v>
      </c>
      <c r="F529" s="19">
        <v>10</v>
      </c>
      <c r="G529" s="19">
        <v>28</v>
      </c>
      <c r="H529" s="19">
        <v>11</v>
      </c>
      <c r="I529" s="19">
        <v>40</v>
      </c>
      <c r="J529" s="19">
        <v>38</v>
      </c>
      <c r="K529" s="19">
        <v>21</v>
      </c>
      <c r="L529" s="19">
        <v>29</v>
      </c>
      <c r="M529" s="19">
        <f t="shared" si="161"/>
        <v>177</v>
      </c>
      <c r="N529" s="27">
        <f t="shared" si="162"/>
        <v>39836</v>
      </c>
    </row>
    <row r="530" spans="1:14" x14ac:dyDescent="0.25">
      <c r="A530" s="15">
        <f t="shared" si="160"/>
        <v>2</v>
      </c>
      <c r="B530" s="20">
        <f t="shared" si="163"/>
        <v>529</v>
      </c>
      <c r="C530" s="17">
        <f t="shared" si="164"/>
        <v>8</v>
      </c>
      <c r="D530" s="17" t="str">
        <f t="shared" si="165"/>
        <v>20090127</v>
      </c>
      <c r="E530" s="20" t="str">
        <f t="shared" si="158"/>
        <v>20090127008</v>
      </c>
      <c r="F530" s="19">
        <v>32</v>
      </c>
      <c r="G530" s="19">
        <v>13</v>
      </c>
      <c r="H530" s="19">
        <v>27</v>
      </c>
      <c r="I530" s="19">
        <v>35</v>
      </c>
      <c r="J530" s="19">
        <v>38</v>
      </c>
      <c r="K530" s="19">
        <v>14</v>
      </c>
      <c r="L530" s="19">
        <v>48</v>
      </c>
      <c r="M530" s="19">
        <f t="shared" si="161"/>
        <v>207</v>
      </c>
      <c r="N530" s="27">
        <f t="shared" si="159"/>
        <v>39840</v>
      </c>
    </row>
    <row r="531" spans="1:14" x14ac:dyDescent="0.25">
      <c r="A531" s="15">
        <f t="shared" si="160"/>
        <v>5</v>
      </c>
      <c r="B531" s="20">
        <f t="shared" si="163"/>
        <v>530</v>
      </c>
      <c r="C531" s="17">
        <f t="shared" si="164"/>
        <v>9</v>
      </c>
      <c r="D531" s="17" t="str">
        <f t="shared" si="165"/>
        <v>20090130</v>
      </c>
      <c r="E531" s="20" t="str">
        <f t="shared" si="158"/>
        <v>20090130009</v>
      </c>
      <c r="F531" s="19">
        <v>10</v>
      </c>
      <c r="G531" s="19">
        <v>5</v>
      </c>
      <c r="H531" s="19">
        <v>41</v>
      </c>
      <c r="I531" s="19">
        <v>39</v>
      </c>
      <c r="J531" s="19">
        <v>2</v>
      </c>
      <c r="K531" s="19">
        <v>23</v>
      </c>
      <c r="L531" s="19">
        <v>48</v>
      </c>
      <c r="M531" s="19">
        <f t="shared" si="161"/>
        <v>168</v>
      </c>
      <c r="N531" s="27">
        <f t="shared" si="162"/>
        <v>39843</v>
      </c>
    </row>
    <row r="532" spans="1:14" x14ac:dyDescent="0.25">
      <c r="A532" s="15">
        <f t="shared" si="160"/>
        <v>2</v>
      </c>
      <c r="B532" s="20">
        <f t="shared" si="163"/>
        <v>531</v>
      </c>
      <c r="C532" s="17">
        <f t="shared" si="164"/>
        <v>10</v>
      </c>
      <c r="D532" s="17" t="str">
        <f t="shared" si="165"/>
        <v>20090203</v>
      </c>
      <c r="E532" s="20" t="str">
        <f t="shared" si="158"/>
        <v>20090203010</v>
      </c>
      <c r="F532" s="19">
        <v>14</v>
      </c>
      <c r="G532" s="19">
        <v>43</v>
      </c>
      <c r="H532" s="19">
        <v>3</v>
      </c>
      <c r="I532" s="19">
        <v>42</v>
      </c>
      <c r="J532" s="19">
        <v>23</v>
      </c>
      <c r="K532" s="19">
        <v>10</v>
      </c>
      <c r="L532" s="19">
        <v>34</v>
      </c>
      <c r="M532" s="19">
        <f t="shared" si="161"/>
        <v>169</v>
      </c>
      <c r="N532" s="27">
        <f t="shared" si="159"/>
        <v>39847</v>
      </c>
    </row>
    <row r="533" spans="1:14" x14ac:dyDescent="0.25">
      <c r="A533" s="15">
        <f t="shared" si="160"/>
        <v>5</v>
      </c>
      <c r="B533" s="20">
        <f t="shared" si="163"/>
        <v>532</v>
      </c>
      <c r="C533" s="17">
        <f t="shared" si="164"/>
        <v>11</v>
      </c>
      <c r="D533" s="17" t="str">
        <f t="shared" si="165"/>
        <v>20090206</v>
      </c>
      <c r="E533" s="20" t="str">
        <f t="shared" si="158"/>
        <v>20090206011</v>
      </c>
      <c r="F533" s="19">
        <v>10</v>
      </c>
      <c r="G533" s="19">
        <v>32</v>
      </c>
      <c r="H533" s="19">
        <v>7</v>
      </c>
      <c r="I533" s="19">
        <v>21</v>
      </c>
      <c r="J533" s="19">
        <v>27</v>
      </c>
      <c r="K533" s="19">
        <v>4</v>
      </c>
      <c r="L533" s="19">
        <v>37</v>
      </c>
      <c r="M533" s="19">
        <f t="shared" si="161"/>
        <v>138</v>
      </c>
      <c r="N533" s="27">
        <f t="shared" si="162"/>
        <v>39850</v>
      </c>
    </row>
    <row r="534" spans="1:14" x14ac:dyDescent="0.25">
      <c r="A534" s="15">
        <f t="shared" si="160"/>
        <v>2</v>
      </c>
      <c r="B534" s="20">
        <f t="shared" si="163"/>
        <v>533</v>
      </c>
      <c r="C534" s="17">
        <f t="shared" si="164"/>
        <v>12</v>
      </c>
      <c r="D534" s="17" t="str">
        <f t="shared" si="165"/>
        <v>20090210</v>
      </c>
      <c r="E534" s="20" t="str">
        <f t="shared" si="158"/>
        <v>20090210012</v>
      </c>
      <c r="F534" s="19">
        <v>18</v>
      </c>
      <c r="G534" s="19">
        <v>48</v>
      </c>
      <c r="H534" s="19">
        <v>12</v>
      </c>
      <c r="I534" s="19">
        <v>46</v>
      </c>
      <c r="J534" s="19">
        <v>9</v>
      </c>
      <c r="K534" s="19">
        <v>30</v>
      </c>
      <c r="L534" s="19">
        <v>42</v>
      </c>
      <c r="M534" s="19">
        <f t="shared" si="161"/>
        <v>205</v>
      </c>
      <c r="N534" s="27">
        <f t="shared" si="159"/>
        <v>39854</v>
      </c>
    </row>
    <row r="535" spans="1:14" x14ac:dyDescent="0.25">
      <c r="A535" s="15">
        <f t="shared" si="160"/>
        <v>5</v>
      </c>
      <c r="B535" s="20">
        <f t="shared" si="163"/>
        <v>534</v>
      </c>
      <c r="C535" s="17">
        <f t="shared" si="164"/>
        <v>13</v>
      </c>
      <c r="D535" s="17" t="str">
        <f t="shared" si="165"/>
        <v>20090213</v>
      </c>
      <c r="E535" s="20" t="str">
        <f t="shared" si="158"/>
        <v>20090213013</v>
      </c>
      <c r="F535" s="19">
        <v>3</v>
      </c>
      <c r="G535" s="19">
        <v>24</v>
      </c>
      <c r="H535" s="19">
        <v>2</v>
      </c>
      <c r="I535" s="19">
        <v>42</v>
      </c>
      <c r="J535" s="19">
        <v>45</v>
      </c>
      <c r="K535" s="19">
        <v>7</v>
      </c>
      <c r="L535" s="19">
        <v>10</v>
      </c>
      <c r="M535" s="19">
        <f t="shared" si="161"/>
        <v>133</v>
      </c>
      <c r="N535" s="27">
        <f t="shared" si="162"/>
        <v>39857</v>
      </c>
    </row>
    <row r="536" spans="1:14" x14ac:dyDescent="0.25">
      <c r="A536" s="15">
        <f t="shared" si="160"/>
        <v>2</v>
      </c>
      <c r="B536" s="20">
        <f t="shared" si="163"/>
        <v>535</v>
      </c>
      <c r="C536" s="17">
        <f t="shared" si="164"/>
        <v>14</v>
      </c>
      <c r="D536" s="17" t="str">
        <f t="shared" si="165"/>
        <v>20090217</v>
      </c>
      <c r="E536" s="20" t="str">
        <f t="shared" si="158"/>
        <v>20090217014</v>
      </c>
      <c r="F536" s="19">
        <v>43</v>
      </c>
      <c r="G536" s="19">
        <v>22</v>
      </c>
      <c r="H536" s="19">
        <v>36</v>
      </c>
      <c r="I536" s="19">
        <v>21</v>
      </c>
      <c r="J536" s="19">
        <v>16</v>
      </c>
      <c r="K536" s="19">
        <v>5</v>
      </c>
      <c r="L536" s="19">
        <v>28</v>
      </c>
      <c r="M536" s="19">
        <f t="shared" si="161"/>
        <v>171</v>
      </c>
      <c r="N536" s="27">
        <f t="shared" si="159"/>
        <v>39861</v>
      </c>
    </row>
    <row r="537" spans="1:14" x14ac:dyDescent="0.25">
      <c r="A537" s="15">
        <f t="shared" si="160"/>
        <v>5</v>
      </c>
      <c r="B537" s="20">
        <f t="shared" si="163"/>
        <v>536</v>
      </c>
      <c r="C537" s="17">
        <f t="shared" si="164"/>
        <v>15</v>
      </c>
      <c r="D537" s="17" t="str">
        <f t="shared" si="165"/>
        <v>20090220</v>
      </c>
      <c r="E537" s="20" t="str">
        <f t="shared" si="158"/>
        <v>20090220015</v>
      </c>
      <c r="F537" s="19">
        <v>1</v>
      </c>
      <c r="G537" s="19">
        <v>40</v>
      </c>
      <c r="H537" s="19">
        <v>13</v>
      </c>
      <c r="I537" s="19">
        <v>49</v>
      </c>
      <c r="J537" s="19">
        <v>34</v>
      </c>
      <c r="K537" s="19">
        <v>24</v>
      </c>
      <c r="L537" s="19">
        <v>37</v>
      </c>
      <c r="M537" s="19">
        <f t="shared" si="161"/>
        <v>198</v>
      </c>
      <c r="N537" s="27">
        <f t="shared" si="162"/>
        <v>39864</v>
      </c>
    </row>
    <row r="538" spans="1:14" x14ac:dyDescent="0.25">
      <c r="A538" s="15">
        <f t="shared" si="160"/>
        <v>2</v>
      </c>
      <c r="B538" s="20">
        <f t="shared" si="163"/>
        <v>537</v>
      </c>
      <c r="C538" s="17">
        <f t="shared" si="164"/>
        <v>16</v>
      </c>
      <c r="D538" s="17" t="str">
        <f t="shared" si="165"/>
        <v>20090224</v>
      </c>
      <c r="E538" s="20" t="str">
        <f t="shared" si="158"/>
        <v>20090224016</v>
      </c>
      <c r="F538" s="19">
        <v>4</v>
      </c>
      <c r="G538" s="19">
        <v>25</v>
      </c>
      <c r="H538" s="19">
        <v>38</v>
      </c>
      <c r="I538" s="19">
        <v>23</v>
      </c>
      <c r="J538" s="19">
        <v>11</v>
      </c>
      <c r="K538" s="19">
        <v>46</v>
      </c>
      <c r="L538" s="19">
        <v>17</v>
      </c>
      <c r="M538" s="19">
        <f t="shared" si="161"/>
        <v>164</v>
      </c>
      <c r="N538" s="27">
        <f t="shared" si="159"/>
        <v>39868</v>
      </c>
    </row>
    <row r="539" spans="1:14" x14ac:dyDescent="0.25">
      <c r="A539" s="15">
        <f t="shared" si="160"/>
        <v>5</v>
      </c>
      <c r="B539" s="20">
        <f t="shared" si="163"/>
        <v>538</v>
      </c>
      <c r="C539" s="17">
        <f t="shared" si="164"/>
        <v>17</v>
      </c>
      <c r="D539" s="17" t="str">
        <f t="shared" si="165"/>
        <v>20090227</v>
      </c>
      <c r="E539" s="20" t="str">
        <f t="shared" si="158"/>
        <v>20090227017</v>
      </c>
      <c r="F539" s="19">
        <v>34</v>
      </c>
      <c r="G539" s="19">
        <v>17</v>
      </c>
      <c r="H539" s="19">
        <v>26</v>
      </c>
      <c r="I539" s="19">
        <v>19</v>
      </c>
      <c r="J539" s="19">
        <v>36</v>
      </c>
      <c r="K539" s="19">
        <v>13</v>
      </c>
      <c r="L539" s="19">
        <v>2</v>
      </c>
      <c r="M539" s="19">
        <f t="shared" si="161"/>
        <v>147</v>
      </c>
      <c r="N539" s="27">
        <f t="shared" si="162"/>
        <v>39871</v>
      </c>
    </row>
    <row r="540" spans="1:14" x14ac:dyDescent="0.25">
      <c r="A540" s="15">
        <f t="shared" si="160"/>
        <v>2</v>
      </c>
      <c r="B540" s="20">
        <f t="shared" si="163"/>
        <v>539</v>
      </c>
      <c r="C540" s="17">
        <f t="shared" si="164"/>
        <v>18</v>
      </c>
      <c r="D540" s="17" t="str">
        <f t="shared" si="165"/>
        <v>20090303</v>
      </c>
      <c r="E540" s="20" t="str">
        <f t="shared" si="158"/>
        <v>20090303018</v>
      </c>
      <c r="F540" s="19">
        <v>45</v>
      </c>
      <c r="G540" s="19">
        <v>26</v>
      </c>
      <c r="H540" s="19">
        <v>7</v>
      </c>
      <c r="I540" s="19">
        <v>28</v>
      </c>
      <c r="J540" s="19">
        <v>34</v>
      </c>
      <c r="K540" s="19">
        <v>14</v>
      </c>
      <c r="L540" s="19">
        <v>9</v>
      </c>
      <c r="M540" s="19">
        <f t="shared" si="161"/>
        <v>163</v>
      </c>
      <c r="N540" s="27">
        <f t="shared" si="159"/>
        <v>39875</v>
      </c>
    </row>
    <row r="541" spans="1:14" x14ac:dyDescent="0.25">
      <c r="A541" s="15">
        <f t="shared" si="160"/>
        <v>5</v>
      </c>
      <c r="B541" s="20">
        <f t="shared" si="163"/>
        <v>540</v>
      </c>
      <c r="C541" s="17">
        <f t="shared" si="164"/>
        <v>19</v>
      </c>
      <c r="D541" s="17" t="str">
        <f t="shared" si="165"/>
        <v>20090306</v>
      </c>
      <c r="E541" s="20" t="str">
        <f t="shared" si="158"/>
        <v>20090306019</v>
      </c>
      <c r="F541" s="19">
        <v>13</v>
      </c>
      <c r="G541" s="19">
        <v>26</v>
      </c>
      <c r="H541" s="19">
        <v>31</v>
      </c>
      <c r="I541" s="19">
        <v>32</v>
      </c>
      <c r="J541" s="19">
        <v>21</v>
      </c>
      <c r="K541" s="19">
        <v>6</v>
      </c>
      <c r="L541" s="19">
        <v>30</v>
      </c>
      <c r="M541" s="19">
        <f t="shared" si="161"/>
        <v>159</v>
      </c>
      <c r="N541" s="27">
        <f t="shared" si="162"/>
        <v>39878</v>
      </c>
    </row>
    <row r="542" spans="1:14" x14ac:dyDescent="0.25">
      <c r="A542" s="15">
        <f t="shared" si="160"/>
        <v>2</v>
      </c>
      <c r="B542" s="20">
        <f t="shared" si="163"/>
        <v>541</v>
      </c>
      <c r="C542" s="17">
        <f t="shared" si="164"/>
        <v>20</v>
      </c>
      <c r="D542" s="17" t="str">
        <f t="shared" si="165"/>
        <v>20090310</v>
      </c>
      <c r="E542" s="20" t="str">
        <f t="shared" si="158"/>
        <v>20090310020</v>
      </c>
      <c r="F542" s="19">
        <v>13</v>
      </c>
      <c r="G542" s="19">
        <v>38</v>
      </c>
      <c r="H542" s="19">
        <v>28</v>
      </c>
      <c r="I542" s="19">
        <v>36</v>
      </c>
      <c r="J542" s="19">
        <v>9</v>
      </c>
      <c r="K542" s="19">
        <v>26</v>
      </c>
      <c r="L542" s="19">
        <v>46</v>
      </c>
      <c r="M542" s="19">
        <f t="shared" si="161"/>
        <v>196</v>
      </c>
      <c r="N542" s="27">
        <f t="shared" si="159"/>
        <v>39882</v>
      </c>
    </row>
    <row r="543" spans="1:14" x14ac:dyDescent="0.25">
      <c r="A543" s="15">
        <f t="shared" si="160"/>
        <v>5</v>
      </c>
      <c r="B543" s="20">
        <f t="shared" si="163"/>
        <v>542</v>
      </c>
      <c r="C543" s="17">
        <f t="shared" si="164"/>
        <v>21</v>
      </c>
      <c r="D543" s="17" t="str">
        <f t="shared" si="165"/>
        <v>20090313</v>
      </c>
      <c r="E543" s="20" t="str">
        <f t="shared" si="158"/>
        <v>20090313021</v>
      </c>
      <c r="F543" s="19">
        <v>47</v>
      </c>
      <c r="G543" s="19">
        <v>24</v>
      </c>
      <c r="H543" s="19">
        <v>46</v>
      </c>
      <c r="I543" s="19">
        <v>45</v>
      </c>
      <c r="J543" s="19">
        <v>32</v>
      </c>
      <c r="K543" s="19">
        <v>9</v>
      </c>
      <c r="L543" s="19">
        <v>33</v>
      </c>
      <c r="M543" s="19">
        <f t="shared" si="161"/>
        <v>236</v>
      </c>
      <c r="N543" s="27">
        <f t="shared" si="162"/>
        <v>39885</v>
      </c>
    </row>
    <row r="544" spans="1:14" x14ac:dyDescent="0.25">
      <c r="A544" s="15">
        <f t="shared" si="160"/>
        <v>2</v>
      </c>
      <c r="B544" s="20">
        <f t="shared" si="163"/>
        <v>543</v>
      </c>
      <c r="C544" s="17">
        <f t="shared" si="164"/>
        <v>22</v>
      </c>
      <c r="D544" s="17" t="str">
        <f t="shared" si="165"/>
        <v>20090317</v>
      </c>
      <c r="E544" s="20" t="str">
        <f t="shared" si="158"/>
        <v>20090317022</v>
      </c>
      <c r="F544" s="19">
        <v>35</v>
      </c>
      <c r="G544" s="19">
        <v>5</v>
      </c>
      <c r="H544" s="19">
        <v>23</v>
      </c>
      <c r="I544" s="19">
        <v>18</v>
      </c>
      <c r="J544" s="19">
        <v>29</v>
      </c>
      <c r="K544" s="19">
        <v>1</v>
      </c>
      <c r="L544" s="19">
        <v>27</v>
      </c>
      <c r="M544" s="19">
        <f t="shared" si="161"/>
        <v>138</v>
      </c>
      <c r="N544" s="27">
        <f t="shared" si="159"/>
        <v>39889</v>
      </c>
    </row>
    <row r="545" spans="1:14" x14ac:dyDescent="0.25">
      <c r="A545" s="15">
        <f t="shared" si="160"/>
        <v>5</v>
      </c>
      <c r="B545" s="20">
        <f t="shared" si="163"/>
        <v>544</v>
      </c>
      <c r="C545" s="17">
        <f t="shared" si="164"/>
        <v>23</v>
      </c>
      <c r="D545" s="17" t="str">
        <f t="shared" si="165"/>
        <v>20090320</v>
      </c>
      <c r="E545" s="20" t="str">
        <f t="shared" si="158"/>
        <v>20090320023</v>
      </c>
      <c r="F545" s="19">
        <v>31</v>
      </c>
      <c r="G545" s="19">
        <v>18</v>
      </c>
      <c r="H545" s="19">
        <v>7</v>
      </c>
      <c r="I545" s="19">
        <v>11</v>
      </c>
      <c r="J545" s="19">
        <v>2</v>
      </c>
      <c r="K545" s="19">
        <v>9</v>
      </c>
      <c r="L545" s="19">
        <v>5</v>
      </c>
      <c r="M545" s="19">
        <f t="shared" si="161"/>
        <v>83</v>
      </c>
      <c r="N545" s="27">
        <f t="shared" si="162"/>
        <v>39892</v>
      </c>
    </row>
    <row r="546" spans="1:14" x14ac:dyDescent="0.25">
      <c r="A546" s="15">
        <f t="shared" si="160"/>
        <v>2</v>
      </c>
      <c r="B546" s="20">
        <f t="shared" si="163"/>
        <v>545</v>
      </c>
      <c r="C546" s="17">
        <f t="shared" si="164"/>
        <v>24</v>
      </c>
      <c r="D546" s="17" t="str">
        <f t="shared" si="165"/>
        <v>20090324</v>
      </c>
      <c r="E546" s="20" t="str">
        <f t="shared" si="158"/>
        <v>20090324024</v>
      </c>
      <c r="F546" s="19">
        <v>18</v>
      </c>
      <c r="G546" s="19">
        <v>29</v>
      </c>
      <c r="H546" s="19">
        <v>21</v>
      </c>
      <c r="I546" s="19">
        <v>25</v>
      </c>
      <c r="J546" s="19">
        <v>7</v>
      </c>
      <c r="K546" s="19">
        <v>2</v>
      </c>
      <c r="L546" s="19">
        <v>32</v>
      </c>
      <c r="M546" s="19">
        <f t="shared" si="161"/>
        <v>134</v>
      </c>
      <c r="N546" s="27">
        <f t="shared" si="159"/>
        <v>39896</v>
      </c>
    </row>
    <row r="547" spans="1:14" x14ac:dyDescent="0.25">
      <c r="A547" s="15">
        <f t="shared" si="160"/>
        <v>5</v>
      </c>
      <c r="B547" s="20">
        <f t="shared" si="163"/>
        <v>546</v>
      </c>
      <c r="C547" s="17">
        <f t="shared" si="164"/>
        <v>25</v>
      </c>
      <c r="D547" s="17" t="str">
        <f t="shared" si="165"/>
        <v>20090327</v>
      </c>
      <c r="E547" s="20" t="str">
        <f t="shared" si="158"/>
        <v>20090327025</v>
      </c>
      <c r="F547" s="19">
        <v>1</v>
      </c>
      <c r="G547" s="19">
        <v>28</v>
      </c>
      <c r="H547" s="19">
        <v>18</v>
      </c>
      <c r="I547" s="19">
        <v>34</v>
      </c>
      <c r="J547" s="19">
        <v>40</v>
      </c>
      <c r="K547" s="19">
        <v>2</v>
      </c>
      <c r="L547" s="19">
        <v>25</v>
      </c>
      <c r="M547" s="19">
        <f t="shared" si="161"/>
        <v>148</v>
      </c>
      <c r="N547" s="27">
        <f t="shared" si="162"/>
        <v>39899</v>
      </c>
    </row>
    <row r="548" spans="1:14" x14ac:dyDescent="0.25">
      <c r="A548" s="15">
        <f t="shared" si="160"/>
        <v>2</v>
      </c>
      <c r="B548" s="20">
        <f t="shared" si="163"/>
        <v>547</v>
      </c>
      <c r="C548" s="17">
        <f t="shared" si="164"/>
        <v>26</v>
      </c>
      <c r="D548" s="17" t="str">
        <f t="shared" si="165"/>
        <v>20090331</v>
      </c>
      <c r="E548" s="20" t="str">
        <f t="shared" si="158"/>
        <v>20090331026</v>
      </c>
      <c r="F548" s="19">
        <v>25</v>
      </c>
      <c r="G548" s="19">
        <v>16</v>
      </c>
      <c r="H548" s="19">
        <v>47</v>
      </c>
      <c r="I548" s="19">
        <v>31</v>
      </c>
      <c r="J548" s="19">
        <v>23</v>
      </c>
      <c r="K548" s="19">
        <v>13</v>
      </c>
      <c r="L548" s="19">
        <v>36</v>
      </c>
      <c r="M548" s="19">
        <f t="shared" si="161"/>
        <v>191</v>
      </c>
      <c r="N548" s="27">
        <f t="shared" si="159"/>
        <v>39903</v>
      </c>
    </row>
    <row r="549" spans="1:14" x14ac:dyDescent="0.25">
      <c r="A549" s="15">
        <f t="shared" si="160"/>
        <v>5</v>
      </c>
      <c r="B549" s="20">
        <f t="shared" si="163"/>
        <v>548</v>
      </c>
      <c r="C549" s="17">
        <f t="shared" si="164"/>
        <v>27</v>
      </c>
      <c r="D549" s="17" t="str">
        <f t="shared" si="165"/>
        <v>20090403</v>
      </c>
      <c r="E549" s="20" t="str">
        <f t="shared" si="158"/>
        <v>20090403027</v>
      </c>
      <c r="F549" s="19">
        <v>36</v>
      </c>
      <c r="G549" s="19">
        <v>33</v>
      </c>
      <c r="H549" s="19">
        <v>44</v>
      </c>
      <c r="I549" s="19">
        <v>6</v>
      </c>
      <c r="J549" s="19">
        <v>42</v>
      </c>
      <c r="K549" s="19">
        <v>45</v>
      </c>
      <c r="L549" s="19">
        <v>48</v>
      </c>
      <c r="M549" s="19">
        <f t="shared" si="161"/>
        <v>254</v>
      </c>
      <c r="N549" s="27">
        <f t="shared" si="162"/>
        <v>39906</v>
      </c>
    </row>
    <row r="550" spans="1:14" x14ac:dyDescent="0.25">
      <c r="A550" s="15">
        <f t="shared" si="160"/>
        <v>2</v>
      </c>
      <c r="B550" s="20">
        <f t="shared" si="163"/>
        <v>549</v>
      </c>
      <c r="C550" s="17">
        <f t="shared" si="164"/>
        <v>28</v>
      </c>
      <c r="D550" s="17" t="str">
        <f t="shared" si="165"/>
        <v>20090407</v>
      </c>
      <c r="E550" s="20" t="str">
        <f t="shared" si="158"/>
        <v>20090407028</v>
      </c>
      <c r="F550" s="19">
        <v>43</v>
      </c>
      <c r="G550" s="19">
        <v>46</v>
      </c>
      <c r="H550" s="19">
        <v>24</v>
      </c>
      <c r="I550" s="19">
        <v>12</v>
      </c>
      <c r="J550" s="19">
        <v>31</v>
      </c>
      <c r="K550" s="19">
        <v>3</v>
      </c>
      <c r="L550" s="19">
        <v>42</v>
      </c>
      <c r="M550" s="19">
        <f t="shared" si="161"/>
        <v>201</v>
      </c>
      <c r="N550" s="27">
        <f t="shared" si="159"/>
        <v>39910</v>
      </c>
    </row>
    <row r="551" spans="1:14" x14ac:dyDescent="0.25">
      <c r="A551" s="15">
        <f t="shared" si="160"/>
        <v>5</v>
      </c>
      <c r="B551" s="20">
        <f t="shared" si="163"/>
        <v>550</v>
      </c>
      <c r="C551" s="17">
        <f t="shared" si="164"/>
        <v>29</v>
      </c>
      <c r="D551" s="17" t="str">
        <f t="shared" si="165"/>
        <v>20090410</v>
      </c>
      <c r="E551" s="20" t="str">
        <f t="shared" si="158"/>
        <v>20090410029</v>
      </c>
      <c r="F551" s="19">
        <v>25</v>
      </c>
      <c r="G551" s="19">
        <v>36</v>
      </c>
      <c r="H551" s="19">
        <v>40</v>
      </c>
      <c r="I551" s="19">
        <v>44</v>
      </c>
      <c r="J551" s="19">
        <v>8</v>
      </c>
      <c r="K551" s="19">
        <v>9</v>
      </c>
      <c r="L551" s="19">
        <v>17</v>
      </c>
      <c r="M551" s="19">
        <f t="shared" si="161"/>
        <v>179</v>
      </c>
      <c r="N551" s="27">
        <f t="shared" si="162"/>
        <v>39913</v>
      </c>
    </row>
    <row r="552" spans="1:14" x14ac:dyDescent="0.25">
      <c r="A552" s="15">
        <f t="shared" si="160"/>
        <v>2</v>
      </c>
      <c r="B552" s="20">
        <f t="shared" si="163"/>
        <v>551</v>
      </c>
      <c r="C552" s="17">
        <f t="shared" si="164"/>
        <v>30</v>
      </c>
      <c r="D552" s="17" t="str">
        <f t="shared" si="165"/>
        <v>20090414</v>
      </c>
      <c r="E552" s="20" t="str">
        <f t="shared" si="158"/>
        <v>20090414030</v>
      </c>
      <c r="F552" s="19">
        <v>45</v>
      </c>
      <c r="G552" s="19">
        <v>23</v>
      </c>
      <c r="H552" s="19">
        <v>8</v>
      </c>
      <c r="I552" s="19">
        <v>48</v>
      </c>
      <c r="J552" s="19">
        <v>2</v>
      </c>
      <c r="K552" s="19">
        <v>20</v>
      </c>
      <c r="L552" s="19">
        <v>43</v>
      </c>
      <c r="M552" s="19">
        <f t="shared" si="161"/>
        <v>189</v>
      </c>
      <c r="N552" s="27">
        <f t="shared" si="159"/>
        <v>39917</v>
      </c>
    </row>
    <row r="553" spans="1:14" x14ac:dyDescent="0.25">
      <c r="A553" s="15">
        <f t="shared" si="160"/>
        <v>5</v>
      </c>
      <c r="B553" s="20">
        <f t="shared" si="163"/>
        <v>552</v>
      </c>
      <c r="C553" s="17">
        <f t="shared" si="164"/>
        <v>31</v>
      </c>
      <c r="D553" s="17" t="str">
        <f t="shared" si="165"/>
        <v>20090417</v>
      </c>
      <c r="E553" s="20" t="str">
        <f t="shared" si="158"/>
        <v>20090417031</v>
      </c>
      <c r="F553" s="19">
        <v>24</v>
      </c>
      <c r="G553" s="19">
        <v>38</v>
      </c>
      <c r="H553" s="19">
        <v>21</v>
      </c>
      <c r="I553" s="19">
        <v>18</v>
      </c>
      <c r="J553" s="19">
        <v>22</v>
      </c>
      <c r="K553" s="19">
        <v>16</v>
      </c>
      <c r="L553" s="19">
        <v>34</v>
      </c>
      <c r="M553" s="19">
        <f t="shared" si="161"/>
        <v>173</v>
      </c>
      <c r="N553" s="27">
        <f t="shared" si="162"/>
        <v>39920</v>
      </c>
    </row>
    <row r="554" spans="1:14" x14ac:dyDescent="0.25">
      <c r="A554" s="15">
        <f t="shared" si="160"/>
        <v>2</v>
      </c>
      <c r="B554" s="20">
        <f t="shared" si="163"/>
        <v>553</v>
      </c>
      <c r="C554" s="17">
        <f t="shared" si="164"/>
        <v>32</v>
      </c>
      <c r="D554" s="17" t="str">
        <f t="shared" si="165"/>
        <v>20090421</v>
      </c>
      <c r="E554" s="20" t="str">
        <f t="shared" si="158"/>
        <v>20090421032</v>
      </c>
      <c r="F554" s="19">
        <v>16</v>
      </c>
      <c r="G554" s="19">
        <v>36</v>
      </c>
      <c r="H554" s="19">
        <v>11</v>
      </c>
      <c r="I554" s="19">
        <v>27</v>
      </c>
      <c r="J554" s="19">
        <v>39</v>
      </c>
      <c r="K554" s="19">
        <v>23</v>
      </c>
      <c r="L554" s="19">
        <v>35</v>
      </c>
      <c r="M554" s="19">
        <f t="shared" si="161"/>
        <v>187</v>
      </c>
      <c r="N554" s="27">
        <f t="shared" si="159"/>
        <v>39924</v>
      </c>
    </row>
    <row r="555" spans="1:14" x14ac:dyDescent="0.25">
      <c r="A555" s="15">
        <f t="shared" si="160"/>
        <v>5</v>
      </c>
      <c r="B555" s="20">
        <f t="shared" si="163"/>
        <v>554</v>
      </c>
      <c r="C555" s="17">
        <f t="shared" si="164"/>
        <v>33</v>
      </c>
      <c r="D555" s="17" t="str">
        <f t="shared" si="165"/>
        <v>20090424</v>
      </c>
      <c r="E555" s="20" t="str">
        <f t="shared" si="158"/>
        <v>20090424033</v>
      </c>
      <c r="F555" s="19">
        <v>24</v>
      </c>
      <c r="G555" s="19">
        <v>20</v>
      </c>
      <c r="H555" s="19">
        <v>49</v>
      </c>
      <c r="I555" s="19">
        <v>42</v>
      </c>
      <c r="J555" s="19">
        <v>13</v>
      </c>
      <c r="K555" s="19">
        <v>21</v>
      </c>
      <c r="L555" s="19">
        <v>43</v>
      </c>
      <c r="M555" s="19">
        <f t="shared" si="161"/>
        <v>212</v>
      </c>
      <c r="N555" s="27">
        <f t="shared" si="162"/>
        <v>39927</v>
      </c>
    </row>
    <row r="556" spans="1:14" x14ac:dyDescent="0.25">
      <c r="A556" s="15">
        <f t="shared" si="160"/>
        <v>2</v>
      </c>
      <c r="B556" s="20">
        <f t="shared" si="163"/>
        <v>555</v>
      </c>
      <c r="C556" s="17">
        <f t="shared" si="164"/>
        <v>34</v>
      </c>
      <c r="D556" s="17" t="str">
        <f t="shared" si="165"/>
        <v>20090428</v>
      </c>
      <c r="E556" s="20" t="str">
        <f t="shared" si="158"/>
        <v>20090428034</v>
      </c>
      <c r="F556" s="19">
        <v>18</v>
      </c>
      <c r="G556" s="19">
        <v>5</v>
      </c>
      <c r="H556" s="19">
        <v>39</v>
      </c>
      <c r="I556" s="19">
        <v>30</v>
      </c>
      <c r="J556" s="19">
        <v>43</v>
      </c>
      <c r="K556" s="19">
        <v>29</v>
      </c>
      <c r="L556" s="19">
        <v>26</v>
      </c>
      <c r="M556" s="19">
        <f t="shared" si="161"/>
        <v>190</v>
      </c>
      <c r="N556" s="27">
        <f t="shared" si="159"/>
        <v>39931</v>
      </c>
    </row>
    <row r="557" spans="1:14" x14ac:dyDescent="0.25">
      <c r="A557" s="15">
        <f t="shared" si="160"/>
        <v>5</v>
      </c>
      <c r="B557" s="20">
        <f t="shared" si="163"/>
        <v>556</v>
      </c>
      <c r="C557" s="17">
        <f t="shared" si="164"/>
        <v>35</v>
      </c>
      <c r="D557" s="17" t="str">
        <f t="shared" si="165"/>
        <v>20090501</v>
      </c>
      <c r="E557" s="20" t="str">
        <f t="shared" si="158"/>
        <v>20090501035</v>
      </c>
      <c r="F557" s="19">
        <v>5</v>
      </c>
      <c r="G557" s="19">
        <v>38</v>
      </c>
      <c r="H557" s="19">
        <v>21</v>
      </c>
      <c r="I557" s="19">
        <v>43</v>
      </c>
      <c r="J557" s="19">
        <v>3</v>
      </c>
      <c r="K557" s="19">
        <v>26</v>
      </c>
      <c r="L557" s="19">
        <v>32</v>
      </c>
      <c r="M557" s="19">
        <f t="shared" si="161"/>
        <v>168</v>
      </c>
      <c r="N557" s="27">
        <f t="shared" si="162"/>
        <v>39934</v>
      </c>
    </row>
    <row r="558" spans="1:14" x14ac:dyDescent="0.25">
      <c r="A558" s="15">
        <f t="shared" si="160"/>
        <v>2</v>
      </c>
      <c r="B558" s="20">
        <f t="shared" si="163"/>
        <v>557</v>
      </c>
      <c r="C558" s="17">
        <f t="shared" si="164"/>
        <v>36</v>
      </c>
      <c r="D558" s="17" t="str">
        <f t="shared" si="165"/>
        <v>20090505</v>
      </c>
      <c r="E558" s="20" t="str">
        <f t="shared" si="158"/>
        <v>20090505036</v>
      </c>
      <c r="F558" s="19">
        <v>45</v>
      </c>
      <c r="G558" s="19">
        <v>37</v>
      </c>
      <c r="H558" s="19">
        <v>12</v>
      </c>
      <c r="I558" s="19">
        <v>15</v>
      </c>
      <c r="J558" s="19">
        <v>42</v>
      </c>
      <c r="K558" s="19">
        <v>47</v>
      </c>
      <c r="L558" s="19">
        <v>29</v>
      </c>
      <c r="M558" s="19">
        <f t="shared" si="161"/>
        <v>227</v>
      </c>
      <c r="N558" s="27">
        <f t="shared" si="159"/>
        <v>39938</v>
      </c>
    </row>
    <row r="559" spans="1:14" x14ac:dyDescent="0.25">
      <c r="A559" s="15">
        <f t="shared" si="160"/>
        <v>5</v>
      </c>
      <c r="B559" s="20">
        <f t="shared" si="163"/>
        <v>558</v>
      </c>
      <c r="C559" s="17">
        <f t="shared" si="164"/>
        <v>37</v>
      </c>
      <c r="D559" s="17" t="str">
        <f t="shared" si="165"/>
        <v>20090508</v>
      </c>
      <c r="E559" s="20" t="str">
        <f t="shared" si="158"/>
        <v>20090508037</v>
      </c>
      <c r="F559" s="19">
        <v>3</v>
      </c>
      <c r="G559" s="19">
        <v>22</v>
      </c>
      <c r="H559" s="19">
        <v>19</v>
      </c>
      <c r="I559" s="19">
        <v>24</v>
      </c>
      <c r="J559" s="19">
        <v>31</v>
      </c>
      <c r="K559" s="19">
        <v>15</v>
      </c>
      <c r="L559" s="19">
        <v>5</v>
      </c>
      <c r="M559" s="19">
        <f t="shared" si="161"/>
        <v>119</v>
      </c>
      <c r="N559" s="27">
        <f t="shared" si="162"/>
        <v>39941</v>
      </c>
    </row>
    <row r="560" spans="1:14" x14ac:dyDescent="0.25">
      <c r="A560" s="15">
        <f t="shared" si="160"/>
        <v>2</v>
      </c>
      <c r="B560" s="20">
        <f t="shared" si="163"/>
        <v>559</v>
      </c>
      <c r="C560" s="17">
        <f t="shared" si="164"/>
        <v>38</v>
      </c>
      <c r="D560" s="17" t="str">
        <f t="shared" si="165"/>
        <v>20090512</v>
      </c>
      <c r="E560" s="20" t="str">
        <f t="shared" si="158"/>
        <v>20090512038</v>
      </c>
      <c r="F560" s="19">
        <v>44</v>
      </c>
      <c r="G560" s="19">
        <v>20</v>
      </c>
      <c r="H560" s="19">
        <v>39</v>
      </c>
      <c r="I560" s="19">
        <v>3</v>
      </c>
      <c r="J560" s="19">
        <v>1</v>
      </c>
      <c r="K560" s="19">
        <v>26</v>
      </c>
      <c r="L560" s="19">
        <v>30</v>
      </c>
      <c r="M560" s="19">
        <f t="shared" si="161"/>
        <v>163</v>
      </c>
      <c r="N560" s="27">
        <f t="shared" si="159"/>
        <v>39945</v>
      </c>
    </row>
    <row r="561" spans="1:14" x14ac:dyDescent="0.25">
      <c r="A561" s="15">
        <f t="shared" si="160"/>
        <v>5</v>
      </c>
      <c r="B561" s="20">
        <f t="shared" si="163"/>
        <v>560</v>
      </c>
      <c r="C561" s="17">
        <f t="shared" si="164"/>
        <v>39</v>
      </c>
      <c r="D561" s="17" t="str">
        <f t="shared" si="165"/>
        <v>20090515</v>
      </c>
      <c r="E561" s="20" t="str">
        <f t="shared" si="158"/>
        <v>20090515039</v>
      </c>
      <c r="F561" s="19">
        <v>7</v>
      </c>
      <c r="G561" s="19">
        <v>18</v>
      </c>
      <c r="H561" s="19">
        <v>5</v>
      </c>
      <c r="I561" s="19">
        <v>15</v>
      </c>
      <c r="J561" s="19">
        <v>45</v>
      </c>
      <c r="K561" s="19">
        <v>14</v>
      </c>
      <c r="L561" s="19">
        <v>11</v>
      </c>
      <c r="M561" s="19">
        <f t="shared" si="161"/>
        <v>115</v>
      </c>
      <c r="N561" s="27">
        <f t="shared" si="162"/>
        <v>39948</v>
      </c>
    </row>
    <row r="562" spans="1:14" x14ac:dyDescent="0.25">
      <c r="A562" s="15">
        <f t="shared" si="160"/>
        <v>2</v>
      </c>
      <c r="B562" s="20">
        <f t="shared" si="163"/>
        <v>561</v>
      </c>
      <c r="C562" s="17">
        <f t="shared" si="164"/>
        <v>40</v>
      </c>
      <c r="D562" s="17" t="str">
        <f t="shared" si="165"/>
        <v>20090519</v>
      </c>
      <c r="E562" s="20" t="str">
        <f t="shared" si="158"/>
        <v>20090519040</v>
      </c>
      <c r="F562" s="19">
        <v>38</v>
      </c>
      <c r="G562" s="19">
        <v>46</v>
      </c>
      <c r="H562" s="19">
        <v>32</v>
      </c>
      <c r="I562" s="19">
        <v>11</v>
      </c>
      <c r="J562" s="19">
        <v>31</v>
      </c>
      <c r="K562" s="19">
        <v>48</v>
      </c>
      <c r="L562" s="19">
        <v>42</v>
      </c>
      <c r="M562" s="19">
        <f t="shared" si="161"/>
        <v>248</v>
      </c>
      <c r="N562" s="27">
        <f t="shared" si="159"/>
        <v>39952</v>
      </c>
    </row>
    <row r="563" spans="1:14" x14ac:dyDescent="0.25">
      <c r="A563" s="15">
        <f t="shared" si="160"/>
        <v>5</v>
      </c>
      <c r="B563" s="20">
        <f t="shared" si="163"/>
        <v>562</v>
      </c>
      <c r="C563" s="17">
        <f t="shared" si="164"/>
        <v>41</v>
      </c>
      <c r="D563" s="17" t="str">
        <f t="shared" si="165"/>
        <v>20090522</v>
      </c>
      <c r="E563" s="20" t="str">
        <f t="shared" si="158"/>
        <v>20090522041</v>
      </c>
      <c r="F563" s="19">
        <v>18</v>
      </c>
      <c r="G563" s="19">
        <v>1</v>
      </c>
      <c r="H563" s="19">
        <v>32</v>
      </c>
      <c r="I563" s="19">
        <v>2</v>
      </c>
      <c r="J563" s="19">
        <v>40</v>
      </c>
      <c r="K563" s="19">
        <v>16</v>
      </c>
      <c r="L563" s="19">
        <v>15</v>
      </c>
      <c r="M563" s="19">
        <f t="shared" si="161"/>
        <v>124</v>
      </c>
      <c r="N563" s="27">
        <f t="shared" si="162"/>
        <v>39955</v>
      </c>
    </row>
    <row r="564" spans="1:14" x14ac:dyDescent="0.25">
      <c r="A564" s="15">
        <f t="shared" si="160"/>
        <v>2</v>
      </c>
      <c r="B564" s="20">
        <f t="shared" si="163"/>
        <v>563</v>
      </c>
      <c r="C564" s="17">
        <f t="shared" si="164"/>
        <v>42</v>
      </c>
      <c r="D564" s="17" t="str">
        <f t="shared" si="165"/>
        <v>20090526</v>
      </c>
      <c r="E564" s="20" t="str">
        <f t="shared" si="158"/>
        <v>20090526042</v>
      </c>
      <c r="F564" s="19">
        <v>39</v>
      </c>
      <c r="G564" s="19">
        <v>8</v>
      </c>
      <c r="H564" s="19">
        <v>48</v>
      </c>
      <c r="I564" s="19">
        <v>41</v>
      </c>
      <c r="J564" s="19">
        <v>3</v>
      </c>
      <c r="K564" s="19">
        <v>33</v>
      </c>
      <c r="L564" s="19">
        <v>32</v>
      </c>
      <c r="M564" s="19">
        <f t="shared" si="161"/>
        <v>204</v>
      </c>
      <c r="N564" s="27">
        <f t="shared" si="159"/>
        <v>39959</v>
      </c>
    </row>
    <row r="565" spans="1:14" x14ac:dyDescent="0.25">
      <c r="A565" s="15">
        <f t="shared" si="160"/>
        <v>5</v>
      </c>
      <c r="B565" s="20">
        <f t="shared" si="163"/>
        <v>564</v>
      </c>
      <c r="C565" s="17">
        <f t="shared" si="164"/>
        <v>43</v>
      </c>
      <c r="D565" s="17" t="str">
        <f t="shared" si="165"/>
        <v>20090529</v>
      </c>
      <c r="E565" s="20" t="str">
        <f t="shared" si="158"/>
        <v>20090529043</v>
      </c>
      <c r="F565" s="19">
        <v>45</v>
      </c>
      <c r="G565" s="19">
        <v>36</v>
      </c>
      <c r="H565" s="19">
        <v>21</v>
      </c>
      <c r="I565" s="19">
        <v>29</v>
      </c>
      <c r="J565" s="19">
        <v>34</v>
      </c>
      <c r="K565" s="19">
        <v>30</v>
      </c>
      <c r="L565" s="19">
        <v>49</v>
      </c>
      <c r="M565" s="19">
        <f t="shared" si="161"/>
        <v>244</v>
      </c>
      <c r="N565" s="27">
        <f t="shared" si="162"/>
        <v>39962</v>
      </c>
    </row>
    <row r="566" spans="1:14" x14ac:dyDescent="0.25">
      <c r="A566" s="15">
        <f t="shared" si="160"/>
        <v>2</v>
      </c>
      <c r="B566" s="20">
        <f t="shared" si="163"/>
        <v>565</v>
      </c>
      <c r="C566" s="17">
        <f t="shared" si="164"/>
        <v>44</v>
      </c>
      <c r="D566" s="17" t="str">
        <f t="shared" si="165"/>
        <v>20090602</v>
      </c>
      <c r="E566" s="20" t="str">
        <f t="shared" si="158"/>
        <v>20090602044</v>
      </c>
      <c r="F566" s="19">
        <v>46</v>
      </c>
      <c r="G566" s="19">
        <v>11</v>
      </c>
      <c r="H566" s="19">
        <v>34</v>
      </c>
      <c r="I566" s="19">
        <v>12</v>
      </c>
      <c r="J566" s="19">
        <v>20</v>
      </c>
      <c r="K566" s="19">
        <v>28</v>
      </c>
      <c r="L566" s="19">
        <v>41</v>
      </c>
      <c r="M566" s="19">
        <f t="shared" si="161"/>
        <v>192</v>
      </c>
      <c r="N566" s="27">
        <f t="shared" si="159"/>
        <v>39966</v>
      </c>
    </row>
    <row r="567" spans="1:14" x14ac:dyDescent="0.25">
      <c r="A567" s="15">
        <f t="shared" si="160"/>
        <v>5</v>
      </c>
      <c r="B567" s="20">
        <f t="shared" si="163"/>
        <v>566</v>
      </c>
      <c r="C567" s="17">
        <f t="shared" si="164"/>
        <v>45</v>
      </c>
      <c r="D567" s="17" t="str">
        <f t="shared" si="165"/>
        <v>20090605</v>
      </c>
      <c r="E567" s="20" t="str">
        <f t="shared" si="158"/>
        <v>20090605045</v>
      </c>
      <c r="F567" s="19">
        <v>6</v>
      </c>
      <c r="G567" s="19">
        <v>27</v>
      </c>
      <c r="H567" s="19">
        <v>44</v>
      </c>
      <c r="I567" s="19">
        <v>42</v>
      </c>
      <c r="J567" s="19">
        <v>49</v>
      </c>
      <c r="K567" s="19">
        <v>23</v>
      </c>
      <c r="L567" s="19">
        <v>15</v>
      </c>
      <c r="M567" s="19">
        <f t="shared" si="161"/>
        <v>206</v>
      </c>
      <c r="N567" s="27">
        <f t="shared" si="162"/>
        <v>39969</v>
      </c>
    </row>
    <row r="568" spans="1:14" x14ac:dyDescent="0.25">
      <c r="A568" s="15">
        <f t="shared" si="160"/>
        <v>2</v>
      </c>
      <c r="B568" s="20">
        <f t="shared" si="163"/>
        <v>567</v>
      </c>
      <c r="C568" s="17">
        <f t="shared" si="164"/>
        <v>46</v>
      </c>
      <c r="D568" s="17" t="str">
        <f t="shared" si="165"/>
        <v>20090609</v>
      </c>
      <c r="E568" s="20" t="str">
        <f t="shared" si="158"/>
        <v>20090609046</v>
      </c>
      <c r="F568" s="19">
        <v>26</v>
      </c>
      <c r="G568" s="19">
        <v>44</v>
      </c>
      <c r="H568" s="19">
        <v>49</v>
      </c>
      <c r="I568" s="19">
        <v>36</v>
      </c>
      <c r="J568" s="19">
        <v>35</v>
      </c>
      <c r="K568" s="19">
        <v>27</v>
      </c>
      <c r="L568" s="19">
        <v>42</v>
      </c>
      <c r="M568" s="19">
        <f t="shared" si="161"/>
        <v>259</v>
      </c>
      <c r="N568" s="27">
        <f t="shared" si="159"/>
        <v>39973</v>
      </c>
    </row>
    <row r="569" spans="1:14" x14ac:dyDescent="0.25">
      <c r="A569" s="15">
        <f t="shared" si="160"/>
        <v>5</v>
      </c>
      <c r="B569" s="20">
        <f t="shared" si="163"/>
        <v>568</v>
      </c>
      <c r="C569" s="17">
        <f t="shared" si="164"/>
        <v>47</v>
      </c>
      <c r="D569" s="17" t="str">
        <f t="shared" si="165"/>
        <v>20090612</v>
      </c>
      <c r="E569" s="20" t="str">
        <f t="shared" si="158"/>
        <v>20090612047</v>
      </c>
      <c r="F569" s="19">
        <v>44</v>
      </c>
      <c r="G569" s="19">
        <v>43</v>
      </c>
      <c r="H569" s="19">
        <v>12</v>
      </c>
      <c r="I569" s="19">
        <v>41</v>
      </c>
      <c r="J569" s="19">
        <v>32</v>
      </c>
      <c r="K569" s="19">
        <v>13</v>
      </c>
      <c r="L569" s="19">
        <v>21</v>
      </c>
      <c r="M569" s="19">
        <f t="shared" si="161"/>
        <v>206</v>
      </c>
      <c r="N569" s="27">
        <f t="shared" si="162"/>
        <v>39976</v>
      </c>
    </row>
    <row r="570" spans="1:14" x14ac:dyDescent="0.25">
      <c r="A570" s="15">
        <f t="shared" si="160"/>
        <v>2</v>
      </c>
      <c r="B570" s="20">
        <f t="shared" si="163"/>
        <v>569</v>
      </c>
      <c r="C570" s="17">
        <f t="shared" si="164"/>
        <v>48</v>
      </c>
      <c r="D570" s="17" t="str">
        <f t="shared" si="165"/>
        <v>20090616</v>
      </c>
      <c r="E570" s="20" t="str">
        <f t="shared" si="158"/>
        <v>20090616048</v>
      </c>
      <c r="F570" s="19">
        <v>8</v>
      </c>
      <c r="G570" s="19">
        <v>5</v>
      </c>
      <c r="H570" s="19">
        <v>25</v>
      </c>
      <c r="I570" s="19">
        <v>30</v>
      </c>
      <c r="J570" s="19">
        <v>10</v>
      </c>
      <c r="K570" s="19">
        <v>3</v>
      </c>
      <c r="L570" s="19">
        <v>15</v>
      </c>
      <c r="M570" s="19">
        <f t="shared" si="161"/>
        <v>96</v>
      </c>
      <c r="N570" s="27">
        <f t="shared" si="159"/>
        <v>39980</v>
      </c>
    </row>
    <row r="571" spans="1:14" x14ac:dyDescent="0.25">
      <c r="A571" s="15">
        <f t="shared" si="160"/>
        <v>5</v>
      </c>
      <c r="B571" s="20">
        <f t="shared" si="163"/>
        <v>570</v>
      </c>
      <c r="C571" s="17">
        <f t="shared" si="164"/>
        <v>49</v>
      </c>
      <c r="D571" s="17" t="str">
        <f t="shared" si="165"/>
        <v>20090619</v>
      </c>
      <c r="E571" s="20" t="str">
        <f t="shared" si="158"/>
        <v>20090619049</v>
      </c>
      <c r="F571" s="19">
        <v>40</v>
      </c>
      <c r="G571" s="19">
        <v>23</v>
      </c>
      <c r="H571" s="19">
        <v>2</v>
      </c>
      <c r="I571" s="19">
        <v>12</v>
      </c>
      <c r="J571" s="19">
        <v>42</v>
      </c>
      <c r="K571" s="19">
        <v>19</v>
      </c>
      <c r="L571" s="19">
        <v>9</v>
      </c>
      <c r="M571" s="19">
        <f t="shared" si="161"/>
        <v>147</v>
      </c>
      <c r="N571" s="27">
        <f t="shared" si="162"/>
        <v>39983</v>
      </c>
    </row>
    <row r="572" spans="1:14" x14ac:dyDescent="0.25">
      <c r="A572" s="15">
        <f t="shared" si="160"/>
        <v>2</v>
      </c>
      <c r="B572" s="20">
        <f t="shared" si="163"/>
        <v>571</v>
      </c>
      <c r="C572" s="17">
        <f t="shared" si="164"/>
        <v>50</v>
      </c>
      <c r="D572" s="17" t="str">
        <f t="shared" si="165"/>
        <v>20090623</v>
      </c>
      <c r="E572" s="20" t="str">
        <f t="shared" si="158"/>
        <v>20090623050</v>
      </c>
      <c r="F572" s="19">
        <v>49</v>
      </c>
      <c r="G572" s="19">
        <v>43</v>
      </c>
      <c r="H572" s="19">
        <v>22</v>
      </c>
      <c r="I572" s="19">
        <v>21</v>
      </c>
      <c r="J572" s="19">
        <v>6</v>
      </c>
      <c r="K572" s="19">
        <v>29</v>
      </c>
      <c r="L572" s="19">
        <v>48</v>
      </c>
      <c r="M572" s="19">
        <f t="shared" si="161"/>
        <v>218</v>
      </c>
      <c r="N572" s="27">
        <f t="shared" si="159"/>
        <v>39987</v>
      </c>
    </row>
    <row r="573" spans="1:14" x14ac:dyDescent="0.25">
      <c r="A573" s="15">
        <f t="shared" si="160"/>
        <v>5</v>
      </c>
      <c r="B573" s="20">
        <f t="shared" si="163"/>
        <v>572</v>
      </c>
      <c r="C573" s="17">
        <f t="shared" si="164"/>
        <v>51</v>
      </c>
      <c r="D573" s="17" t="str">
        <f t="shared" si="165"/>
        <v>20090626</v>
      </c>
      <c r="E573" s="20" t="str">
        <f t="shared" si="158"/>
        <v>20090626051</v>
      </c>
      <c r="F573" s="19">
        <v>38</v>
      </c>
      <c r="G573" s="19">
        <v>6</v>
      </c>
      <c r="H573" s="19">
        <v>12</v>
      </c>
      <c r="I573" s="19">
        <v>43</v>
      </c>
      <c r="J573" s="19">
        <v>45</v>
      </c>
      <c r="K573" s="19">
        <v>33</v>
      </c>
      <c r="L573" s="19">
        <v>49</v>
      </c>
      <c r="M573" s="19">
        <f t="shared" si="161"/>
        <v>226</v>
      </c>
      <c r="N573" s="27">
        <f t="shared" si="162"/>
        <v>39990</v>
      </c>
    </row>
    <row r="574" spans="1:14" x14ac:dyDescent="0.25">
      <c r="A574" s="15">
        <f t="shared" si="160"/>
        <v>2</v>
      </c>
      <c r="B574" s="20">
        <f t="shared" si="163"/>
        <v>573</v>
      </c>
      <c r="C574" s="17">
        <f t="shared" si="164"/>
        <v>52</v>
      </c>
      <c r="D574" s="17" t="str">
        <f t="shared" si="165"/>
        <v>20090630</v>
      </c>
      <c r="E574" s="20" t="str">
        <f t="shared" si="158"/>
        <v>20090630052</v>
      </c>
      <c r="F574" s="19">
        <v>34</v>
      </c>
      <c r="G574" s="19">
        <v>26</v>
      </c>
      <c r="H574" s="19">
        <v>7</v>
      </c>
      <c r="I574" s="19">
        <v>4</v>
      </c>
      <c r="J574" s="19">
        <v>9</v>
      </c>
      <c r="K574" s="19">
        <v>21</v>
      </c>
      <c r="L574" s="19">
        <v>28</v>
      </c>
      <c r="M574" s="19">
        <f t="shared" si="161"/>
        <v>129</v>
      </c>
      <c r="N574" s="27">
        <f t="shared" si="159"/>
        <v>39994</v>
      </c>
    </row>
    <row r="575" spans="1:14" x14ac:dyDescent="0.25">
      <c r="A575" s="15">
        <f t="shared" si="160"/>
        <v>5</v>
      </c>
      <c r="B575" s="20">
        <f t="shared" si="163"/>
        <v>574</v>
      </c>
      <c r="C575" s="17">
        <f t="shared" si="164"/>
        <v>53</v>
      </c>
      <c r="D575" s="17" t="str">
        <f t="shared" si="165"/>
        <v>20090703</v>
      </c>
      <c r="E575" s="20" t="str">
        <f t="shared" si="158"/>
        <v>20090703053</v>
      </c>
      <c r="F575" s="19">
        <v>40</v>
      </c>
      <c r="G575" s="19">
        <v>41</v>
      </c>
      <c r="H575" s="19">
        <v>19</v>
      </c>
      <c r="I575" s="19">
        <v>47</v>
      </c>
      <c r="J575" s="19">
        <v>17</v>
      </c>
      <c r="K575" s="19">
        <v>32</v>
      </c>
      <c r="L575" s="19">
        <v>37</v>
      </c>
      <c r="M575" s="19">
        <f t="shared" si="161"/>
        <v>233</v>
      </c>
      <c r="N575" s="27">
        <f t="shared" si="162"/>
        <v>39997</v>
      </c>
    </row>
    <row r="576" spans="1:14" x14ac:dyDescent="0.25">
      <c r="A576" s="15">
        <f t="shared" si="160"/>
        <v>2</v>
      </c>
      <c r="B576" s="20">
        <f t="shared" si="163"/>
        <v>575</v>
      </c>
      <c r="C576" s="17">
        <f t="shared" si="164"/>
        <v>54</v>
      </c>
      <c r="D576" s="17" t="str">
        <f t="shared" si="165"/>
        <v>20090707</v>
      </c>
      <c r="E576" s="20" t="str">
        <f t="shared" si="158"/>
        <v>20090707054</v>
      </c>
      <c r="F576" s="19">
        <v>47</v>
      </c>
      <c r="G576" s="19">
        <v>31</v>
      </c>
      <c r="H576" s="19">
        <v>25</v>
      </c>
      <c r="I576" s="19">
        <v>39</v>
      </c>
      <c r="J576" s="19">
        <v>37</v>
      </c>
      <c r="K576" s="19">
        <v>2</v>
      </c>
      <c r="L576" s="19">
        <v>35</v>
      </c>
      <c r="M576" s="19">
        <f t="shared" si="161"/>
        <v>216</v>
      </c>
      <c r="N576" s="27">
        <f t="shared" si="159"/>
        <v>40001</v>
      </c>
    </row>
    <row r="577" spans="1:14" x14ac:dyDescent="0.25">
      <c r="A577" s="15">
        <f t="shared" si="160"/>
        <v>5</v>
      </c>
      <c r="B577" s="20">
        <f t="shared" si="163"/>
        <v>576</v>
      </c>
      <c r="C577" s="17">
        <f t="shared" si="164"/>
        <v>55</v>
      </c>
      <c r="D577" s="17" t="str">
        <f t="shared" si="165"/>
        <v>20090710</v>
      </c>
      <c r="E577" s="20" t="str">
        <f t="shared" si="158"/>
        <v>20090710055</v>
      </c>
      <c r="F577" s="19">
        <v>8</v>
      </c>
      <c r="G577" s="19">
        <v>46</v>
      </c>
      <c r="H577" s="19">
        <v>3</v>
      </c>
      <c r="I577" s="19">
        <v>21</v>
      </c>
      <c r="J577" s="19">
        <v>30</v>
      </c>
      <c r="K577" s="19">
        <v>26</v>
      </c>
      <c r="L577" s="19">
        <v>11</v>
      </c>
      <c r="M577" s="19">
        <f t="shared" si="161"/>
        <v>145</v>
      </c>
      <c r="N577" s="27">
        <f t="shared" si="162"/>
        <v>40004</v>
      </c>
    </row>
    <row r="578" spans="1:14" x14ac:dyDescent="0.25">
      <c r="A578" s="15">
        <f t="shared" si="160"/>
        <v>2</v>
      </c>
      <c r="B578" s="20">
        <f t="shared" si="163"/>
        <v>577</v>
      </c>
      <c r="C578" s="17">
        <f t="shared" si="164"/>
        <v>56</v>
      </c>
      <c r="D578" s="17" t="str">
        <f t="shared" si="165"/>
        <v>20090714</v>
      </c>
      <c r="E578" s="20" t="str">
        <f t="shared" ref="E578:E641" si="166">CONCATENATE(D578,TEXT(C578,"000"))</f>
        <v>20090714056</v>
      </c>
      <c r="F578" s="19">
        <v>41</v>
      </c>
      <c r="G578" s="19">
        <v>37</v>
      </c>
      <c r="H578" s="19">
        <v>44</v>
      </c>
      <c r="I578" s="19">
        <v>4</v>
      </c>
      <c r="J578" s="19">
        <v>15</v>
      </c>
      <c r="K578" s="19">
        <v>5</v>
      </c>
      <c r="L578" s="19">
        <v>8</v>
      </c>
      <c r="M578" s="19">
        <f t="shared" si="161"/>
        <v>154</v>
      </c>
      <c r="N578" s="27">
        <f t="shared" ref="N578:N640" si="167">N577+4</f>
        <v>40008</v>
      </c>
    </row>
    <row r="579" spans="1:14" x14ac:dyDescent="0.25">
      <c r="A579" s="15">
        <f t="shared" ref="A579:A642" si="168">WEEKDAY(N579,2)</f>
        <v>5</v>
      </c>
      <c r="B579" s="20">
        <f t="shared" si="163"/>
        <v>578</v>
      </c>
      <c r="C579" s="17">
        <f t="shared" si="164"/>
        <v>57</v>
      </c>
      <c r="D579" s="17" t="str">
        <f t="shared" si="165"/>
        <v>20090717</v>
      </c>
      <c r="E579" s="20" t="str">
        <f t="shared" si="166"/>
        <v>20090717057</v>
      </c>
      <c r="F579" s="19">
        <v>11</v>
      </c>
      <c r="G579" s="19">
        <v>13</v>
      </c>
      <c r="H579" s="19">
        <v>38</v>
      </c>
      <c r="I579" s="19">
        <v>16</v>
      </c>
      <c r="J579" s="19">
        <v>9</v>
      </c>
      <c r="K579" s="19">
        <v>42</v>
      </c>
      <c r="L579" s="19">
        <v>6</v>
      </c>
      <c r="M579" s="19">
        <f t="shared" ref="M579:M642" si="169">SUM(F579:L579)</f>
        <v>135</v>
      </c>
      <c r="N579" s="27">
        <f t="shared" ref="N579:N641" si="170">N578+3</f>
        <v>40011</v>
      </c>
    </row>
    <row r="580" spans="1:14" x14ac:dyDescent="0.25">
      <c r="A580" s="15">
        <f t="shared" si="168"/>
        <v>2</v>
      </c>
      <c r="B580" s="20">
        <f t="shared" ref="B580:B643" si="171">B579+1</f>
        <v>579</v>
      </c>
      <c r="C580" s="17">
        <f t="shared" ref="C580:C626" si="172">C579+1</f>
        <v>58</v>
      </c>
      <c r="D580" s="17" t="str">
        <f t="shared" ref="D580:D643" si="173">CONCATENATE(TEXT(YEAR(N580),"0000"),TEXT(MONTH(N580),"00"),TEXT(DAY(N580),"00"))</f>
        <v>20090721</v>
      </c>
      <c r="E580" s="20" t="str">
        <f t="shared" si="166"/>
        <v>20090721058</v>
      </c>
      <c r="F580" s="19">
        <v>39</v>
      </c>
      <c r="G580" s="19">
        <v>28</v>
      </c>
      <c r="H580" s="19">
        <v>48</v>
      </c>
      <c r="I580" s="19">
        <v>17</v>
      </c>
      <c r="J580" s="19">
        <v>27</v>
      </c>
      <c r="K580" s="19">
        <v>5</v>
      </c>
      <c r="L580" s="19">
        <v>44</v>
      </c>
      <c r="M580" s="19">
        <f t="shared" si="169"/>
        <v>208</v>
      </c>
      <c r="N580" s="27">
        <f t="shared" si="167"/>
        <v>40015</v>
      </c>
    </row>
    <row r="581" spans="1:14" x14ac:dyDescent="0.25">
      <c r="A581" s="15">
        <f t="shared" si="168"/>
        <v>5</v>
      </c>
      <c r="B581" s="20">
        <f t="shared" si="171"/>
        <v>580</v>
      </c>
      <c r="C581" s="17">
        <f t="shared" si="172"/>
        <v>59</v>
      </c>
      <c r="D581" s="17" t="str">
        <f t="shared" si="173"/>
        <v>20090724</v>
      </c>
      <c r="E581" s="20" t="str">
        <f t="shared" si="166"/>
        <v>20090724059</v>
      </c>
      <c r="F581" s="19">
        <v>40</v>
      </c>
      <c r="G581" s="19">
        <v>1</v>
      </c>
      <c r="H581" s="19">
        <v>7</v>
      </c>
      <c r="I581" s="19">
        <v>22</v>
      </c>
      <c r="J581" s="19">
        <v>47</v>
      </c>
      <c r="K581" s="19">
        <v>3</v>
      </c>
      <c r="L581" s="19">
        <v>15</v>
      </c>
      <c r="M581" s="19">
        <f t="shared" si="169"/>
        <v>135</v>
      </c>
      <c r="N581" s="27">
        <f t="shared" si="170"/>
        <v>40018</v>
      </c>
    </row>
    <row r="582" spans="1:14" x14ac:dyDescent="0.25">
      <c r="A582" s="15">
        <f t="shared" si="168"/>
        <v>2</v>
      </c>
      <c r="B582" s="20">
        <f t="shared" si="171"/>
        <v>581</v>
      </c>
      <c r="C582" s="17">
        <f t="shared" si="172"/>
        <v>60</v>
      </c>
      <c r="D582" s="17" t="str">
        <f t="shared" si="173"/>
        <v>20090728</v>
      </c>
      <c r="E582" s="20" t="str">
        <f t="shared" si="166"/>
        <v>20090728060</v>
      </c>
      <c r="F582" s="19">
        <v>2</v>
      </c>
      <c r="G582" s="19">
        <v>49</v>
      </c>
      <c r="H582" s="19">
        <v>13</v>
      </c>
      <c r="I582" s="19">
        <v>15</v>
      </c>
      <c r="J582" s="19">
        <v>25</v>
      </c>
      <c r="K582" s="19">
        <v>10</v>
      </c>
      <c r="L582" s="19">
        <v>4</v>
      </c>
      <c r="M582" s="19">
        <f t="shared" si="169"/>
        <v>118</v>
      </c>
      <c r="N582" s="27">
        <f t="shared" si="167"/>
        <v>40022</v>
      </c>
    </row>
    <row r="583" spans="1:14" x14ac:dyDescent="0.25">
      <c r="A583" s="15">
        <f t="shared" si="168"/>
        <v>5</v>
      </c>
      <c r="B583" s="20">
        <f t="shared" si="171"/>
        <v>582</v>
      </c>
      <c r="C583" s="17">
        <f t="shared" si="172"/>
        <v>61</v>
      </c>
      <c r="D583" s="17" t="str">
        <f t="shared" si="173"/>
        <v>20090731</v>
      </c>
      <c r="E583" s="20" t="str">
        <f t="shared" si="166"/>
        <v>20090731061</v>
      </c>
      <c r="F583" s="19">
        <v>7</v>
      </c>
      <c r="G583" s="19">
        <v>4</v>
      </c>
      <c r="H583" s="19">
        <v>10</v>
      </c>
      <c r="I583" s="19">
        <v>9</v>
      </c>
      <c r="J583" s="19">
        <v>24</v>
      </c>
      <c r="K583" s="19">
        <v>42</v>
      </c>
      <c r="L583" s="19">
        <v>41</v>
      </c>
      <c r="M583" s="19">
        <f t="shared" si="169"/>
        <v>137</v>
      </c>
      <c r="N583" s="27">
        <f t="shared" si="170"/>
        <v>40025</v>
      </c>
    </row>
    <row r="584" spans="1:14" x14ac:dyDescent="0.25">
      <c r="A584" s="15">
        <f t="shared" si="168"/>
        <v>2</v>
      </c>
      <c r="B584" s="20">
        <f t="shared" si="171"/>
        <v>583</v>
      </c>
      <c r="C584" s="17">
        <f t="shared" si="172"/>
        <v>62</v>
      </c>
      <c r="D584" s="17" t="str">
        <f t="shared" si="173"/>
        <v>20090804</v>
      </c>
      <c r="E584" s="20" t="str">
        <f t="shared" si="166"/>
        <v>20090804062</v>
      </c>
      <c r="F584" s="19">
        <v>23</v>
      </c>
      <c r="G584" s="19">
        <v>21</v>
      </c>
      <c r="H584" s="19">
        <v>27</v>
      </c>
      <c r="I584" s="19">
        <v>48</v>
      </c>
      <c r="J584" s="19">
        <v>44</v>
      </c>
      <c r="K584" s="19">
        <v>2</v>
      </c>
      <c r="L584" s="19">
        <v>30</v>
      </c>
      <c r="M584" s="19">
        <f t="shared" si="169"/>
        <v>195</v>
      </c>
      <c r="N584" s="27">
        <f t="shared" si="167"/>
        <v>40029</v>
      </c>
    </row>
    <row r="585" spans="1:14" x14ac:dyDescent="0.25">
      <c r="A585" s="15">
        <f t="shared" si="168"/>
        <v>5</v>
      </c>
      <c r="B585" s="20">
        <f t="shared" si="171"/>
        <v>584</v>
      </c>
      <c r="C585" s="17">
        <f t="shared" si="172"/>
        <v>63</v>
      </c>
      <c r="D585" s="17" t="str">
        <f t="shared" si="173"/>
        <v>20090807</v>
      </c>
      <c r="E585" s="20" t="str">
        <f t="shared" si="166"/>
        <v>20090807063</v>
      </c>
      <c r="F585" s="19">
        <v>26</v>
      </c>
      <c r="G585" s="19">
        <v>2</v>
      </c>
      <c r="H585" s="19">
        <v>31</v>
      </c>
      <c r="I585" s="19">
        <v>15</v>
      </c>
      <c r="J585" s="19">
        <v>1</v>
      </c>
      <c r="K585" s="19">
        <v>49</v>
      </c>
      <c r="L585" s="19">
        <v>43</v>
      </c>
      <c r="M585" s="19">
        <f t="shared" si="169"/>
        <v>167</v>
      </c>
      <c r="N585" s="27">
        <f t="shared" si="170"/>
        <v>40032</v>
      </c>
    </row>
    <row r="586" spans="1:14" x14ac:dyDescent="0.25">
      <c r="A586" s="15">
        <f t="shared" si="168"/>
        <v>2</v>
      </c>
      <c r="B586" s="20">
        <f t="shared" si="171"/>
        <v>585</v>
      </c>
      <c r="C586" s="17">
        <f t="shared" si="172"/>
        <v>64</v>
      </c>
      <c r="D586" s="17" t="str">
        <f t="shared" si="173"/>
        <v>20090811</v>
      </c>
      <c r="E586" s="20" t="str">
        <f t="shared" si="166"/>
        <v>20090811064</v>
      </c>
      <c r="F586" s="19">
        <v>24</v>
      </c>
      <c r="G586" s="19">
        <v>46</v>
      </c>
      <c r="H586" s="19">
        <v>27</v>
      </c>
      <c r="I586" s="19">
        <v>3</v>
      </c>
      <c r="J586" s="19">
        <v>30</v>
      </c>
      <c r="K586" s="19">
        <v>28</v>
      </c>
      <c r="L586" s="19">
        <v>42</v>
      </c>
      <c r="M586" s="19">
        <f t="shared" si="169"/>
        <v>200</v>
      </c>
      <c r="N586" s="27">
        <f t="shared" si="167"/>
        <v>40036</v>
      </c>
    </row>
    <row r="587" spans="1:14" x14ac:dyDescent="0.25">
      <c r="A587" s="15">
        <f t="shared" si="168"/>
        <v>5</v>
      </c>
      <c r="B587" s="20">
        <f t="shared" si="171"/>
        <v>586</v>
      </c>
      <c r="C587" s="17">
        <f t="shared" si="172"/>
        <v>65</v>
      </c>
      <c r="D587" s="17" t="str">
        <f t="shared" si="173"/>
        <v>20090814</v>
      </c>
      <c r="E587" s="20" t="str">
        <f t="shared" si="166"/>
        <v>20090814065</v>
      </c>
      <c r="F587" s="19">
        <v>39</v>
      </c>
      <c r="G587" s="19">
        <v>8</v>
      </c>
      <c r="H587" s="19">
        <v>4</v>
      </c>
      <c r="I587" s="19">
        <v>26</v>
      </c>
      <c r="J587" s="19">
        <v>15</v>
      </c>
      <c r="K587" s="19">
        <v>49</v>
      </c>
      <c r="L587" s="19">
        <v>34</v>
      </c>
      <c r="M587" s="19">
        <f t="shared" si="169"/>
        <v>175</v>
      </c>
      <c r="N587" s="27">
        <f t="shared" si="170"/>
        <v>40039</v>
      </c>
    </row>
    <row r="588" spans="1:14" x14ac:dyDescent="0.25">
      <c r="A588" s="15">
        <f t="shared" si="168"/>
        <v>2</v>
      </c>
      <c r="B588" s="20">
        <f t="shared" si="171"/>
        <v>587</v>
      </c>
      <c r="C588" s="17">
        <f t="shared" si="172"/>
        <v>66</v>
      </c>
      <c r="D588" s="17" t="str">
        <f t="shared" si="173"/>
        <v>20090818</v>
      </c>
      <c r="E588" s="20" t="str">
        <f t="shared" si="166"/>
        <v>20090818066</v>
      </c>
      <c r="F588" s="19">
        <v>18</v>
      </c>
      <c r="G588" s="19">
        <v>47</v>
      </c>
      <c r="H588" s="19">
        <v>31</v>
      </c>
      <c r="I588" s="19">
        <v>11</v>
      </c>
      <c r="J588" s="19">
        <v>46</v>
      </c>
      <c r="K588" s="19">
        <v>12</v>
      </c>
      <c r="L588" s="19">
        <v>27</v>
      </c>
      <c r="M588" s="19">
        <f t="shared" si="169"/>
        <v>192</v>
      </c>
      <c r="N588" s="27">
        <f t="shared" si="167"/>
        <v>40043</v>
      </c>
    </row>
    <row r="589" spans="1:14" x14ac:dyDescent="0.25">
      <c r="A589" s="15">
        <f t="shared" si="168"/>
        <v>5</v>
      </c>
      <c r="B589" s="20">
        <f t="shared" si="171"/>
        <v>588</v>
      </c>
      <c r="C589" s="17">
        <f t="shared" si="172"/>
        <v>67</v>
      </c>
      <c r="D589" s="17" t="str">
        <f t="shared" si="173"/>
        <v>20090821</v>
      </c>
      <c r="E589" s="20" t="str">
        <f t="shared" si="166"/>
        <v>20090821067</v>
      </c>
      <c r="F589" s="19">
        <v>42</v>
      </c>
      <c r="G589" s="19">
        <v>32</v>
      </c>
      <c r="H589" s="19">
        <v>37</v>
      </c>
      <c r="I589" s="19">
        <v>11</v>
      </c>
      <c r="J589" s="19">
        <v>13</v>
      </c>
      <c r="K589" s="19">
        <v>43</v>
      </c>
      <c r="L589" s="19">
        <v>20</v>
      </c>
      <c r="M589" s="19">
        <f t="shared" si="169"/>
        <v>198</v>
      </c>
      <c r="N589" s="27">
        <f t="shared" si="170"/>
        <v>40046</v>
      </c>
    </row>
    <row r="590" spans="1:14" x14ac:dyDescent="0.25">
      <c r="A590" s="15">
        <f t="shared" si="168"/>
        <v>2</v>
      </c>
      <c r="B590" s="20">
        <f t="shared" si="171"/>
        <v>589</v>
      </c>
      <c r="C590" s="17">
        <f t="shared" si="172"/>
        <v>68</v>
      </c>
      <c r="D590" s="17" t="str">
        <f t="shared" si="173"/>
        <v>20090825</v>
      </c>
      <c r="E590" s="20" t="str">
        <f t="shared" si="166"/>
        <v>20090825068</v>
      </c>
      <c r="F590" s="19">
        <v>38</v>
      </c>
      <c r="G590" s="19">
        <v>9</v>
      </c>
      <c r="H590" s="19">
        <v>1</v>
      </c>
      <c r="I590" s="19">
        <v>7</v>
      </c>
      <c r="J590" s="19">
        <v>21</v>
      </c>
      <c r="K590" s="19">
        <v>15</v>
      </c>
      <c r="L590" s="19">
        <v>31</v>
      </c>
      <c r="M590" s="19">
        <f t="shared" si="169"/>
        <v>122</v>
      </c>
      <c r="N590" s="27">
        <f t="shared" si="167"/>
        <v>40050</v>
      </c>
    </row>
    <row r="591" spans="1:14" x14ac:dyDescent="0.25">
      <c r="A591" s="15">
        <f t="shared" si="168"/>
        <v>5</v>
      </c>
      <c r="B591" s="20">
        <f t="shared" si="171"/>
        <v>590</v>
      </c>
      <c r="C591" s="17">
        <f t="shared" si="172"/>
        <v>69</v>
      </c>
      <c r="D591" s="17" t="str">
        <f t="shared" si="173"/>
        <v>20090828</v>
      </c>
      <c r="E591" s="20" t="str">
        <f t="shared" si="166"/>
        <v>20090828069</v>
      </c>
      <c r="F591" s="19">
        <v>39</v>
      </c>
      <c r="G591" s="19">
        <v>23</v>
      </c>
      <c r="H591" s="19">
        <v>45</v>
      </c>
      <c r="I591" s="19">
        <v>44</v>
      </c>
      <c r="J591" s="19">
        <v>12</v>
      </c>
      <c r="K591" s="19">
        <v>48</v>
      </c>
      <c r="L591" s="19">
        <v>47</v>
      </c>
      <c r="M591" s="19">
        <f t="shared" si="169"/>
        <v>258</v>
      </c>
      <c r="N591" s="27">
        <f t="shared" si="170"/>
        <v>40053</v>
      </c>
    </row>
    <row r="592" spans="1:14" x14ac:dyDescent="0.25">
      <c r="A592" s="15">
        <f t="shared" si="168"/>
        <v>2</v>
      </c>
      <c r="B592" s="20">
        <f t="shared" si="171"/>
        <v>591</v>
      </c>
      <c r="C592" s="17">
        <f t="shared" si="172"/>
        <v>70</v>
      </c>
      <c r="D592" s="17" t="str">
        <f t="shared" si="173"/>
        <v>20090901</v>
      </c>
      <c r="E592" s="20" t="str">
        <f t="shared" si="166"/>
        <v>20090901070</v>
      </c>
      <c r="F592" s="19">
        <v>26</v>
      </c>
      <c r="G592" s="19">
        <v>8</v>
      </c>
      <c r="H592" s="19">
        <v>19</v>
      </c>
      <c r="I592" s="19">
        <v>36</v>
      </c>
      <c r="J592" s="19">
        <v>12</v>
      </c>
      <c r="K592" s="19">
        <v>7</v>
      </c>
      <c r="L592" s="19">
        <v>9</v>
      </c>
      <c r="M592" s="19">
        <f t="shared" si="169"/>
        <v>117</v>
      </c>
      <c r="N592" s="27">
        <f t="shared" si="167"/>
        <v>40057</v>
      </c>
    </row>
    <row r="593" spans="1:14" x14ac:dyDescent="0.25">
      <c r="A593" s="15">
        <f t="shared" si="168"/>
        <v>5</v>
      </c>
      <c r="B593" s="20">
        <f t="shared" si="171"/>
        <v>592</v>
      </c>
      <c r="C593" s="17">
        <f t="shared" si="172"/>
        <v>71</v>
      </c>
      <c r="D593" s="17" t="str">
        <f t="shared" si="173"/>
        <v>20090904</v>
      </c>
      <c r="E593" s="20" t="str">
        <f t="shared" si="166"/>
        <v>20090904071</v>
      </c>
      <c r="F593" s="19">
        <v>40</v>
      </c>
      <c r="G593" s="19">
        <v>5</v>
      </c>
      <c r="H593" s="19">
        <v>49</v>
      </c>
      <c r="I593" s="19">
        <v>31</v>
      </c>
      <c r="J593" s="19">
        <v>28</v>
      </c>
      <c r="K593" s="19">
        <v>36</v>
      </c>
      <c r="L593" s="19">
        <v>20</v>
      </c>
      <c r="M593" s="19">
        <f t="shared" si="169"/>
        <v>209</v>
      </c>
      <c r="N593" s="27">
        <f t="shared" si="170"/>
        <v>40060</v>
      </c>
    </row>
    <row r="594" spans="1:14" x14ac:dyDescent="0.25">
      <c r="A594" s="15">
        <f t="shared" si="168"/>
        <v>2</v>
      </c>
      <c r="B594" s="20">
        <f t="shared" si="171"/>
        <v>593</v>
      </c>
      <c r="C594" s="17">
        <f t="shared" si="172"/>
        <v>72</v>
      </c>
      <c r="D594" s="17" t="str">
        <f t="shared" si="173"/>
        <v>20090908</v>
      </c>
      <c r="E594" s="20" t="str">
        <f t="shared" si="166"/>
        <v>20090908072</v>
      </c>
      <c r="F594" s="19">
        <v>12</v>
      </c>
      <c r="G594" s="19">
        <v>15</v>
      </c>
      <c r="H594" s="19">
        <v>19</v>
      </c>
      <c r="I594" s="19">
        <v>8</v>
      </c>
      <c r="J594" s="19">
        <v>11</v>
      </c>
      <c r="K594" s="19">
        <v>20</v>
      </c>
      <c r="L594" s="19">
        <v>34</v>
      </c>
      <c r="M594" s="19">
        <f t="shared" si="169"/>
        <v>119</v>
      </c>
      <c r="N594" s="27">
        <f t="shared" si="167"/>
        <v>40064</v>
      </c>
    </row>
    <row r="595" spans="1:14" x14ac:dyDescent="0.25">
      <c r="A595" s="15">
        <f t="shared" si="168"/>
        <v>5</v>
      </c>
      <c r="B595" s="20">
        <f t="shared" si="171"/>
        <v>594</v>
      </c>
      <c r="C595" s="17">
        <f t="shared" si="172"/>
        <v>73</v>
      </c>
      <c r="D595" s="17" t="str">
        <f t="shared" si="173"/>
        <v>20090911</v>
      </c>
      <c r="E595" s="20" t="str">
        <f t="shared" si="166"/>
        <v>20090911073</v>
      </c>
      <c r="F595" s="19">
        <v>33</v>
      </c>
      <c r="G595" s="19">
        <v>48</v>
      </c>
      <c r="H595" s="19">
        <v>16</v>
      </c>
      <c r="I595" s="19">
        <v>18</v>
      </c>
      <c r="J595" s="19">
        <v>31</v>
      </c>
      <c r="K595" s="19">
        <v>10</v>
      </c>
      <c r="L595" s="19">
        <v>7</v>
      </c>
      <c r="M595" s="19">
        <f t="shared" si="169"/>
        <v>163</v>
      </c>
      <c r="N595" s="27">
        <f t="shared" si="170"/>
        <v>40067</v>
      </c>
    </row>
    <row r="596" spans="1:14" x14ac:dyDescent="0.25">
      <c r="A596" s="15">
        <f t="shared" si="168"/>
        <v>2</v>
      </c>
      <c r="B596" s="20">
        <f t="shared" si="171"/>
        <v>595</v>
      </c>
      <c r="C596" s="17">
        <f t="shared" si="172"/>
        <v>74</v>
      </c>
      <c r="D596" s="17" t="str">
        <f t="shared" si="173"/>
        <v>20090915</v>
      </c>
      <c r="E596" s="20" t="str">
        <f t="shared" si="166"/>
        <v>20090915074</v>
      </c>
      <c r="F596" s="19">
        <v>36</v>
      </c>
      <c r="G596" s="19">
        <v>2</v>
      </c>
      <c r="H596" s="19">
        <v>4</v>
      </c>
      <c r="I596" s="19">
        <v>43</v>
      </c>
      <c r="J596" s="19">
        <v>48</v>
      </c>
      <c r="K596" s="19">
        <v>26</v>
      </c>
      <c r="L596" s="19">
        <v>30</v>
      </c>
      <c r="M596" s="19">
        <f t="shared" si="169"/>
        <v>189</v>
      </c>
      <c r="N596" s="27">
        <f t="shared" si="167"/>
        <v>40071</v>
      </c>
    </row>
    <row r="597" spans="1:14" x14ac:dyDescent="0.25">
      <c r="A597" s="15">
        <f t="shared" si="168"/>
        <v>5</v>
      </c>
      <c r="B597" s="20">
        <f t="shared" si="171"/>
        <v>596</v>
      </c>
      <c r="C597" s="17">
        <f t="shared" si="172"/>
        <v>75</v>
      </c>
      <c r="D597" s="17" t="str">
        <f t="shared" si="173"/>
        <v>20090918</v>
      </c>
      <c r="E597" s="20" t="str">
        <f t="shared" si="166"/>
        <v>20090918075</v>
      </c>
      <c r="F597" s="19">
        <v>38</v>
      </c>
      <c r="G597" s="19">
        <v>2</v>
      </c>
      <c r="H597" s="19">
        <v>8</v>
      </c>
      <c r="I597" s="19">
        <v>9</v>
      </c>
      <c r="J597" s="19">
        <v>4</v>
      </c>
      <c r="K597" s="19">
        <v>26</v>
      </c>
      <c r="L597" s="19">
        <v>23</v>
      </c>
      <c r="M597" s="19">
        <f t="shared" si="169"/>
        <v>110</v>
      </c>
      <c r="N597" s="27">
        <f t="shared" si="170"/>
        <v>40074</v>
      </c>
    </row>
    <row r="598" spans="1:14" x14ac:dyDescent="0.25">
      <c r="A598" s="15">
        <f t="shared" si="168"/>
        <v>2</v>
      </c>
      <c r="B598" s="20">
        <f t="shared" si="171"/>
        <v>597</v>
      </c>
      <c r="C598" s="17">
        <f t="shared" si="172"/>
        <v>76</v>
      </c>
      <c r="D598" s="17" t="str">
        <f t="shared" si="173"/>
        <v>20090922</v>
      </c>
      <c r="E598" s="20" t="str">
        <f t="shared" si="166"/>
        <v>20090922076</v>
      </c>
      <c r="F598" s="19">
        <v>21</v>
      </c>
      <c r="G598" s="19">
        <v>8</v>
      </c>
      <c r="H598" s="19">
        <v>12</v>
      </c>
      <c r="I598" s="19">
        <v>3</v>
      </c>
      <c r="J598" s="19">
        <v>42</v>
      </c>
      <c r="K598" s="19">
        <v>4</v>
      </c>
      <c r="L598" s="19">
        <v>48</v>
      </c>
      <c r="M598" s="19">
        <f t="shared" si="169"/>
        <v>138</v>
      </c>
      <c r="N598" s="27">
        <f t="shared" si="167"/>
        <v>40078</v>
      </c>
    </row>
    <row r="599" spans="1:14" x14ac:dyDescent="0.25">
      <c r="A599" s="15">
        <f t="shared" si="168"/>
        <v>5</v>
      </c>
      <c r="B599" s="20">
        <f t="shared" si="171"/>
        <v>598</v>
      </c>
      <c r="C599" s="17">
        <f t="shared" si="172"/>
        <v>77</v>
      </c>
      <c r="D599" s="17" t="str">
        <f t="shared" si="173"/>
        <v>20090925</v>
      </c>
      <c r="E599" s="20" t="str">
        <f t="shared" si="166"/>
        <v>20090925077</v>
      </c>
      <c r="F599" s="19">
        <v>9</v>
      </c>
      <c r="G599" s="19">
        <v>37</v>
      </c>
      <c r="H599" s="19">
        <v>13</v>
      </c>
      <c r="I599" s="19">
        <v>1</v>
      </c>
      <c r="J599" s="19">
        <v>33</v>
      </c>
      <c r="K599" s="19">
        <v>16</v>
      </c>
      <c r="L599" s="19">
        <v>4</v>
      </c>
      <c r="M599" s="19">
        <f t="shared" si="169"/>
        <v>113</v>
      </c>
      <c r="N599" s="27">
        <f t="shared" si="170"/>
        <v>40081</v>
      </c>
    </row>
    <row r="600" spans="1:14" x14ac:dyDescent="0.25">
      <c r="A600" s="15">
        <f t="shared" si="168"/>
        <v>2</v>
      </c>
      <c r="B600" s="20">
        <f t="shared" si="171"/>
        <v>599</v>
      </c>
      <c r="C600" s="17">
        <f t="shared" si="172"/>
        <v>78</v>
      </c>
      <c r="D600" s="17" t="str">
        <f t="shared" si="173"/>
        <v>20090929</v>
      </c>
      <c r="E600" s="20" t="str">
        <f t="shared" si="166"/>
        <v>20090929078</v>
      </c>
      <c r="F600" s="19">
        <v>27</v>
      </c>
      <c r="G600" s="19">
        <v>32</v>
      </c>
      <c r="H600" s="19">
        <v>17</v>
      </c>
      <c r="I600" s="19">
        <v>47</v>
      </c>
      <c r="J600" s="19">
        <v>37</v>
      </c>
      <c r="K600" s="19">
        <v>45</v>
      </c>
      <c r="L600" s="19">
        <v>25</v>
      </c>
      <c r="M600" s="19">
        <f t="shared" si="169"/>
        <v>230</v>
      </c>
      <c r="N600" s="27">
        <f t="shared" si="167"/>
        <v>40085</v>
      </c>
    </row>
    <row r="601" spans="1:14" x14ac:dyDescent="0.25">
      <c r="A601" s="15">
        <f t="shared" si="168"/>
        <v>5</v>
      </c>
      <c r="B601" s="20">
        <f t="shared" si="171"/>
        <v>600</v>
      </c>
      <c r="C601" s="17">
        <f t="shared" si="172"/>
        <v>79</v>
      </c>
      <c r="D601" s="17" t="str">
        <f t="shared" si="173"/>
        <v>20091002</v>
      </c>
      <c r="E601" s="20" t="str">
        <f t="shared" si="166"/>
        <v>20091002079</v>
      </c>
      <c r="F601" s="19">
        <v>9</v>
      </c>
      <c r="G601" s="19">
        <v>25</v>
      </c>
      <c r="H601" s="19">
        <v>15</v>
      </c>
      <c r="I601" s="19">
        <v>30</v>
      </c>
      <c r="J601" s="19">
        <v>35</v>
      </c>
      <c r="K601" s="19">
        <v>28</v>
      </c>
      <c r="L601" s="19">
        <v>22</v>
      </c>
      <c r="M601" s="19">
        <f t="shared" si="169"/>
        <v>164</v>
      </c>
      <c r="N601" s="27">
        <f t="shared" si="170"/>
        <v>40088</v>
      </c>
    </row>
    <row r="602" spans="1:14" x14ac:dyDescent="0.25">
      <c r="A602" s="15">
        <f t="shared" si="168"/>
        <v>2</v>
      </c>
      <c r="B602" s="20">
        <f t="shared" si="171"/>
        <v>601</v>
      </c>
      <c r="C602" s="17">
        <f t="shared" si="172"/>
        <v>80</v>
      </c>
      <c r="D602" s="17" t="str">
        <f t="shared" si="173"/>
        <v>20091006</v>
      </c>
      <c r="E602" s="20" t="str">
        <f t="shared" si="166"/>
        <v>20091006080</v>
      </c>
      <c r="F602" s="19">
        <v>33</v>
      </c>
      <c r="G602" s="19">
        <v>26</v>
      </c>
      <c r="H602" s="19">
        <v>14</v>
      </c>
      <c r="I602" s="19">
        <v>22</v>
      </c>
      <c r="J602" s="19">
        <v>9</v>
      </c>
      <c r="K602" s="19">
        <v>15</v>
      </c>
      <c r="L602" s="19">
        <v>16</v>
      </c>
      <c r="M602" s="19">
        <f t="shared" si="169"/>
        <v>135</v>
      </c>
      <c r="N602" s="27">
        <f t="shared" si="167"/>
        <v>40092</v>
      </c>
    </row>
    <row r="603" spans="1:14" x14ac:dyDescent="0.25">
      <c r="A603" s="15">
        <f t="shared" si="168"/>
        <v>5</v>
      </c>
      <c r="B603" s="20">
        <f t="shared" si="171"/>
        <v>602</v>
      </c>
      <c r="C603" s="17">
        <f t="shared" si="172"/>
        <v>81</v>
      </c>
      <c r="D603" s="17" t="str">
        <f t="shared" si="173"/>
        <v>20091009</v>
      </c>
      <c r="E603" s="20" t="str">
        <f t="shared" si="166"/>
        <v>20091009081</v>
      </c>
      <c r="F603" s="19">
        <v>14</v>
      </c>
      <c r="G603" s="19">
        <v>10</v>
      </c>
      <c r="H603" s="19">
        <v>33</v>
      </c>
      <c r="I603" s="19">
        <v>17</v>
      </c>
      <c r="J603" s="19">
        <v>41</v>
      </c>
      <c r="K603" s="19">
        <v>40</v>
      </c>
      <c r="L603" s="19">
        <v>12</v>
      </c>
      <c r="M603" s="19">
        <f t="shared" si="169"/>
        <v>167</v>
      </c>
      <c r="N603" s="27">
        <f t="shared" si="170"/>
        <v>40095</v>
      </c>
    </row>
    <row r="604" spans="1:14" x14ac:dyDescent="0.25">
      <c r="A604" s="15">
        <f t="shared" si="168"/>
        <v>2</v>
      </c>
      <c r="B604" s="20">
        <f t="shared" si="171"/>
        <v>603</v>
      </c>
      <c r="C604" s="17">
        <f t="shared" si="172"/>
        <v>82</v>
      </c>
      <c r="D604" s="17" t="str">
        <f t="shared" si="173"/>
        <v>20091013</v>
      </c>
      <c r="E604" s="20" t="str">
        <f t="shared" si="166"/>
        <v>20091013082</v>
      </c>
      <c r="F604" s="19">
        <v>49</v>
      </c>
      <c r="G604" s="19">
        <v>40</v>
      </c>
      <c r="H604" s="19">
        <v>44</v>
      </c>
      <c r="I604" s="19">
        <v>28</v>
      </c>
      <c r="J604" s="19">
        <v>5</v>
      </c>
      <c r="K604" s="19">
        <v>13</v>
      </c>
      <c r="L604" s="19">
        <v>43</v>
      </c>
      <c r="M604" s="19">
        <f t="shared" si="169"/>
        <v>222</v>
      </c>
      <c r="N604" s="27">
        <f t="shared" si="167"/>
        <v>40099</v>
      </c>
    </row>
    <row r="605" spans="1:14" x14ac:dyDescent="0.25">
      <c r="A605" s="15">
        <f t="shared" si="168"/>
        <v>5</v>
      </c>
      <c r="B605" s="20">
        <f t="shared" si="171"/>
        <v>604</v>
      </c>
      <c r="C605" s="17">
        <f t="shared" si="172"/>
        <v>83</v>
      </c>
      <c r="D605" s="17" t="str">
        <f t="shared" si="173"/>
        <v>20091016</v>
      </c>
      <c r="E605" s="20" t="str">
        <f t="shared" si="166"/>
        <v>20091016083</v>
      </c>
      <c r="F605" s="19">
        <v>43</v>
      </c>
      <c r="G605" s="19">
        <v>15</v>
      </c>
      <c r="H605" s="19">
        <v>30</v>
      </c>
      <c r="I605" s="19">
        <v>13</v>
      </c>
      <c r="J605" s="19">
        <v>20</v>
      </c>
      <c r="K605" s="19">
        <v>29</v>
      </c>
      <c r="L605" s="19">
        <v>1</v>
      </c>
      <c r="M605" s="19">
        <f t="shared" si="169"/>
        <v>151</v>
      </c>
      <c r="N605" s="27">
        <f t="shared" si="170"/>
        <v>40102</v>
      </c>
    </row>
    <row r="606" spans="1:14" x14ac:dyDescent="0.25">
      <c r="A606" s="15">
        <f t="shared" si="168"/>
        <v>2</v>
      </c>
      <c r="B606" s="20">
        <f t="shared" si="171"/>
        <v>605</v>
      </c>
      <c r="C606" s="17">
        <f t="shared" si="172"/>
        <v>84</v>
      </c>
      <c r="D606" s="17" t="str">
        <f t="shared" si="173"/>
        <v>20091020</v>
      </c>
      <c r="E606" s="20" t="str">
        <f t="shared" si="166"/>
        <v>20091020084</v>
      </c>
      <c r="F606" s="19">
        <v>11</v>
      </c>
      <c r="G606" s="19">
        <v>14</v>
      </c>
      <c r="H606" s="19">
        <v>46</v>
      </c>
      <c r="I606" s="19">
        <v>1</v>
      </c>
      <c r="J606" s="19">
        <v>12</v>
      </c>
      <c r="K606" s="19">
        <v>41</v>
      </c>
      <c r="L606" s="19">
        <v>45</v>
      </c>
      <c r="M606" s="19">
        <f t="shared" si="169"/>
        <v>170</v>
      </c>
      <c r="N606" s="27">
        <f t="shared" si="167"/>
        <v>40106</v>
      </c>
    </row>
    <row r="607" spans="1:14" x14ac:dyDescent="0.25">
      <c r="A607" s="15">
        <f t="shared" si="168"/>
        <v>5</v>
      </c>
      <c r="B607" s="20">
        <f t="shared" si="171"/>
        <v>606</v>
      </c>
      <c r="C607" s="17">
        <f t="shared" si="172"/>
        <v>85</v>
      </c>
      <c r="D607" s="17" t="str">
        <f t="shared" si="173"/>
        <v>20091023</v>
      </c>
      <c r="E607" s="20" t="str">
        <f t="shared" si="166"/>
        <v>20091023085</v>
      </c>
      <c r="F607" s="19">
        <v>6</v>
      </c>
      <c r="G607" s="19">
        <v>34</v>
      </c>
      <c r="H607" s="19">
        <v>19</v>
      </c>
      <c r="I607" s="19">
        <v>18</v>
      </c>
      <c r="J607" s="19">
        <v>21</v>
      </c>
      <c r="K607" s="19">
        <v>5</v>
      </c>
      <c r="L607" s="19">
        <v>10</v>
      </c>
      <c r="M607" s="19">
        <f t="shared" si="169"/>
        <v>113</v>
      </c>
      <c r="N607" s="27">
        <f t="shared" si="170"/>
        <v>40109</v>
      </c>
    </row>
    <row r="608" spans="1:14" x14ac:dyDescent="0.25">
      <c r="A608" s="15">
        <f t="shared" si="168"/>
        <v>2</v>
      </c>
      <c r="B608" s="20">
        <f t="shared" si="171"/>
        <v>607</v>
      </c>
      <c r="C608" s="17">
        <f t="shared" si="172"/>
        <v>86</v>
      </c>
      <c r="D608" s="17" t="str">
        <f t="shared" si="173"/>
        <v>20091027</v>
      </c>
      <c r="E608" s="20" t="str">
        <f t="shared" si="166"/>
        <v>20091027086</v>
      </c>
      <c r="F608" s="19">
        <v>2</v>
      </c>
      <c r="G608" s="19">
        <v>46</v>
      </c>
      <c r="H608" s="19">
        <v>28</v>
      </c>
      <c r="I608" s="19">
        <v>42</v>
      </c>
      <c r="J608" s="19">
        <v>12</v>
      </c>
      <c r="K608" s="19">
        <v>32</v>
      </c>
      <c r="L608" s="19">
        <v>23</v>
      </c>
      <c r="M608" s="19">
        <f t="shared" si="169"/>
        <v>185</v>
      </c>
      <c r="N608" s="27">
        <f t="shared" si="167"/>
        <v>40113</v>
      </c>
    </row>
    <row r="609" spans="1:14" x14ac:dyDescent="0.25">
      <c r="A609" s="15">
        <f t="shared" si="168"/>
        <v>5</v>
      </c>
      <c r="B609" s="20">
        <f t="shared" si="171"/>
        <v>608</v>
      </c>
      <c r="C609" s="17">
        <f t="shared" si="172"/>
        <v>87</v>
      </c>
      <c r="D609" s="17" t="str">
        <f t="shared" si="173"/>
        <v>20091030</v>
      </c>
      <c r="E609" s="20" t="str">
        <f t="shared" si="166"/>
        <v>20091030087</v>
      </c>
      <c r="F609" s="19">
        <v>37</v>
      </c>
      <c r="G609" s="19">
        <v>8</v>
      </c>
      <c r="H609" s="19">
        <v>4</v>
      </c>
      <c r="I609" s="19">
        <v>20</v>
      </c>
      <c r="J609" s="19">
        <v>39</v>
      </c>
      <c r="K609" s="19">
        <v>12</v>
      </c>
      <c r="L609" s="19">
        <v>30</v>
      </c>
      <c r="M609" s="19">
        <f t="shared" si="169"/>
        <v>150</v>
      </c>
      <c r="N609" s="27">
        <f t="shared" si="170"/>
        <v>40116</v>
      </c>
    </row>
    <row r="610" spans="1:14" x14ac:dyDescent="0.25">
      <c r="A610" s="15">
        <f t="shared" si="168"/>
        <v>2</v>
      </c>
      <c r="B610" s="20">
        <f t="shared" si="171"/>
        <v>609</v>
      </c>
      <c r="C610" s="17">
        <f t="shared" si="172"/>
        <v>88</v>
      </c>
      <c r="D610" s="17" t="str">
        <f t="shared" si="173"/>
        <v>20091103</v>
      </c>
      <c r="E610" s="20" t="str">
        <f t="shared" si="166"/>
        <v>20091103088</v>
      </c>
      <c r="F610" s="19">
        <v>13</v>
      </c>
      <c r="G610" s="19">
        <v>34</v>
      </c>
      <c r="H610" s="19">
        <v>5</v>
      </c>
      <c r="I610" s="19">
        <v>26</v>
      </c>
      <c r="J610" s="19">
        <v>29</v>
      </c>
      <c r="K610" s="19">
        <v>20</v>
      </c>
      <c r="L610" s="19">
        <v>30</v>
      </c>
      <c r="M610" s="19">
        <f t="shared" si="169"/>
        <v>157</v>
      </c>
      <c r="N610" s="27">
        <f t="shared" si="167"/>
        <v>40120</v>
      </c>
    </row>
    <row r="611" spans="1:14" x14ac:dyDescent="0.25">
      <c r="A611" s="15">
        <f t="shared" si="168"/>
        <v>5</v>
      </c>
      <c r="B611" s="20">
        <f t="shared" si="171"/>
        <v>610</v>
      </c>
      <c r="C611" s="17">
        <f t="shared" si="172"/>
        <v>89</v>
      </c>
      <c r="D611" s="17" t="str">
        <f t="shared" si="173"/>
        <v>20091106</v>
      </c>
      <c r="E611" s="20" t="str">
        <f t="shared" si="166"/>
        <v>20091106089</v>
      </c>
      <c r="F611" s="19">
        <v>46</v>
      </c>
      <c r="G611" s="19">
        <v>45</v>
      </c>
      <c r="H611" s="19">
        <v>10</v>
      </c>
      <c r="I611" s="19">
        <v>1</v>
      </c>
      <c r="J611" s="19">
        <v>2</v>
      </c>
      <c r="K611" s="19">
        <v>44</v>
      </c>
      <c r="L611" s="19">
        <v>22</v>
      </c>
      <c r="M611" s="19">
        <f t="shared" si="169"/>
        <v>170</v>
      </c>
      <c r="N611" s="27">
        <f t="shared" si="170"/>
        <v>40123</v>
      </c>
    </row>
    <row r="612" spans="1:14" x14ac:dyDescent="0.25">
      <c r="A612" s="15">
        <f t="shared" si="168"/>
        <v>2</v>
      </c>
      <c r="B612" s="20">
        <f t="shared" si="171"/>
        <v>611</v>
      </c>
      <c r="C612" s="17">
        <f t="shared" si="172"/>
        <v>90</v>
      </c>
      <c r="D612" s="17" t="str">
        <f t="shared" si="173"/>
        <v>20091110</v>
      </c>
      <c r="E612" s="20" t="str">
        <f t="shared" si="166"/>
        <v>20091110090</v>
      </c>
      <c r="F612" s="19">
        <v>2</v>
      </c>
      <c r="G612" s="19">
        <v>25</v>
      </c>
      <c r="H612" s="19">
        <v>42</v>
      </c>
      <c r="I612" s="19">
        <v>7</v>
      </c>
      <c r="J612" s="19">
        <v>22</v>
      </c>
      <c r="K612" s="19">
        <v>26</v>
      </c>
      <c r="L612" s="19">
        <v>44</v>
      </c>
      <c r="M612" s="19">
        <f t="shared" si="169"/>
        <v>168</v>
      </c>
      <c r="N612" s="27">
        <f t="shared" si="167"/>
        <v>40127</v>
      </c>
    </row>
    <row r="613" spans="1:14" x14ac:dyDescent="0.25">
      <c r="A613" s="15">
        <f t="shared" si="168"/>
        <v>5</v>
      </c>
      <c r="B613" s="20">
        <f t="shared" si="171"/>
        <v>612</v>
      </c>
      <c r="C613" s="17">
        <f t="shared" si="172"/>
        <v>91</v>
      </c>
      <c r="D613" s="17" t="str">
        <f t="shared" si="173"/>
        <v>20091113</v>
      </c>
      <c r="E613" s="20" t="str">
        <f t="shared" si="166"/>
        <v>20091113091</v>
      </c>
      <c r="F613" s="19">
        <v>47</v>
      </c>
      <c r="G613" s="19">
        <v>33</v>
      </c>
      <c r="H613" s="19">
        <v>13</v>
      </c>
      <c r="I613" s="19">
        <v>32</v>
      </c>
      <c r="J613" s="19">
        <v>38</v>
      </c>
      <c r="K613" s="19">
        <v>35</v>
      </c>
      <c r="L613" s="19">
        <v>26</v>
      </c>
      <c r="M613" s="19">
        <f t="shared" si="169"/>
        <v>224</v>
      </c>
      <c r="N613" s="27">
        <f t="shared" si="170"/>
        <v>40130</v>
      </c>
    </row>
    <row r="614" spans="1:14" x14ac:dyDescent="0.25">
      <c r="A614" s="15">
        <f t="shared" si="168"/>
        <v>2</v>
      </c>
      <c r="B614" s="20">
        <f t="shared" si="171"/>
        <v>613</v>
      </c>
      <c r="C614" s="17">
        <f t="shared" si="172"/>
        <v>92</v>
      </c>
      <c r="D614" s="17" t="str">
        <f t="shared" si="173"/>
        <v>20091117</v>
      </c>
      <c r="E614" s="20" t="str">
        <f t="shared" si="166"/>
        <v>20091117092</v>
      </c>
      <c r="F614" s="19">
        <v>10</v>
      </c>
      <c r="G614" s="19">
        <v>34</v>
      </c>
      <c r="H614" s="19">
        <v>1</v>
      </c>
      <c r="I614" s="19">
        <v>8</v>
      </c>
      <c r="J614" s="19">
        <v>49</v>
      </c>
      <c r="K614" s="19">
        <v>4</v>
      </c>
      <c r="L614" s="19">
        <v>46</v>
      </c>
      <c r="M614" s="19">
        <f t="shared" si="169"/>
        <v>152</v>
      </c>
      <c r="N614" s="27">
        <f t="shared" si="167"/>
        <v>40134</v>
      </c>
    </row>
    <row r="615" spans="1:14" x14ac:dyDescent="0.25">
      <c r="A615" s="15">
        <f t="shared" si="168"/>
        <v>5</v>
      </c>
      <c r="B615" s="20">
        <f t="shared" si="171"/>
        <v>614</v>
      </c>
      <c r="C615" s="17">
        <f t="shared" si="172"/>
        <v>93</v>
      </c>
      <c r="D615" s="17" t="str">
        <f t="shared" si="173"/>
        <v>20091120</v>
      </c>
      <c r="E615" s="20" t="str">
        <f t="shared" si="166"/>
        <v>20091120093</v>
      </c>
      <c r="F615" s="19">
        <v>31</v>
      </c>
      <c r="G615" s="19">
        <v>13</v>
      </c>
      <c r="H615" s="19">
        <v>26</v>
      </c>
      <c r="I615" s="19">
        <v>15</v>
      </c>
      <c r="J615" s="19">
        <v>5</v>
      </c>
      <c r="K615" s="19">
        <v>20</v>
      </c>
      <c r="L615" s="19">
        <v>35</v>
      </c>
      <c r="M615" s="19">
        <f t="shared" si="169"/>
        <v>145</v>
      </c>
      <c r="N615" s="27">
        <f t="shared" si="170"/>
        <v>40137</v>
      </c>
    </row>
    <row r="616" spans="1:14" x14ac:dyDescent="0.25">
      <c r="A616" s="15">
        <f t="shared" si="168"/>
        <v>2</v>
      </c>
      <c r="B616" s="20">
        <f t="shared" si="171"/>
        <v>615</v>
      </c>
      <c r="C616" s="17">
        <f t="shared" si="172"/>
        <v>94</v>
      </c>
      <c r="D616" s="17" t="str">
        <f t="shared" si="173"/>
        <v>20091124</v>
      </c>
      <c r="E616" s="20" t="str">
        <f t="shared" si="166"/>
        <v>20091124094</v>
      </c>
      <c r="F616" s="19">
        <v>13</v>
      </c>
      <c r="G616" s="19">
        <v>40</v>
      </c>
      <c r="H616" s="19">
        <v>23</v>
      </c>
      <c r="I616" s="19">
        <v>27</v>
      </c>
      <c r="J616" s="19">
        <v>2</v>
      </c>
      <c r="K616" s="19">
        <v>7</v>
      </c>
      <c r="L616" s="19">
        <v>4</v>
      </c>
      <c r="M616" s="19">
        <f t="shared" si="169"/>
        <v>116</v>
      </c>
      <c r="N616" s="27">
        <f t="shared" si="167"/>
        <v>40141</v>
      </c>
    </row>
    <row r="617" spans="1:14" x14ac:dyDescent="0.25">
      <c r="A617" s="15">
        <f t="shared" si="168"/>
        <v>5</v>
      </c>
      <c r="B617" s="20">
        <f t="shared" si="171"/>
        <v>616</v>
      </c>
      <c r="C617" s="17">
        <f t="shared" si="172"/>
        <v>95</v>
      </c>
      <c r="D617" s="17" t="str">
        <f t="shared" si="173"/>
        <v>20091127</v>
      </c>
      <c r="E617" s="20" t="str">
        <f t="shared" si="166"/>
        <v>20091127095</v>
      </c>
      <c r="F617" s="21">
        <v>5</v>
      </c>
      <c r="G617" s="21">
        <v>19</v>
      </c>
      <c r="H617" s="21">
        <v>15</v>
      </c>
      <c r="I617" s="21">
        <v>26</v>
      </c>
      <c r="J617" s="21">
        <v>6</v>
      </c>
      <c r="K617" s="21">
        <v>1</v>
      </c>
      <c r="L617" s="21">
        <v>14</v>
      </c>
      <c r="M617" s="19">
        <f t="shared" si="169"/>
        <v>86</v>
      </c>
      <c r="N617" s="27">
        <f t="shared" si="170"/>
        <v>40144</v>
      </c>
    </row>
    <row r="618" spans="1:14" x14ac:dyDescent="0.25">
      <c r="A618" s="15">
        <f t="shared" si="168"/>
        <v>2</v>
      </c>
      <c r="B618" s="20">
        <f t="shared" si="171"/>
        <v>617</v>
      </c>
      <c r="C618" s="17">
        <f t="shared" si="172"/>
        <v>96</v>
      </c>
      <c r="D618" s="17" t="str">
        <f t="shared" si="173"/>
        <v>20091201</v>
      </c>
      <c r="E618" s="20" t="str">
        <f t="shared" si="166"/>
        <v>20091201096</v>
      </c>
      <c r="F618" s="19">
        <v>27</v>
      </c>
      <c r="G618" s="19">
        <v>11</v>
      </c>
      <c r="H618" s="19">
        <v>23</v>
      </c>
      <c r="I618" s="19">
        <v>29</v>
      </c>
      <c r="J618" s="19">
        <v>49</v>
      </c>
      <c r="K618" s="19">
        <v>38</v>
      </c>
      <c r="L618" s="19">
        <v>40</v>
      </c>
      <c r="M618" s="19">
        <f t="shared" si="169"/>
        <v>217</v>
      </c>
      <c r="N618" s="27">
        <f t="shared" si="167"/>
        <v>40148</v>
      </c>
    </row>
    <row r="619" spans="1:14" x14ac:dyDescent="0.25">
      <c r="A619" s="15">
        <f t="shared" si="168"/>
        <v>5</v>
      </c>
      <c r="B619" s="20">
        <f t="shared" si="171"/>
        <v>618</v>
      </c>
      <c r="C619" s="17">
        <f t="shared" si="172"/>
        <v>97</v>
      </c>
      <c r="D619" s="17" t="str">
        <f t="shared" si="173"/>
        <v>20091204</v>
      </c>
      <c r="E619" s="20" t="str">
        <f t="shared" si="166"/>
        <v>20091204097</v>
      </c>
      <c r="F619" s="19">
        <v>13</v>
      </c>
      <c r="G619" s="19">
        <v>2</v>
      </c>
      <c r="H619" s="19">
        <v>3</v>
      </c>
      <c r="I619" s="19">
        <v>22</v>
      </c>
      <c r="J619" s="19">
        <v>19</v>
      </c>
      <c r="K619" s="19">
        <v>39</v>
      </c>
      <c r="L619" s="19">
        <v>21</v>
      </c>
      <c r="M619" s="19">
        <f t="shared" si="169"/>
        <v>119</v>
      </c>
      <c r="N619" s="27">
        <f t="shared" si="170"/>
        <v>40151</v>
      </c>
    </row>
    <row r="620" spans="1:14" x14ac:dyDescent="0.25">
      <c r="A620" s="15">
        <f t="shared" si="168"/>
        <v>2</v>
      </c>
      <c r="B620" s="20">
        <f t="shared" si="171"/>
        <v>619</v>
      </c>
      <c r="C620" s="17">
        <f t="shared" si="172"/>
        <v>98</v>
      </c>
      <c r="D620" s="17" t="str">
        <f t="shared" si="173"/>
        <v>20091208</v>
      </c>
      <c r="E620" s="20" t="str">
        <f t="shared" si="166"/>
        <v>20091208098</v>
      </c>
      <c r="F620" s="19">
        <v>19</v>
      </c>
      <c r="G620" s="19">
        <v>4</v>
      </c>
      <c r="H620" s="19">
        <v>32</v>
      </c>
      <c r="I620" s="19">
        <v>16</v>
      </c>
      <c r="J620" s="19">
        <v>39</v>
      </c>
      <c r="K620" s="19">
        <v>27</v>
      </c>
      <c r="L620" s="19">
        <v>21</v>
      </c>
      <c r="M620" s="19">
        <f t="shared" si="169"/>
        <v>158</v>
      </c>
      <c r="N620" s="27">
        <f t="shared" si="167"/>
        <v>40155</v>
      </c>
    </row>
    <row r="621" spans="1:14" x14ac:dyDescent="0.25">
      <c r="A621" s="15">
        <f t="shared" si="168"/>
        <v>5</v>
      </c>
      <c r="B621" s="20">
        <f t="shared" si="171"/>
        <v>620</v>
      </c>
      <c r="C621" s="17">
        <f t="shared" si="172"/>
        <v>99</v>
      </c>
      <c r="D621" s="17" t="str">
        <f t="shared" si="173"/>
        <v>20091211</v>
      </c>
      <c r="E621" s="20" t="str">
        <f t="shared" si="166"/>
        <v>20091211099</v>
      </c>
      <c r="F621" s="19">
        <v>36</v>
      </c>
      <c r="G621" s="19">
        <v>12</v>
      </c>
      <c r="H621" s="19">
        <v>48</v>
      </c>
      <c r="I621" s="19">
        <v>20</v>
      </c>
      <c r="J621" s="19">
        <v>29</v>
      </c>
      <c r="K621" s="19">
        <v>15</v>
      </c>
      <c r="L621" s="19">
        <v>31</v>
      </c>
      <c r="M621" s="19">
        <f t="shared" si="169"/>
        <v>191</v>
      </c>
      <c r="N621" s="27">
        <f t="shared" si="170"/>
        <v>40158</v>
      </c>
    </row>
    <row r="622" spans="1:14" x14ac:dyDescent="0.25">
      <c r="A622" s="15">
        <f t="shared" si="168"/>
        <v>2</v>
      </c>
      <c r="B622" s="20">
        <f t="shared" si="171"/>
        <v>621</v>
      </c>
      <c r="C622" s="17">
        <f t="shared" si="172"/>
        <v>100</v>
      </c>
      <c r="D622" s="17" t="str">
        <f t="shared" si="173"/>
        <v>20091215</v>
      </c>
      <c r="E622" s="20" t="str">
        <f t="shared" si="166"/>
        <v>20091215100</v>
      </c>
      <c r="F622" s="19">
        <v>43</v>
      </c>
      <c r="G622" s="19">
        <v>48</v>
      </c>
      <c r="H622" s="19">
        <v>38</v>
      </c>
      <c r="I622" s="19">
        <v>44</v>
      </c>
      <c r="J622" s="19">
        <v>35</v>
      </c>
      <c r="K622" s="19">
        <v>4</v>
      </c>
      <c r="L622" s="19">
        <v>37</v>
      </c>
      <c r="M622" s="19">
        <f t="shared" si="169"/>
        <v>249</v>
      </c>
      <c r="N622" s="27">
        <f t="shared" si="167"/>
        <v>40162</v>
      </c>
    </row>
    <row r="623" spans="1:14" x14ac:dyDescent="0.25">
      <c r="A623" s="15">
        <f t="shared" si="168"/>
        <v>5</v>
      </c>
      <c r="B623" s="20">
        <f t="shared" si="171"/>
        <v>622</v>
      </c>
      <c r="C623" s="17">
        <f t="shared" si="172"/>
        <v>101</v>
      </c>
      <c r="D623" s="17" t="str">
        <f t="shared" si="173"/>
        <v>20091218</v>
      </c>
      <c r="E623" s="20" t="str">
        <f t="shared" si="166"/>
        <v>20091218101</v>
      </c>
      <c r="F623" s="19">
        <v>16</v>
      </c>
      <c r="G623" s="19">
        <v>32</v>
      </c>
      <c r="H623" s="19">
        <v>45</v>
      </c>
      <c r="I623" s="19">
        <v>43</v>
      </c>
      <c r="J623" s="19">
        <v>3</v>
      </c>
      <c r="K623" s="19">
        <v>42</v>
      </c>
      <c r="L623" s="19">
        <v>6</v>
      </c>
      <c r="M623" s="19">
        <f t="shared" si="169"/>
        <v>187</v>
      </c>
      <c r="N623" s="27">
        <f t="shared" si="170"/>
        <v>40165</v>
      </c>
    </row>
    <row r="624" spans="1:14" x14ac:dyDescent="0.25">
      <c r="A624" s="15">
        <f t="shared" si="168"/>
        <v>2</v>
      </c>
      <c r="B624" s="20">
        <f t="shared" si="171"/>
        <v>623</v>
      </c>
      <c r="C624" s="17">
        <f t="shared" si="172"/>
        <v>102</v>
      </c>
      <c r="D624" s="17" t="str">
        <f t="shared" si="173"/>
        <v>20091222</v>
      </c>
      <c r="E624" s="20" t="str">
        <f t="shared" si="166"/>
        <v>20091222102</v>
      </c>
      <c r="F624" s="19">
        <v>10</v>
      </c>
      <c r="G624" s="19">
        <v>11</v>
      </c>
      <c r="H624" s="19">
        <v>24</v>
      </c>
      <c r="I624" s="19">
        <v>27</v>
      </c>
      <c r="J624" s="19">
        <v>14</v>
      </c>
      <c r="K624" s="19">
        <v>47</v>
      </c>
      <c r="L624" s="19">
        <v>32</v>
      </c>
      <c r="M624" s="19">
        <f t="shared" si="169"/>
        <v>165</v>
      </c>
      <c r="N624" s="27">
        <f t="shared" si="167"/>
        <v>40169</v>
      </c>
    </row>
    <row r="625" spans="1:14" x14ac:dyDescent="0.25">
      <c r="A625" s="15">
        <f t="shared" si="168"/>
        <v>5</v>
      </c>
      <c r="B625" s="20">
        <f t="shared" si="171"/>
        <v>624</v>
      </c>
      <c r="C625" s="17">
        <f t="shared" si="172"/>
        <v>103</v>
      </c>
      <c r="D625" s="17" t="str">
        <f t="shared" si="173"/>
        <v>20091225</v>
      </c>
      <c r="E625" s="20" t="str">
        <f t="shared" si="166"/>
        <v>20091225103</v>
      </c>
      <c r="F625" s="19">
        <v>9</v>
      </c>
      <c r="G625" s="19">
        <v>22</v>
      </c>
      <c r="H625" s="19">
        <v>42</v>
      </c>
      <c r="I625" s="19">
        <v>12</v>
      </c>
      <c r="J625" s="19">
        <v>47</v>
      </c>
      <c r="K625" s="19">
        <v>30</v>
      </c>
      <c r="L625" s="19">
        <v>27</v>
      </c>
      <c r="M625" s="19">
        <f t="shared" si="169"/>
        <v>189</v>
      </c>
      <c r="N625" s="27">
        <f t="shared" si="170"/>
        <v>40172</v>
      </c>
    </row>
    <row r="626" spans="1:14" x14ac:dyDescent="0.25">
      <c r="A626" s="15">
        <f t="shared" si="168"/>
        <v>2</v>
      </c>
      <c r="B626" s="20">
        <f t="shared" si="171"/>
        <v>625</v>
      </c>
      <c r="C626" s="17">
        <f t="shared" si="172"/>
        <v>104</v>
      </c>
      <c r="D626" s="17" t="str">
        <f t="shared" si="173"/>
        <v>20091229</v>
      </c>
      <c r="E626" s="20" t="str">
        <f t="shared" si="166"/>
        <v>20091229104</v>
      </c>
      <c r="F626" s="19">
        <v>48</v>
      </c>
      <c r="G626" s="19">
        <v>21</v>
      </c>
      <c r="H626" s="19">
        <v>25</v>
      </c>
      <c r="I626" s="19">
        <v>12</v>
      </c>
      <c r="J626" s="19">
        <v>42</v>
      </c>
      <c r="K626" s="19">
        <v>29</v>
      </c>
      <c r="L626" s="19">
        <v>6</v>
      </c>
      <c r="M626" s="19">
        <f t="shared" si="169"/>
        <v>183</v>
      </c>
      <c r="N626" s="27">
        <f t="shared" si="167"/>
        <v>40176</v>
      </c>
    </row>
    <row r="627" spans="1:14" x14ac:dyDescent="0.25">
      <c r="A627" s="15">
        <f t="shared" si="168"/>
        <v>5</v>
      </c>
      <c r="B627" s="20">
        <f t="shared" si="171"/>
        <v>626</v>
      </c>
      <c r="C627" s="17">
        <v>1</v>
      </c>
      <c r="D627" s="17" t="str">
        <f t="shared" si="173"/>
        <v>20100101</v>
      </c>
      <c r="E627" s="20" t="str">
        <f t="shared" si="166"/>
        <v>20100101001</v>
      </c>
      <c r="F627" s="19">
        <v>22</v>
      </c>
      <c r="G627" s="19">
        <v>20</v>
      </c>
      <c r="H627" s="19">
        <v>23</v>
      </c>
      <c r="I627" s="19">
        <v>2</v>
      </c>
      <c r="J627" s="19">
        <v>16</v>
      </c>
      <c r="K627" s="19">
        <v>27</v>
      </c>
      <c r="L627" s="19">
        <v>46</v>
      </c>
      <c r="M627" s="19">
        <f t="shared" si="169"/>
        <v>156</v>
      </c>
      <c r="N627" s="27">
        <f t="shared" si="170"/>
        <v>40179</v>
      </c>
    </row>
    <row r="628" spans="1:14" x14ac:dyDescent="0.25">
      <c r="A628" s="15">
        <f t="shared" si="168"/>
        <v>2</v>
      </c>
      <c r="B628" s="20">
        <f t="shared" si="171"/>
        <v>627</v>
      </c>
      <c r="C628" s="17">
        <f>C627+1</f>
        <v>2</v>
      </c>
      <c r="D628" s="17" t="str">
        <f t="shared" si="173"/>
        <v>20100105</v>
      </c>
      <c r="E628" s="20" t="str">
        <f t="shared" si="166"/>
        <v>20100105002</v>
      </c>
      <c r="F628" s="19">
        <v>32</v>
      </c>
      <c r="G628" s="19">
        <v>38</v>
      </c>
      <c r="H628" s="19">
        <v>11</v>
      </c>
      <c r="I628" s="19">
        <v>24</v>
      </c>
      <c r="J628" s="19">
        <v>18</v>
      </c>
      <c r="K628" s="19">
        <v>40</v>
      </c>
      <c r="L628" s="19">
        <v>47</v>
      </c>
      <c r="M628" s="19">
        <f t="shared" si="169"/>
        <v>210</v>
      </c>
      <c r="N628" s="27">
        <f t="shared" si="167"/>
        <v>40183</v>
      </c>
    </row>
    <row r="629" spans="1:14" x14ac:dyDescent="0.25">
      <c r="A629" s="15">
        <f t="shared" si="168"/>
        <v>5</v>
      </c>
      <c r="B629" s="20">
        <f t="shared" si="171"/>
        <v>628</v>
      </c>
      <c r="C629" s="17">
        <f t="shared" ref="C629:C692" si="174">C628+1</f>
        <v>3</v>
      </c>
      <c r="D629" s="17" t="str">
        <f t="shared" si="173"/>
        <v>20100108</v>
      </c>
      <c r="E629" s="20" t="str">
        <f t="shared" si="166"/>
        <v>20100108003</v>
      </c>
      <c r="F629" s="19">
        <v>1</v>
      </c>
      <c r="G629" s="19">
        <v>43</v>
      </c>
      <c r="H629" s="19">
        <v>21</v>
      </c>
      <c r="I629" s="19">
        <v>45</v>
      </c>
      <c r="J629" s="19">
        <v>19</v>
      </c>
      <c r="K629" s="19">
        <v>8</v>
      </c>
      <c r="L629" s="19">
        <v>30</v>
      </c>
      <c r="M629" s="19">
        <f t="shared" si="169"/>
        <v>167</v>
      </c>
      <c r="N629" s="27">
        <f t="shared" si="170"/>
        <v>40186</v>
      </c>
    </row>
    <row r="630" spans="1:14" x14ac:dyDescent="0.25">
      <c r="A630" s="15">
        <f t="shared" si="168"/>
        <v>2</v>
      </c>
      <c r="B630" s="20">
        <f t="shared" si="171"/>
        <v>629</v>
      </c>
      <c r="C630" s="17">
        <f t="shared" si="174"/>
        <v>4</v>
      </c>
      <c r="D630" s="17" t="str">
        <f t="shared" si="173"/>
        <v>20100112</v>
      </c>
      <c r="E630" s="20" t="str">
        <f t="shared" si="166"/>
        <v>20100112004</v>
      </c>
      <c r="F630" s="19">
        <v>36</v>
      </c>
      <c r="G630" s="19">
        <v>1</v>
      </c>
      <c r="H630" s="19">
        <v>48</v>
      </c>
      <c r="I630" s="19">
        <v>23</v>
      </c>
      <c r="J630" s="19">
        <v>46</v>
      </c>
      <c r="K630" s="19">
        <v>34</v>
      </c>
      <c r="L630" s="19">
        <v>18</v>
      </c>
      <c r="M630" s="19">
        <f t="shared" si="169"/>
        <v>206</v>
      </c>
      <c r="N630" s="27">
        <f t="shared" si="167"/>
        <v>40190</v>
      </c>
    </row>
    <row r="631" spans="1:14" x14ac:dyDescent="0.25">
      <c r="A631" s="15">
        <f t="shared" si="168"/>
        <v>5</v>
      </c>
      <c r="B631" s="20">
        <f t="shared" si="171"/>
        <v>630</v>
      </c>
      <c r="C631" s="17">
        <f t="shared" si="174"/>
        <v>5</v>
      </c>
      <c r="D631" s="17" t="str">
        <f t="shared" si="173"/>
        <v>20100115</v>
      </c>
      <c r="E631" s="20" t="str">
        <f t="shared" si="166"/>
        <v>20100115005</v>
      </c>
      <c r="F631" s="19">
        <v>47</v>
      </c>
      <c r="G631" s="19">
        <v>4</v>
      </c>
      <c r="H631" s="19">
        <v>49</v>
      </c>
      <c r="I631" s="19">
        <v>7</v>
      </c>
      <c r="J631" s="19">
        <v>26</v>
      </c>
      <c r="K631" s="19">
        <v>41</v>
      </c>
      <c r="L631" s="19">
        <v>3</v>
      </c>
      <c r="M631" s="19">
        <f t="shared" si="169"/>
        <v>177</v>
      </c>
      <c r="N631" s="27">
        <f t="shared" si="170"/>
        <v>40193</v>
      </c>
    </row>
    <row r="632" spans="1:14" x14ac:dyDescent="0.25">
      <c r="A632" s="15">
        <f t="shared" si="168"/>
        <v>2</v>
      </c>
      <c r="B632" s="20">
        <f t="shared" si="171"/>
        <v>631</v>
      </c>
      <c r="C632" s="17">
        <f t="shared" si="174"/>
        <v>6</v>
      </c>
      <c r="D632" s="17" t="str">
        <f t="shared" si="173"/>
        <v>20100119</v>
      </c>
      <c r="E632" s="20" t="str">
        <f t="shared" si="166"/>
        <v>20100119006</v>
      </c>
      <c r="F632" s="19">
        <v>32</v>
      </c>
      <c r="G632" s="19">
        <v>35</v>
      </c>
      <c r="H632" s="19">
        <v>25</v>
      </c>
      <c r="I632" s="19">
        <v>45</v>
      </c>
      <c r="J632" s="19">
        <v>24</v>
      </c>
      <c r="K632" s="19">
        <v>13</v>
      </c>
      <c r="L632" s="19">
        <v>5</v>
      </c>
      <c r="M632" s="19">
        <f t="shared" si="169"/>
        <v>179</v>
      </c>
      <c r="N632" s="27">
        <f t="shared" si="167"/>
        <v>40197</v>
      </c>
    </row>
    <row r="633" spans="1:14" x14ac:dyDescent="0.25">
      <c r="A633" s="15">
        <f t="shared" si="168"/>
        <v>5</v>
      </c>
      <c r="B633" s="20">
        <f t="shared" si="171"/>
        <v>632</v>
      </c>
      <c r="C633" s="17">
        <f t="shared" si="174"/>
        <v>7</v>
      </c>
      <c r="D633" s="17" t="str">
        <f t="shared" si="173"/>
        <v>20100122</v>
      </c>
      <c r="E633" s="20" t="str">
        <f t="shared" si="166"/>
        <v>20100122007</v>
      </c>
      <c r="F633" s="19">
        <v>3</v>
      </c>
      <c r="G633" s="19">
        <v>23</v>
      </c>
      <c r="H633" s="19">
        <v>24</v>
      </c>
      <c r="I633" s="19">
        <v>31</v>
      </c>
      <c r="J633" s="19">
        <v>32</v>
      </c>
      <c r="K633" s="19">
        <v>46</v>
      </c>
      <c r="L633" s="19">
        <v>47</v>
      </c>
      <c r="M633" s="19">
        <f t="shared" si="169"/>
        <v>206</v>
      </c>
      <c r="N633" s="27">
        <f t="shared" si="170"/>
        <v>40200</v>
      </c>
    </row>
    <row r="634" spans="1:14" x14ac:dyDescent="0.25">
      <c r="A634" s="15">
        <f t="shared" si="168"/>
        <v>2</v>
      </c>
      <c r="B634" s="20">
        <f t="shared" si="171"/>
        <v>633</v>
      </c>
      <c r="C634" s="17">
        <f t="shared" si="174"/>
        <v>8</v>
      </c>
      <c r="D634" s="17" t="str">
        <f t="shared" si="173"/>
        <v>20100126</v>
      </c>
      <c r="E634" s="20" t="str">
        <f t="shared" si="166"/>
        <v>20100126008</v>
      </c>
      <c r="F634" s="19">
        <v>26</v>
      </c>
      <c r="G634" s="19">
        <v>39</v>
      </c>
      <c r="H634" s="19">
        <v>40</v>
      </c>
      <c r="I634" s="19">
        <v>33</v>
      </c>
      <c r="J634" s="19">
        <v>28</v>
      </c>
      <c r="K634" s="19">
        <v>25</v>
      </c>
      <c r="L634" s="19">
        <v>10</v>
      </c>
      <c r="M634" s="19">
        <f t="shared" si="169"/>
        <v>201</v>
      </c>
      <c r="N634" s="27">
        <f t="shared" si="167"/>
        <v>40204</v>
      </c>
    </row>
    <row r="635" spans="1:14" x14ac:dyDescent="0.25">
      <c r="A635" s="15">
        <f t="shared" si="168"/>
        <v>5</v>
      </c>
      <c r="B635" s="20">
        <f t="shared" si="171"/>
        <v>634</v>
      </c>
      <c r="C635" s="17">
        <f t="shared" si="174"/>
        <v>9</v>
      </c>
      <c r="D635" s="17" t="str">
        <f t="shared" si="173"/>
        <v>20100129</v>
      </c>
      <c r="E635" s="20" t="str">
        <f t="shared" si="166"/>
        <v>20100129009</v>
      </c>
      <c r="F635" s="19">
        <v>34</v>
      </c>
      <c r="G635" s="19">
        <v>18</v>
      </c>
      <c r="H635" s="19">
        <v>16</v>
      </c>
      <c r="I635" s="19">
        <v>49</v>
      </c>
      <c r="J635" s="19">
        <v>29</v>
      </c>
      <c r="K635" s="19">
        <v>44</v>
      </c>
      <c r="L635" s="19">
        <v>8</v>
      </c>
      <c r="M635" s="19">
        <f t="shared" si="169"/>
        <v>198</v>
      </c>
      <c r="N635" s="27">
        <f t="shared" si="170"/>
        <v>40207</v>
      </c>
    </row>
    <row r="636" spans="1:14" x14ac:dyDescent="0.25">
      <c r="A636" s="15">
        <f t="shared" si="168"/>
        <v>2</v>
      </c>
      <c r="B636" s="20">
        <f t="shared" si="171"/>
        <v>635</v>
      </c>
      <c r="C636" s="17">
        <f t="shared" si="174"/>
        <v>10</v>
      </c>
      <c r="D636" s="17" t="str">
        <f t="shared" si="173"/>
        <v>20100202</v>
      </c>
      <c r="E636" s="20" t="str">
        <f t="shared" si="166"/>
        <v>20100202010</v>
      </c>
      <c r="F636" s="19">
        <v>27</v>
      </c>
      <c r="G636" s="19">
        <v>15</v>
      </c>
      <c r="H636" s="19">
        <v>21</v>
      </c>
      <c r="I636" s="19">
        <v>9</v>
      </c>
      <c r="J636" s="19">
        <v>41</v>
      </c>
      <c r="K636" s="19">
        <v>18</v>
      </c>
      <c r="L636" s="19">
        <v>46</v>
      </c>
      <c r="M636" s="19">
        <f t="shared" si="169"/>
        <v>177</v>
      </c>
      <c r="N636" s="27">
        <f t="shared" si="167"/>
        <v>40211</v>
      </c>
    </row>
    <row r="637" spans="1:14" x14ac:dyDescent="0.25">
      <c r="A637" s="15">
        <f t="shared" si="168"/>
        <v>5</v>
      </c>
      <c r="B637" s="20">
        <f t="shared" si="171"/>
        <v>636</v>
      </c>
      <c r="C637" s="17">
        <f t="shared" si="174"/>
        <v>11</v>
      </c>
      <c r="D637" s="17" t="str">
        <f t="shared" si="173"/>
        <v>20100205</v>
      </c>
      <c r="E637" s="20" t="str">
        <f t="shared" si="166"/>
        <v>20100205011</v>
      </c>
      <c r="F637" s="19">
        <v>36</v>
      </c>
      <c r="G637" s="19">
        <v>1</v>
      </c>
      <c r="H637" s="19">
        <v>19</v>
      </c>
      <c r="I637" s="19">
        <v>5</v>
      </c>
      <c r="J637" s="19">
        <v>33</v>
      </c>
      <c r="K637" s="19">
        <v>14</v>
      </c>
      <c r="L637" s="19">
        <v>16</v>
      </c>
      <c r="M637" s="19">
        <f t="shared" si="169"/>
        <v>124</v>
      </c>
      <c r="N637" s="27">
        <f t="shared" si="170"/>
        <v>40214</v>
      </c>
    </row>
    <row r="638" spans="1:14" x14ac:dyDescent="0.25">
      <c r="A638" s="15">
        <f t="shared" si="168"/>
        <v>2</v>
      </c>
      <c r="B638" s="20">
        <f t="shared" si="171"/>
        <v>637</v>
      </c>
      <c r="C638" s="17">
        <f t="shared" si="174"/>
        <v>12</v>
      </c>
      <c r="D638" s="17" t="str">
        <f t="shared" si="173"/>
        <v>20100209</v>
      </c>
      <c r="E638" s="20" t="str">
        <f t="shared" si="166"/>
        <v>20100209012</v>
      </c>
      <c r="F638" s="19">
        <v>32</v>
      </c>
      <c r="G638" s="19">
        <v>9</v>
      </c>
      <c r="H638" s="19">
        <v>13</v>
      </c>
      <c r="I638" s="19">
        <v>35</v>
      </c>
      <c r="J638" s="19">
        <v>45</v>
      </c>
      <c r="K638" s="19">
        <v>34</v>
      </c>
      <c r="L638" s="19">
        <v>38</v>
      </c>
      <c r="M638" s="19">
        <f t="shared" si="169"/>
        <v>206</v>
      </c>
      <c r="N638" s="27">
        <f t="shared" si="167"/>
        <v>40218</v>
      </c>
    </row>
    <row r="639" spans="1:14" x14ac:dyDescent="0.25">
      <c r="A639" s="15">
        <f t="shared" si="168"/>
        <v>5</v>
      </c>
      <c r="B639" s="20">
        <f t="shared" si="171"/>
        <v>638</v>
      </c>
      <c r="C639" s="17">
        <f t="shared" si="174"/>
        <v>13</v>
      </c>
      <c r="D639" s="17" t="str">
        <f t="shared" si="173"/>
        <v>20100212</v>
      </c>
      <c r="E639" s="20" t="str">
        <f t="shared" si="166"/>
        <v>20100212013</v>
      </c>
      <c r="F639" s="19">
        <v>32</v>
      </c>
      <c r="G639" s="19">
        <v>1</v>
      </c>
      <c r="H639" s="19">
        <v>23</v>
      </c>
      <c r="I639" s="19">
        <v>40</v>
      </c>
      <c r="J639" s="19">
        <v>14</v>
      </c>
      <c r="K639" s="19">
        <v>31</v>
      </c>
      <c r="L639" s="19">
        <v>35</v>
      </c>
      <c r="M639" s="19">
        <f t="shared" si="169"/>
        <v>176</v>
      </c>
      <c r="N639" s="27">
        <f t="shared" si="170"/>
        <v>40221</v>
      </c>
    </row>
    <row r="640" spans="1:14" x14ac:dyDescent="0.25">
      <c r="A640" s="15">
        <f t="shared" si="168"/>
        <v>2</v>
      </c>
      <c r="B640" s="20">
        <f t="shared" si="171"/>
        <v>639</v>
      </c>
      <c r="C640" s="17">
        <f t="shared" si="174"/>
        <v>14</v>
      </c>
      <c r="D640" s="17" t="str">
        <f t="shared" si="173"/>
        <v>20100216</v>
      </c>
      <c r="E640" s="20" t="str">
        <f t="shared" si="166"/>
        <v>20100216014</v>
      </c>
      <c r="F640" s="19">
        <v>49</v>
      </c>
      <c r="G640" s="19">
        <v>29</v>
      </c>
      <c r="H640" s="19">
        <v>26</v>
      </c>
      <c r="I640" s="19">
        <v>43</v>
      </c>
      <c r="J640" s="19">
        <v>36</v>
      </c>
      <c r="K640" s="19">
        <v>5</v>
      </c>
      <c r="L640" s="19">
        <v>12</v>
      </c>
      <c r="M640" s="19">
        <f t="shared" si="169"/>
        <v>200</v>
      </c>
      <c r="N640" s="27">
        <f t="shared" si="167"/>
        <v>40225</v>
      </c>
    </row>
    <row r="641" spans="1:14" x14ac:dyDescent="0.25">
      <c r="A641" s="15">
        <f t="shared" si="168"/>
        <v>5</v>
      </c>
      <c r="B641" s="20">
        <f t="shared" si="171"/>
        <v>640</v>
      </c>
      <c r="C641" s="17">
        <f t="shared" si="174"/>
        <v>15</v>
      </c>
      <c r="D641" s="17" t="str">
        <f t="shared" si="173"/>
        <v>20100219</v>
      </c>
      <c r="E641" s="20" t="str">
        <f t="shared" si="166"/>
        <v>20100219015</v>
      </c>
      <c r="F641" s="19">
        <v>27</v>
      </c>
      <c r="G641" s="19">
        <v>43</v>
      </c>
      <c r="H641" s="19">
        <v>14</v>
      </c>
      <c r="I641" s="19">
        <v>30</v>
      </c>
      <c r="J641" s="19">
        <v>12</v>
      </c>
      <c r="K641" s="19">
        <v>37</v>
      </c>
      <c r="L641" s="19">
        <v>36</v>
      </c>
      <c r="M641" s="19">
        <f t="shared" si="169"/>
        <v>199</v>
      </c>
      <c r="N641" s="27">
        <f t="shared" si="170"/>
        <v>40228</v>
      </c>
    </row>
    <row r="642" spans="1:14" x14ac:dyDescent="0.25">
      <c r="A642" s="15">
        <f t="shared" si="168"/>
        <v>2</v>
      </c>
      <c r="B642" s="20">
        <f t="shared" si="171"/>
        <v>641</v>
      </c>
      <c r="C642" s="17">
        <f t="shared" si="174"/>
        <v>16</v>
      </c>
      <c r="D642" s="17" t="str">
        <f t="shared" si="173"/>
        <v>20100223</v>
      </c>
      <c r="E642" s="20" t="str">
        <f t="shared" ref="E642:E705" si="175">CONCATENATE(D642,TEXT(C642,"000"))</f>
        <v>20100223016</v>
      </c>
      <c r="F642" s="19">
        <v>45</v>
      </c>
      <c r="G642" s="19">
        <v>19</v>
      </c>
      <c r="H642" s="19">
        <v>5</v>
      </c>
      <c r="I642" s="19">
        <v>40</v>
      </c>
      <c r="J642" s="19">
        <v>48</v>
      </c>
      <c r="K642" s="19">
        <v>2</v>
      </c>
      <c r="L642" s="19">
        <v>6</v>
      </c>
      <c r="M642" s="19">
        <f t="shared" si="169"/>
        <v>165</v>
      </c>
      <c r="N642" s="27">
        <f t="shared" ref="N642:N704" si="176">N641+4</f>
        <v>40232</v>
      </c>
    </row>
    <row r="643" spans="1:14" x14ac:dyDescent="0.25">
      <c r="A643" s="15">
        <f t="shared" ref="A643:A706" si="177">WEEKDAY(N643,2)</f>
        <v>5</v>
      </c>
      <c r="B643" s="20">
        <f t="shared" si="171"/>
        <v>642</v>
      </c>
      <c r="C643" s="17">
        <f t="shared" si="174"/>
        <v>17</v>
      </c>
      <c r="D643" s="17" t="str">
        <f t="shared" si="173"/>
        <v>20100226</v>
      </c>
      <c r="E643" s="20" t="str">
        <f t="shared" si="175"/>
        <v>20100226017</v>
      </c>
      <c r="F643" s="19">
        <v>22</v>
      </c>
      <c r="G643" s="19">
        <v>6</v>
      </c>
      <c r="H643" s="19">
        <v>47</v>
      </c>
      <c r="I643" s="19">
        <v>32</v>
      </c>
      <c r="J643" s="19">
        <v>5</v>
      </c>
      <c r="K643" s="19">
        <v>34</v>
      </c>
      <c r="L643" s="19">
        <v>1</v>
      </c>
      <c r="M643" s="19">
        <f t="shared" ref="M643:M706" si="178">SUM(F643:L643)</f>
        <v>147</v>
      </c>
      <c r="N643" s="27">
        <f t="shared" ref="N643:N705" si="179">N642+3</f>
        <v>40235</v>
      </c>
    </row>
    <row r="644" spans="1:14" x14ac:dyDescent="0.25">
      <c r="A644" s="15">
        <f t="shared" si="177"/>
        <v>2</v>
      </c>
      <c r="B644" s="20">
        <f t="shared" ref="B644:B707" si="180">B643+1</f>
        <v>643</v>
      </c>
      <c r="C644" s="17">
        <f t="shared" si="174"/>
        <v>18</v>
      </c>
      <c r="D644" s="17" t="str">
        <f t="shared" ref="D644:D707" si="181">CONCATENATE(TEXT(YEAR(N644),"0000"),TEXT(MONTH(N644),"00"),TEXT(DAY(N644),"00"))</f>
        <v>20100302</v>
      </c>
      <c r="E644" s="20" t="str">
        <f t="shared" si="175"/>
        <v>20100302018</v>
      </c>
      <c r="F644" s="19">
        <v>34</v>
      </c>
      <c r="G644" s="19">
        <v>38</v>
      </c>
      <c r="H644" s="19">
        <v>2</v>
      </c>
      <c r="I644" s="19">
        <v>33</v>
      </c>
      <c r="J644" s="19">
        <v>3</v>
      </c>
      <c r="K644" s="19">
        <v>9</v>
      </c>
      <c r="L644" s="19">
        <v>45</v>
      </c>
      <c r="M644" s="19">
        <f t="shared" si="178"/>
        <v>164</v>
      </c>
      <c r="N644" s="27">
        <f t="shared" si="176"/>
        <v>40239</v>
      </c>
    </row>
    <row r="645" spans="1:14" x14ac:dyDescent="0.25">
      <c r="A645" s="15">
        <f t="shared" si="177"/>
        <v>5</v>
      </c>
      <c r="B645" s="20">
        <f t="shared" si="180"/>
        <v>644</v>
      </c>
      <c r="C645" s="17">
        <f t="shared" si="174"/>
        <v>19</v>
      </c>
      <c r="D645" s="17" t="str">
        <f t="shared" si="181"/>
        <v>20100305</v>
      </c>
      <c r="E645" s="20" t="str">
        <f t="shared" si="175"/>
        <v>20100305019</v>
      </c>
      <c r="F645" s="19">
        <v>22</v>
      </c>
      <c r="G645" s="19">
        <v>35</v>
      </c>
      <c r="H645" s="19">
        <v>38</v>
      </c>
      <c r="I645" s="19">
        <v>21</v>
      </c>
      <c r="J645" s="19">
        <v>3</v>
      </c>
      <c r="K645" s="19">
        <v>15</v>
      </c>
      <c r="L645" s="19">
        <v>4</v>
      </c>
      <c r="M645" s="19">
        <f t="shared" si="178"/>
        <v>138</v>
      </c>
      <c r="N645" s="27">
        <f t="shared" si="179"/>
        <v>40242</v>
      </c>
    </row>
    <row r="646" spans="1:14" x14ac:dyDescent="0.25">
      <c r="A646" s="15">
        <f t="shared" si="177"/>
        <v>2</v>
      </c>
      <c r="B646" s="20">
        <f t="shared" si="180"/>
        <v>645</v>
      </c>
      <c r="C646" s="17">
        <f t="shared" si="174"/>
        <v>20</v>
      </c>
      <c r="D646" s="17" t="str">
        <f t="shared" si="181"/>
        <v>20100309</v>
      </c>
      <c r="E646" s="20" t="str">
        <f t="shared" si="175"/>
        <v>20100309020</v>
      </c>
      <c r="F646" s="19">
        <v>12</v>
      </c>
      <c r="G646" s="19">
        <v>36</v>
      </c>
      <c r="H646" s="19">
        <v>16</v>
      </c>
      <c r="I646" s="19">
        <v>7</v>
      </c>
      <c r="J646" s="19">
        <v>14</v>
      </c>
      <c r="K646" s="19">
        <v>5</v>
      </c>
      <c r="L646" s="19">
        <v>4</v>
      </c>
      <c r="M646" s="19">
        <f t="shared" si="178"/>
        <v>94</v>
      </c>
      <c r="N646" s="27">
        <f t="shared" si="176"/>
        <v>40246</v>
      </c>
    </row>
    <row r="647" spans="1:14" x14ac:dyDescent="0.25">
      <c r="A647" s="15">
        <f t="shared" si="177"/>
        <v>5</v>
      </c>
      <c r="B647" s="20">
        <f t="shared" si="180"/>
        <v>646</v>
      </c>
      <c r="C647" s="17">
        <f t="shared" si="174"/>
        <v>21</v>
      </c>
      <c r="D647" s="17" t="str">
        <f t="shared" si="181"/>
        <v>20100312</v>
      </c>
      <c r="E647" s="20" t="str">
        <f t="shared" si="175"/>
        <v>20100312021</v>
      </c>
      <c r="F647" s="19">
        <v>38</v>
      </c>
      <c r="G647" s="19">
        <v>31</v>
      </c>
      <c r="H647" s="19">
        <v>35</v>
      </c>
      <c r="I647" s="19">
        <v>18</v>
      </c>
      <c r="J647" s="19">
        <v>23</v>
      </c>
      <c r="K647" s="19">
        <v>19</v>
      </c>
      <c r="L647" s="19">
        <v>22</v>
      </c>
      <c r="M647" s="19">
        <f t="shared" si="178"/>
        <v>186</v>
      </c>
      <c r="N647" s="27">
        <f t="shared" si="179"/>
        <v>40249</v>
      </c>
    </row>
    <row r="648" spans="1:14" x14ac:dyDescent="0.25">
      <c r="A648" s="15">
        <f t="shared" si="177"/>
        <v>2</v>
      </c>
      <c r="B648" s="20">
        <f t="shared" si="180"/>
        <v>647</v>
      </c>
      <c r="C648" s="17">
        <f t="shared" si="174"/>
        <v>22</v>
      </c>
      <c r="D648" s="17" t="str">
        <f t="shared" si="181"/>
        <v>20100316</v>
      </c>
      <c r="E648" s="20" t="str">
        <f t="shared" si="175"/>
        <v>20100316022</v>
      </c>
      <c r="F648" s="19">
        <v>26</v>
      </c>
      <c r="G648" s="19">
        <v>36</v>
      </c>
      <c r="H648" s="19">
        <v>39</v>
      </c>
      <c r="I648" s="19">
        <v>46</v>
      </c>
      <c r="J648" s="19">
        <v>37</v>
      </c>
      <c r="K648" s="19">
        <v>41</v>
      </c>
      <c r="L648" s="19">
        <v>4</v>
      </c>
      <c r="M648" s="19">
        <f t="shared" si="178"/>
        <v>229</v>
      </c>
      <c r="N648" s="27">
        <f t="shared" si="176"/>
        <v>40253</v>
      </c>
    </row>
    <row r="649" spans="1:14" x14ac:dyDescent="0.25">
      <c r="A649" s="15">
        <f t="shared" si="177"/>
        <v>5</v>
      </c>
      <c r="B649" s="20">
        <f t="shared" si="180"/>
        <v>648</v>
      </c>
      <c r="C649" s="17">
        <f t="shared" si="174"/>
        <v>23</v>
      </c>
      <c r="D649" s="17" t="str">
        <f t="shared" si="181"/>
        <v>20100319</v>
      </c>
      <c r="E649" s="20" t="str">
        <f t="shared" si="175"/>
        <v>20100319023</v>
      </c>
      <c r="F649" s="19">
        <v>8</v>
      </c>
      <c r="G649" s="19">
        <v>22</v>
      </c>
      <c r="H649" s="19">
        <v>49</v>
      </c>
      <c r="I649" s="19">
        <v>18</v>
      </c>
      <c r="J649" s="19">
        <v>5</v>
      </c>
      <c r="K649" s="19">
        <v>29</v>
      </c>
      <c r="L649" s="19">
        <v>47</v>
      </c>
      <c r="M649" s="19">
        <f t="shared" si="178"/>
        <v>178</v>
      </c>
      <c r="N649" s="27">
        <f t="shared" si="179"/>
        <v>40256</v>
      </c>
    </row>
    <row r="650" spans="1:14" x14ac:dyDescent="0.25">
      <c r="A650" s="15">
        <f t="shared" si="177"/>
        <v>2</v>
      </c>
      <c r="B650" s="20">
        <f t="shared" si="180"/>
        <v>649</v>
      </c>
      <c r="C650" s="17">
        <f t="shared" si="174"/>
        <v>24</v>
      </c>
      <c r="D650" s="17" t="str">
        <f t="shared" si="181"/>
        <v>20100323</v>
      </c>
      <c r="E650" s="20" t="str">
        <f t="shared" si="175"/>
        <v>20100323024</v>
      </c>
      <c r="F650" s="19">
        <v>37</v>
      </c>
      <c r="G650" s="19">
        <v>22</v>
      </c>
      <c r="H650" s="19">
        <v>35</v>
      </c>
      <c r="I650" s="19">
        <v>48</v>
      </c>
      <c r="J650" s="19">
        <v>11</v>
      </c>
      <c r="K650" s="19">
        <v>28</v>
      </c>
      <c r="L650" s="19">
        <v>49</v>
      </c>
      <c r="M650" s="19">
        <f t="shared" si="178"/>
        <v>230</v>
      </c>
      <c r="N650" s="27">
        <f t="shared" si="176"/>
        <v>40260</v>
      </c>
    </row>
    <row r="651" spans="1:14" x14ac:dyDescent="0.25">
      <c r="A651" s="15">
        <f t="shared" si="177"/>
        <v>5</v>
      </c>
      <c r="B651" s="20">
        <f t="shared" si="180"/>
        <v>650</v>
      </c>
      <c r="C651" s="17">
        <f t="shared" si="174"/>
        <v>25</v>
      </c>
      <c r="D651" s="17" t="str">
        <f t="shared" si="181"/>
        <v>20100326</v>
      </c>
      <c r="E651" s="20" t="str">
        <f t="shared" si="175"/>
        <v>20100326025</v>
      </c>
      <c r="F651" s="19">
        <v>36</v>
      </c>
      <c r="G651" s="19">
        <v>17</v>
      </c>
      <c r="H651" s="19">
        <v>19</v>
      </c>
      <c r="I651" s="19">
        <v>9</v>
      </c>
      <c r="J651" s="19">
        <v>23</v>
      </c>
      <c r="K651" s="19">
        <v>35</v>
      </c>
      <c r="L651" s="19">
        <v>34</v>
      </c>
      <c r="M651" s="19">
        <f t="shared" si="178"/>
        <v>173</v>
      </c>
      <c r="N651" s="27">
        <f t="shared" si="179"/>
        <v>40263</v>
      </c>
    </row>
    <row r="652" spans="1:14" x14ac:dyDescent="0.25">
      <c r="A652" s="15">
        <f t="shared" si="177"/>
        <v>2</v>
      </c>
      <c r="B652" s="20">
        <f t="shared" si="180"/>
        <v>651</v>
      </c>
      <c r="C652" s="17">
        <f t="shared" si="174"/>
        <v>26</v>
      </c>
      <c r="D652" s="17" t="str">
        <f t="shared" si="181"/>
        <v>20100330</v>
      </c>
      <c r="E652" s="20" t="str">
        <f t="shared" si="175"/>
        <v>20100330026</v>
      </c>
      <c r="F652" s="19">
        <v>16</v>
      </c>
      <c r="G652" s="19">
        <v>46</v>
      </c>
      <c r="H652" s="19">
        <v>47</v>
      </c>
      <c r="I652" s="19">
        <v>49</v>
      </c>
      <c r="J652" s="19">
        <v>37</v>
      </c>
      <c r="K652" s="19">
        <v>41</v>
      </c>
      <c r="L652" s="19">
        <v>14</v>
      </c>
      <c r="M652" s="19">
        <f t="shared" si="178"/>
        <v>250</v>
      </c>
      <c r="N652" s="27">
        <f t="shared" si="176"/>
        <v>40267</v>
      </c>
    </row>
    <row r="653" spans="1:14" x14ac:dyDescent="0.25">
      <c r="A653" s="15">
        <f t="shared" si="177"/>
        <v>5</v>
      </c>
      <c r="B653" s="20">
        <f t="shared" si="180"/>
        <v>652</v>
      </c>
      <c r="C653" s="17">
        <f t="shared" si="174"/>
        <v>27</v>
      </c>
      <c r="D653" s="17" t="str">
        <f t="shared" si="181"/>
        <v>20100402</v>
      </c>
      <c r="E653" s="20" t="str">
        <f t="shared" si="175"/>
        <v>20100402027</v>
      </c>
      <c r="F653" s="19">
        <v>48</v>
      </c>
      <c r="G653" s="19">
        <v>6</v>
      </c>
      <c r="H653" s="19">
        <v>21</v>
      </c>
      <c r="I653" s="19">
        <v>41</v>
      </c>
      <c r="J653" s="19">
        <v>1</v>
      </c>
      <c r="K653" s="19">
        <v>16</v>
      </c>
      <c r="L653" s="19">
        <v>12</v>
      </c>
      <c r="M653" s="19">
        <f t="shared" si="178"/>
        <v>145</v>
      </c>
      <c r="N653" s="27">
        <f t="shared" si="179"/>
        <v>40270</v>
      </c>
    </row>
    <row r="654" spans="1:14" x14ac:dyDescent="0.25">
      <c r="A654" s="15">
        <f t="shared" si="177"/>
        <v>2</v>
      </c>
      <c r="B654" s="20">
        <f t="shared" si="180"/>
        <v>653</v>
      </c>
      <c r="C654" s="17">
        <f t="shared" si="174"/>
        <v>28</v>
      </c>
      <c r="D654" s="17" t="str">
        <f t="shared" si="181"/>
        <v>20100406</v>
      </c>
      <c r="E654" s="20" t="str">
        <f t="shared" si="175"/>
        <v>20100406028</v>
      </c>
      <c r="F654" s="19">
        <v>9</v>
      </c>
      <c r="G654" s="19">
        <v>23</v>
      </c>
      <c r="H654" s="19">
        <v>31</v>
      </c>
      <c r="I654" s="19">
        <v>28</v>
      </c>
      <c r="J654" s="19">
        <v>27</v>
      </c>
      <c r="K654" s="19">
        <v>41</v>
      </c>
      <c r="L654" s="19">
        <v>44</v>
      </c>
      <c r="M654" s="19">
        <f t="shared" si="178"/>
        <v>203</v>
      </c>
      <c r="N654" s="27">
        <f t="shared" si="176"/>
        <v>40274</v>
      </c>
    </row>
    <row r="655" spans="1:14" x14ac:dyDescent="0.25">
      <c r="A655" s="15">
        <f t="shared" si="177"/>
        <v>5</v>
      </c>
      <c r="B655" s="20">
        <f t="shared" si="180"/>
        <v>654</v>
      </c>
      <c r="C655" s="17">
        <f t="shared" si="174"/>
        <v>29</v>
      </c>
      <c r="D655" s="17" t="str">
        <f t="shared" si="181"/>
        <v>20100409</v>
      </c>
      <c r="E655" s="20" t="str">
        <f t="shared" si="175"/>
        <v>20100409029</v>
      </c>
      <c r="F655" s="19">
        <v>49</v>
      </c>
      <c r="G655" s="19">
        <v>36</v>
      </c>
      <c r="H655" s="19">
        <v>40</v>
      </c>
      <c r="I655" s="19">
        <v>4</v>
      </c>
      <c r="J655" s="19">
        <v>5</v>
      </c>
      <c r="K655" s="19">
        <v>29</v>
      </c>
      <c r="L655" s="19">
        <v>26</v>
      </c>
      <c r="M655" s="19">
        <f t="shared" si="178"/>
        <v>189</v>
      </c>
      <c r="N655" s="27">
        <f t="shared" si="179"/>
        <v>40277</v>
      </c>
    </row>
    <row r="656" spans="1:14" x14ac:dyDescent="0.25">
      <c r="A656" s="15">
        <f t="shared" si="177"/>
        <v>2</v>
      </c>
      <c r="B656" s="20">
        <f t="shared" si="180"/>
        <v>655</v>
      </c>
      <c r="C656" s="17">
        <f t="shared" si="174"/>
        <v>30</v>
      </c>
      <c r="D656" s="17" t="str">
        <f t="shared" si="181"/>
        <v>20100413</v>
      </c>
      <c r="E656" s="20" t="str">
        <f t="shared" si="175"/>
        <v>20100413030</v>
      </c>
      <c r="F656" s="19">
        <v>14</v>
      </c>
      <c r="G656" s="19">
        <v>49</v>
      </c>
      <c r="H656" s="19">
        <v>46</v>
      </c>
      <c r="I656" s="19">
        <v>34</v>
      </c>
      <c r="J656" s="19">
        <v>42</v>
      </c>
      <c r="K656" s="19">
        <v>12</v>
      </c>
      <c r="L656" s="19">
        <v>25</v>
      </c>
      <c r="M656" s="19">
        <f t="shared" si="178"/>
        <v>222</v>
      </c>
      <c r="N656" s="27">
        <f t="shared" si="176"/>
        <v>40281</v>
      </c>
    </row>
    <row r="657" spans="1:14" x14ac:dyDescent="0.25">
      <c r="A657" s="15">
        <f t="shared" si="177"/>
        <v>5</v>
      </c>
      <c r="B657" s="20">
        <f t="shared" si="180"/>
        <v>656</v>
      </c>
      <c r="C657" s="17">
        <f t="shared" si="174"/>
        <v>31</v>
      </c>
      <c r="D657" s="17" t="str">
        <f t="shared" si="181"/>
        <v>20100416</v>
      </c>
      <c r="E657" s="20" t="str">
        <f t="shared" si="175"/>
        <v>20100416031</v>
      </c>
      <c r="F657" s="22">
        <v>34</v>
      </c>
      <c r="G657" s="22">
        <v>31</v>
      </c>
      <c r="H657" s="22">
        <v>1</v>
      </c>
      <c r="I657" s="22">
        <v>24</v>
      </c>
      <c r="J657" s="22">
        <v>40</v>
      </c>
      <c r="K657" s="22">
        <v>30</v>
      </c>
      <c r="L657" s="22">
        <v>43</v>
      </c>
      <c r="M657" s="19">
        <f t="shared" si="178"/>
        <v>203</v>
      </c>
      <c r="N657" s="27">
        <f t="shared" si="179"/>
        <v>40284</v>
      </c>
    </row>
    <row r="658" spans="1:14" x14ac:dyDescent="0.25">
      <c r="A658" s="15">
        <f t="shared" si="177"/>
        <v>2</v>
      </c>
      <c r="B658" s="20">
        <f t="shared" si="180"/>
        <v>657</v>
      </c>
      <c r="C658" s="17">
        <f t="shared" si="174"/>
        <v>32</v>
      </c>
      <c r="D658" s="17" t="str">
        <f t="shared" si="181"/>
        <v>20100420</v>
      </c>
      <c r="E658" s="20" t="str">
        <f t="shared" si="175"/>
        <v>20100420032</v>
      </c>
      <c r="F658" s="19">
        <v>7</v>
      </c>
      <c r="G658" s="19">
        <v>41</v>
      </c>
      <c r="H658" s="19">
        <v>23</v>
      </c>
      <c r="I658" s="19">
        <v>32</v>
      </c>
      <c r="J658" s="19">
        <v>2</v>
      </c>
      <c r="K658" s="19">
        <v>21</v>
      </c>
      <c r="L658" s="19">
        <v>42</v>
      </c>
      <c r="M658" s="19">
        <f t="shared" si="178"/>
        <v>168</v>
      </c>
      <c r="N658" s="27">
        <f t="shared" si="176"/>
        <v>40288</v>
      </c>
    </row>
    <row r="659" spans="1:14" x14ac:dyDescent="0.25">
      <c r="A659" s="15">
        <f t="shared" si="177"/>
        <v>5</v>
      </c>
      <c r="B659" s="20">
        <f t="shared" si="180"/>
        <v>658</v>
      </c>
      <c r="C659" s="17">
        <f t="shared" si="174"/>
        <v>33</v>
      </c>
      <c r="D659" s="17" t="str">
        <f t="shared" si="181"/>
        <v>20100423</v>
      </c>
      <c r="E659" s="20" t="str">
        <f t="shared" si="175"/>
        <v>20100423033</v>
      </c>
      <c r="F659" s="19">
        <v>47</v>
      </c>
      <c r="G659" s="19">
        <v>45</v>
      </c>
      <c r="H659" s="19">
        <v>4</v>
      </c>
      <c r="I659" s="19">
        <v>30</v>
      </c>
      <c r="J659" s="19">
        <v>3</v>
      </c>
      <c r="K659" s="19">
        <v>49</v>
      </c>
      <c r="L659" s="19">
        <v>27</v>
      </c>
      <c r="M659" s="19">
        <f t="shared" si="178"/>
        <v>205</v>
      </c>
      <c r="N659" s="27">
        <f t="shared" si="179"/>
        <v>40291</v>
      </c>
    </row>
    <row r="660" spans="1:14" x14ac:dyDescent="0.25">
      <c r="A660" s="15">
        <f t="shared" si="177"/>
        <v>2</v>
      </c>
      <c r="B660" s="20">
        <f t="shared" si="180"/>
        <v>659</v>
      </c>
      <c r="C660" s="17">
        <f t="shared" si="174"/>
        <v>34</v>
      </c>
      <c r="D660" s="17" t="str">
        <f t="shared" si="181"/>
        <v>20100427</v>
      </c>
      <c r="E660" s="20" t="str">
        <f t="shared" si="175"/>
        <v>20100427034</v>
      </c>
      <c r="F660" s="19">
        <v>34</v>
      </c>
      <c r="G660" s="19">
        <v>35</v>
      </c>
      <c r="H660" s="19">
        <v>12</v>
      </c>
      <c r="I660" s="19">
        <v>48</v>
      </c>
      <c r="J660" s="19">
        <v>14</v>
      </c>
      <c r="K660" s="19">
        <v>16</v>
      </c>
      <c r="L660" s="19">
        <v>43</v>
      </c>
      <c r="M660" s="19">
        <f t="shared" si="178"/>
        <v>202</v>
      </c>
      <c r="N660" s="27">
        <f t="shared" si="176"/>
        <v>40295</v>
      </c>
    </row>
    <row r="661" spans="1:14" x14ac:dyDescent="0.25">
      <c r="A661" s="15">
        <f t="shared" si="177"/>
        <v>5</v>
      </c>
      <c r="B661" s="20">
        <f t="shared" si="180"/>
        <v>660</v>
      </c>
      <c r="C661" s="17">
        <f t="shared" si="174"/>
        <v>35</v>
      </c>
      <c r="D661" s="17" t="str">
        <f t="shared" si="181"/>
        <v>20100430</v>
      </c>
      <c r="E661" s="20" t="str">
        <f t="shared" si="175"/>
        <v>20100430035</v>
      </c>
      <c r="F661" s="19">
        <v>44</v>
      </c>
      <c r="G661" s="19">
        <v>35</v>
      </c>
      <c r="H661" s="19">
        <v>37</v>
      </c>
      <c r="I661" s="19">
        <v>39</v>
      </c>
      <c r="J661" s="19">
        <v>8</v>
      </c>
      <c r="K661" s="19">
        <v>36</v>
      </c>
      <c r="L661" s="19">
        <v>20</v>
      </c>
      <c r="M661" s="19">
        <f t="shared" si="178"/>
        <v>219</v>
      </c>
      <c r="N661" s="27">
        <f t="shared" si="179"/>
        <v>40298</v>
      </c>
    </row>
    <row r="662" spans="1:14" x14ac:dyDescent="0.25">
      <c r="A662" s="15">
        <f t="shared" si="177"/>
        <v>2</v>
      </c>
      <c r="B662" s="20">
        <f t="shared" si="180"/>
        <v>661</v>
      </c>
      <c r="C662" s="17">
        <f t="shared" si="174"/>
        <v>36</v>
      </c>
      <c r="D662" s="17" t="str">
        <f t="shared" si="181"/>
        <v>20100504</v>
      </c>
      <c r="E662" s="20" t="str">
        <f t="shared" si="175"/>
        <v>20100504036</v>
      </c>
      <c r="F662" s="19">
        <v>15</v>
      </c>
      <c r="G662" s="19">
        <v>35</v>
      </c>
      <c r="H662" s="19">
        <v>4</v>
      </c>
      <c r="I662" s="19">
        <v>32</v>
      </c>
      <c r="J662" s="19">
        <v>34</v>
      </c>
      <c r="K662" s="19">
        <v>23</v>
      </c>
      <c r="L662" s="19">
        <v>18</v>
      </c>
      <c r="M662" s="19">
        <f t="shared" si="178"/>
        <v>161</v>
      </c>
      <c r="N662" s="27">
        <f t="shared" si="176"/>
        <v>40302</v>
      </c>
    </row>
    <row r="663" spans="1:14" x14ac:dyDescent="0.25">
      <c r="A663" s="15">
        <f t="shared" si="177"/>
        <v>5</v>
      </c>
      <c r="B663" s="20">
        <f t="shared" si="180"/>
        <v>662</v>
      </c>
      <c r="C663" s="17">
        <f t="shared" si="174"/>
        <v>37</v>
      </c>
      <c r="D663" s="17" t="str">
        <f t="shared" si="181"/>
        <v>20100507</v>
      </c>
      <c r="E663" s="20" t="str">
        <f t="shared" si="175"/>
        <v>20100507037</v>
      </c>
      <c r="F663" s="19">
        <v>38</v>
      </c>
      <c r="G663" s="19">
        <v>23</v>
      </c>
      <c r="H663" s="19">
        <v>49</v>
      </c>
      <c r="I663" s="19">
        <v>28</v>
      </c>
      <c r="J663" s="19">
        <v>19</v>
      </c>
      <c r="K663" s="19">
        <v>32</v>
      </c>
      <c r="L663" s="19">
        <v>20</v>
      </c>
      <c r="M663" s="19">
        <f t="shared" si="178"/>
        <v>209</v>
      </c>
      <c r="N663" s="27">
        <f t="shared" si="179"/>
        <v>40305</v>
      </c>
    </row>
    <row r="664" spans="1:14" x14ac:dyDescent="0.25">
      <c r="A664" s="15">
        <f t="shared" si="177"/>
        <v>2</v>
      </c>
      <c r="B664" s="20">
        <f t="shared" si="180"/>
        <v>663</v>
      </c>
      <c r="C664" s="17">
        <f t="shared" si="174"/>
        <v>38</v>
      </c>
      <c r="D664" s="17" t="str">
        <f t="shared" si="181"/>
        <v>20100511</v>
      </c>
      <c r="E664" s="20" t="str">
        <f t="shared" si="175"/>
        <v>20100511038</v>
      </c>
      <c r="F664" s="19">
        <v>42</v>
      </c>
      <c r="G664" s="19">
        <v>45</v>
      </c>
      <c r="H664" s="19">
        <v>11</v>
      </c>
      <c r="I664" s="19">
        <v>13</v>
      </c>
      <c r="J664" s="19">
        <v>33</v>
      </c>
      <c r="K664" s="19">
        <v>29</v>
      </c>
      <c r="L664" s="19">
        <v>2</v>
      </c>
      <c r="M664" s="19">
        <f t="shared" si="178"/>
        <v>175</v>
      </c>
      <c r="N664" s="27">
        <f t="shared" si="176"/>
        <v>40309</v>
      </c>
    </row>
    <row r="665" spans="1:14" x14ac:dyDescent="0.25">
      <c r="A665" s="15">
        <f t="shared" si="177"/>
        <v>5</v>
      </c>
      <c r="B665" s="20">
        <f t="shared" si="180"/>
        <v>664</v>
      </c>
      <c r="C665" s="17">
        <f t="shared" si="174"/>
        <v>39</v>
      </c>
      <c r="D665" s="17" t="str">
        <f t="shared" si="181"/>
        <v>20100514</v>
      </c>
      <c r="E665" s="20" t="str">
        <f t="shared" si="175"/>
        <v>20100514039</v>
      </c>
      <c r="F665" s="19">
        <v>16</v>
      </c>
      <c r="G665" s="19">
        <v>28</v>
      </c>
      <c r="H665" s="19">
        <v>47</v>
      </c>
      <c r="I665" s="19">
        <v>6</v>
      </c>
      <c r="J665" s="19">
        <v>21</v>
      </c>
      <c r="K665" s="19">
        <v>3</v>
      </c>
      <c r="L665" s="19">
        <v>18</v>
      </c>
      <c r="M665" s="19">
        <f t="shared" si="178"/>
        <v>139</v>
      </c>
      <c r="N665" s="27">
        <f t="shared" si="179"/>
        <v>40312</v>
      </c>
    </row>
    <row r="666" spans="1:14" x14ac:dyDescent="0.25">
      <c r="A666" s="15">
        <f t="shared" si="177"/>
        <v>2</v>
      </c>
      <c r="B666" s="20">
        <f t="shared" si="180"/>
        <v>665</v>
      </c>
      <c r="C666" s="17">
        <f t="shared" si="174"/>
        <v>40</v>
      </c>
      <c r="D666" s="17" t="str">
        <f t="shared" si="181"/>
        <v>20100518</v>
      </c>
      <c r="E666" s="20" t="str">
        <f t="shared" si="175"/>
        <v>20100518040</v>
      </c>
      <c r="F666" s="19">
        <v>33</v>
      </c>
      <c r="G666" s="19">
        <v>3</v>
      </c>
      <c r="H666" s="19">
        <v>6</v>
      </c>
      <c r="I666" s="19">
        <v>27</v>
      </c>
      <c r="J666" s="19">
        <v>14</v>
      </c>
      <c r="K666" s="19">
        <v>28</v>
      </c>
      <c r="L666" s="19">
        <v>5</v>
      </c>
      <c r="M666" s="19">
        <f t="shared" si="178"/>
        <v>116</v>
      </c>
      <c r="N666" s="27">
        <f t="shared" si="176"/>
        <v>40316</v>
      </c>
    </row>
    <row r="667" spans="1:14" x14ac:dyDescent="0.25">
      <c r="A667" s="15">
        <f t="shared" si="177"/>
        <v>5</v>
      </c>
      <c r="B667" s="20">
        <f t="shared" si="180"/>
        <v>666</v>
      </c>
      <c r="C667" s="17">
        <f t="shared" si="174"/>
        <v>41</v>
      </c>
      <c r="D667" s="17" t="str">
        <f t="shared" si="181"/>
        <v>20100521</v>
      </c>
      <c r="E667" s="20" t="str">
        <f t="shared" si="175"/>
        <v>20100521041</v>
      </c>
      <c r="F667" s="19">
        <v>44</v>
      </c>
      <c r="G667" s="19">
        <v>12</v>
      </c>
      <c r="H667" s="19">
        <v>27</v>
      </c>
      <c r="I667" s="19">
        <v>16</v>
      </c>
      <c r="J667" s="19">
        <v>47</v>
      </c>
      <c r="K667" s="19">
        <v>4</v>
      </c>
      <c r="L667" s="19">
        <v>39</v>
      </c>
      <c r="M667" s="19">
        <f t="shared" si="178"/>
        <v>189</v>
      </c>
      <c r="N667" s="27">
        <f t="shared" si="179"/>
        <v>40319</v>
      </c>
    </row>
    <row r="668" spans="1:14" x14ac:dyDescent="0.25">
      <c r="A668" s="15">
        <f t="shared" si="177"/>
        <v>2</v>
      </c>
      <c r="B668" s="20">
        <f t="shared" si="180"/>
        <v>667</v>
      </c>
      <c r="C668" s="17">
        <f t="shared" si="174"/>
        <v>42</v>
      </c>
      <c r="D668" s="17" t="str">
        <f t="shared" si="181"/>
        <v>20100525</v>
      </c>
      <c r="E668" s="20" t="str">
        <f t="shared" si="175"/>
        <v>20100525042</v>
      </c>
      <c r="F668" s="19">
        <v>1</v>
      </c>
      <c r="G668" s="19">
        <v>30</v>
      </c>
      <c r="H668" s="19">
        <v>43</v>
      </c>
      <c r="I668" s="19">
        <v>32</v>
      </c>
      <c r="J668" s="19">
        <v>20</v>
      </c>
      <c r="K668" s="19">
        <v>34</v>
      </c>
      <c r="L668" s="19">
        <v>3</v>
      </c>
      <c r="M668" s="19">
        <f t="shared" si="178"/>
        <v>163</v>
      </c>
      <c r="N668" s="27">
        <f t="shared" si="176"/>
        <v>40323</v>
      </c>
    </row>
    <row r="669" spans="1:14" x14ac:dyDescent="0.25">
      <c r="A669" s="15">
        <f t="shared" si="177"/>
        <v>5</v>
      </c>
      <c r="B669" s="20">
        <f t="shared" si="180"/>
        <v>668</v>
      </c>
      <c r="C669" s="17">
        <f t="shared" si="174"/>
        <v>43</v>
      </c>
      <c r="D669" s="17" t="str">
        <f t="shared" si="181"/>
        <v>20100528</v>
      </c>
      <c r="E669" s="20" t="str">
        <f t="shared" si="175"/>
        <v>20100528043</v>
      </c>
      <c r="F669" s="19">
        <v>20</v>
      </c>
      <c r="G669" s="19">
        <v>43</v>
      </c>
      <c r="H669" s="19">
        <v>19</v>
      </c>
      <c r="I669" s="19">
        <v>3</v>
      </c>
      <c r="J669" s="19">
        <v>26</v>
      </c>
      <c r="K669" s="19">
        <v>18</v>
      </c>
      <c r="L669" s="19">
        <v>10</v>
      </c>
      <c r="M669" s="19">
        <f t="shared" si="178"/>
        <v>139</v>
      </c>
      <c r="N669" s="27">
        <f t="shared" si="179"/>
        <v>40326</v>
      </c>
    </row>
    <row r="670" spans="1:14" x14ac:dyDescent="0.25">
      <c r="A670" s="15">
        <f t="shared" si="177"/>
        <v>2</v>
      </c>
      <c r="B670" s="20">
        <f t="shared" si="180"/>
        <v>669</v>
      </c>
      <c r="C670" s="17">
        <f t="shared" si="174"/>
        <v>44</v>
      </c>
      <c r="D670" s="17" t="str">
        <f t="shared" si="181"/>
        <v>20100601</v>
      </c>
      <c r="E670" s="20" t="str">
        <f t="shared" si="175"/>
        <v>20100601044</v>
      </c>
      <c r="F670" s="19">
        <v>2</v>
      </c>
      <c r="G670" s="19">
        <v>40</v>
      </c>
      <c r="H670" s="19">
        <v>5</v>
      </c>
      <c r="I670" s="19">
        <v>15</v>
      </c>
      <c r="J670" s="19">
        <v>35</v>
      </c>
      <c r="K670" s="19">
        <v>28</v>
      </c>
      <c r="L670" s="19">
        <v>1</v>
      </c>
      <c r="M670" s="19">
        <f t="shared" si="178"/>
        <v>126</v>
      </c>
      <c r="N670" s="27">
        <f t="shared" si="176"/>
        <v>40330</v>
      </c>
    </row>
    <row r="671" spans="1:14" x14ac:dyDescent="0.25">
      <c r="A671" s="15">
        <f t="shared" si="177"/>
        <v>5</v>
      </c>
      <c r="B671" s="20">
        <f t="shared" si="180"/>
        <v>670</v>
      </c>
      <c r="C671" s="17">
        <f t="shared" si="174"/>
        <v>45</v>
      </c>
      <c r="D671" s="17" t="str">
        <f t="shared" si="181"/>
        <v>20100604</v>
      </c>
      <c r="E671" s="20" t="str">
        <f t="shared" si="175"/>
        <v>20100604045</v>
      </c>
      <c r="F671" s="19">
        <v>39</v>
      </c>
      <c r="G671" s="19">
        <v>27</v>
      </c>
      <c r="H671" s="19">
        <v>28</v>
      </c>
      <c r="I671" s="19">
        <v>15</v>
      </c>
      <c r="J671" s="19">
        <v>11</v>
      </c>
      <c r="K671" s="19">
        <v>37</v>
      </c>
      <c r="L671" s="19">
        <v>4</v>
      </c>
      <c r="M671" s="19">
        <f t="shared" si="178"/>
        <v>161</v>
      </c>
      <c r="N671" s="27">
        <f t="shared" si="179"/>
        <v>40333</v>
      </c>
    </row>
    <row r="672" spans="1:14" x14ac:dyDescent="0.25">
      <c r="A672" s="15">
        <f t="shared" si="177"/>
        <v>2</v>
      </c>
      <c r="B672" s="20">
        <f t="shared" si="180"/>
        <v>671</v>
      </c>
      <c r="C672" s="17">
        <f t="shared" si="174"/>
        <v>46</v>
      </c>
      <c r="D672" s="17" t="str">
        <f t="shared" si="181"/>
        <v>20100608</v>
      </c>
      <c r="E672" s="20" t="str">
        <f t="shared" si="175"/>
        <v>20100608046</v>
      </c>
      <c r="F672" s="19">
        <v>46</v>
      </c>
      <c r="G672" s="19">
        <v>40</v>
      </c>
      <c r="H672" s="19">
        <v>42</v>
      </c>
      <c r="I672" s="19">
        <v>24</v>
      </c>
      <c r="J672" s="19">
        <v>8</v>
      </c>
      <c r="K672" s="19">
        <v>25</v>
      </c>
      <c r="L672" s="19">
        <v>10</v>
      </c>
      <c r="M672" s="19">
        <f t="shared" si="178"/>
        <v>195</v>
      </c>
      <c r="N672" s="27">
        <f t="shared" si="176"/>
        <v>40337</v>
      </c>
    </row>
    <row r="673" spans="1:14" x14ac:dyDescent="0.25">
      <c r="A673" s="15">
        <f t="shared" si="177"/>
        <v>5</v>
      </c>
      <c r="B673" s="20">
        <f t="shared" si="180"/>
        <v>672</v>
      </c>
      <c r="C673" s="17">
        <f t="shared" si="174"/>
        <v>47</v>
      </c>
      <c r="D673" s="17" t="str">
        <f t="shared" si="181"/>
        <v>20100611</v>
      </c>
      <c r="E673" s="20" t="str">
        <f t="shared" si="175"/>
        <v>20100611047</v>
      </c>
      <c r="F673" s="19">
        <v>42</v>
      </c>
      <c r="G673" s="19">
        <v>43</v>
      </c>
      <c r="H673" s="19">
        <v>20</v>
      </c>
      <c r="I673" s="19">
        <v>21</v>
      </c>
      <c r="J673" s="19">
        <v>27</v>
      </c>
      <c r="K673" s="19">
        <v>1</v>
      </c>
      <c r="L673" s="19">
        <v>26</v>
      </c>
      <c r="M673" s="19">
        <f t="shared" si="178"/>
        <v>180</v>
      </c>
      <c r="N673" s="27">
        <f t="shared" si="179"/>
        <v>40340</v>
      </c>
    </row>
    <row r="674" spans="1:14" x14ac:dyDescent="0.25">
      <c r="A674" s="15">
        <f t="shared" si="177"/>
        <v>2</v>
      </c>
      <c r="B674" s="20">
        <f t="shared" si="180"/>
        <v>673</v>
      </c>
      <c r="C674" s="17">
        <f t="shared" si="174"/>
        <v>48</v>
      </c>
      <c r="D674" s="17" t="str">
        <f t="shared" si="181"/>
        <v>20100615</v>
      </c>
      <c r="E674" s="20" t="str">
        <f t="shared" si="175"/>
        <v>20100615048</v>
      </c>
      <c r="F674" s="19">
        <v>27</v>
      </c>
      <c r="G674" s="19">
        <v>2</v>
      </c>
      <c r="H674" s="19">
        <v>4</v>
      </c>
      <c r="I674" s="19">
        <v>20</v>
      </c>
      <c r="J674" s="19">
        <v>17</v>
      </c>
      <c r="K674" s="19">
        <v>44</v>
      </c>
      <c r="L674" s="19">
        <v>24</v>
      </c>
      <c r="M674" s="19">
        <f t="shared" si="178"/>
        <v>138</v>
      </c>
      <c r="N674" s="27">
        <f t="shared" si="176"/>
        <v>40344</v>
      </c>
    </row>
    <row r="675" spans="1:14" x14ac:dyDescent="0.25">
      <c r="A675" s="15">
        <f t="shared" si="177"/>
        <v>5</v>
      </c>
      <c r="B675" s="20">
        <f t="shared" si="180"/>
        <v>674</v>
      </c>
      <c r="C675" s="17">
        <f t="shared" si="174"/>
        <v>49</v>
      </c>
      <c r="D675" s="17" t="str">
        <f t="shared" si="181"/>
        <v>20100618</v>
      </c>
      <c r="E675" s="20" t="str">
        <f t="shared" si="175"/>
        <v>20100618049</v>
      </c>
      <c r="F675" s="19">
        <v>48</v>
      </c>
      <c r="G675" s="19">
        <v>26</v>
      </c>
      <c r="H675" s="19">
        <v>2</v>
      </c>
      <c r="I675" s="19">
        <v>5</v>
      </c>
      <c r="J675" s="19">
        <v>15</v>
      </c>
      <c r="K675" s="19">
        <v>20</v>
      </c>
      <c r="L675" s="19">
        <v>8</v>
      </c>
      <c r="M675" s="19">
        <f t="shared" si="178"/>
        <v>124</v>
      </c>
      <c r="N675" s="27">
        <f t="shared" si="179"/>
        <v>40347</v>
      </c>
    </row>
    <row r="676" spans="1:14" x14ac:dyDescent="0.25">
      <c r="A676" s="15">
        <f t="shared" si="177"/>
        <v>2</v>
      </c>
      <c r="B676" s="20">
        <f t="shared" si="180"/>
        <v>675</v>
      </c>
      <c r="C676" s="17">
        <f t="shared" si="174"/>
        <v>50</v>
      </c>
      <c r="D676" s="17" t="str">
        <f t="shared" si="181"/>
        <v>20100622</v>
      </c>
      <c r="E676" s="20" t="str">
        <f t="shared" si="175"/>
        <v>20100622050</v>
      </c>
      <c r="F676" s="19">
        <v>15</v>
      </c>
      <c r="G676" s="19">
        <v>9</v>
      </c>
      <c r="H676" s="19">
        <v>36</v>
      </c>
      <c r="I676" s="19">
        <v>26</v>
      </c>
      <c r="J676" s="19">
        <v>42</v>
      </c>
      <c r="K676" s="19">
        <v>48</v>
      </c>
      <c r="L676" s="19">
        <v>40</v>
      </c>
      <c r="M676" s="19">
        <f t="shared" si="178"/>
        <v>216</v>
      </c>
      <c r="N676" s="27">
        <f t="shared" si="176"/>
        <v>40351</v>
      </c>
    </row>
    <row r="677" spans="1:14" x14ac:dyDescent="0.25">
      <c r="A677" s="15">
        <f t="shared" si="177"/>
        <v>5</v>
      </c>
      <c r="B677" s="20">
        <f t="shared" si="180"/>
        <v>676</v>
      </c>
      <c r="C677" s="17">
        <f t="shared" si="174"/>
        <v>51</v>
      </c>
      <c r="D677" s="17" t="str">
        <f t="shared" si="181"/>
        <v>20100625</v>
      </c>
      <c r="E677" s="20" t="str">
        <f t="shared" si="175"/>
        <v>20100625051</v>
      </c>
      <c r="F677" s="19">
        <v>47</v>
      </c>
      <c r="G677" s="19">
        <v>11</v>
      </c>
      <c r="H677" s="19">
        <v>27</v>
      </c>
      <c r="I677" s="19">
        <v>24</v>
      </c>
      <c r="J677" s="19">
        <v>46</v>
      </c>
      <c r="K677" s="19">
        <v>39</v>
      </c>
      <c r="L677" s="19">
        <v>20</v>
      </c>
      <c r="M677" s="19">
        <f t="shared" si="178"/>
        <v>214</v>
      </c>
      <c r="N677" s="27">
        <f t="shared" si="179"/>
        <v>40354</v>
      </c>
    </row>
    <row r="678" spans="1:14" x14ac:dyDescent="0.25">
      <c r="A678" s="15">
        <f t="shared" si="177"/>
        <v>2</v>
      </c>
      <c r="B678" s="20">
        <f t="shared" si="180"/>
        <v>677</v>
      </c>
      <c r="C678" s="17">
        <f t="shared" si="174"/>
        <v>52</v>
      </c>
      <c r="D678" s="17" t="str">
        <f t="shared" si="181"/>
        <v>20100629</v>
      </c>
      <c r="E678" s="20" t="str">
        <f t="shared" si="175"/>
        <v>20100629052</v>
      </c>
      <c r="F678" s="19">
        <v>1</v>
      </c>
      <c r="G678" s="19">
        <v>4</v>
      </c>
      <c r="H678" s="19">
        <v>11</v>
      </c>
      <c r="I678" s="19">
        <v>48</v>
      </c>
      <c r="J678" s="19">
        <v>20</v>
      </c>
      <c r="K678" s="19">
        <v>18</v>
      </c>
      <c r="L678" s="19">
        <v>5</v>
      </c>
      <c r="M678" s="19">
        <f t="shared" si="178"/>
        <v>107</v>
      </c>
      <c r="N678" s="27">
        <f t="shared" si="176"/>
        <v>40358</v>
      </c>
    </row>
    <row r="679" spans="1:14" x14ac:dyDescent="0.25">
      <c r="A679" s="15">
        <f t="shared" si="177"/>
        <v>5</v>
      </c>
      <c r="B679" s="20">
        <f t="shared" si="180"/>
        <v>678</v>
      </c>
      <c r="C679" s="17">
        <f t="shared" si="174"/>
        <v>53</v>
      </c>
      <c r="D679" s="17" t="str">
        <f t="shared" si="181"/>
        <v>20100702</v>
      </c>
      <c r="E679" s="20" t="str">
        <f t="shared" si="175"/>
        <v>20100702053</v>
      </c>
      <c r="F679" s="19">
        <v>23</v>
      </c>
      <c r="G679" s="19">
        <v>32</v>
      </c>
      <c r="H679" s="19">
        <v>45</v>
      </c>
      <c r="I679" s="19">
        <v>7</v>
      </c>
      <c r="J679" s="19">
        <v>20</v>
      </c>
      <c r="K679" s="19">
        <v>10</v>
      </c>
      <c r="L679" s="19">
        <v>17</v>
      </c>
      <c r="M679" s="19">
        <f t="shared" si="178"/>
        <v>154</v>
      </c>
      <c r="N679" s="27">
        <f t="shared" si="179"/>
        <v>40361</v>
      </c>
    </row>
    <row r="680" spans="1:14" x14ac:dyDescent="0.25">
      <c r="A680" s="15">
        <f t="shared" si="177"/>
        <v>2</v>
      </c>
      <c r="B680" s="20">
        <f t="shared" si="180"/>
        <v>679</v>
      </c>
      <c r="C680" s="17">
        <f t="shared" si="174"/>
        <v>54</v>
      </c>
      <c r="D680" s="17" t="str">
        <f t="shared" si="181"/>
        <v>20100706</v>
      </c>
      <c r="E680" s="20" t="str">
        <f t="shared" si="175"/>
        <v>20100706054</v>
      </c>
      <c r="F680" s="19">
        <v>5</v>
      </c>
      <c r="G680" s="19">
        <v>21</v>
      </c>
      <c r="H680" s="19">
        <v>48</v>
      </c>
      <c r="I680" s="19">
        <v>43</v>
      </c>
      <c r="J680" s="19">
        <v>25</v>
      </c>
      <c r="K680" s="19">
        <v>11</v>
      </c>
      <c r="L680" s="19">
        <v>31</v>
      </c>
      <c r="M680" s="19">
        <f t="shared" si="178"/>
        <v>184</v>
      </c>
      <c r="N680" s="27">
        <f t="shared" si="176"/>
        <v>40365</v>
      </c>
    </row>
    <row r="681" spans="1:14" x14ac:dyDescent="0.25">
      <c r="A681" s="15">
        <f t="shared" si="177"/>
        <v>5</v>
      </c>
      <c r="B681" s="20">
        <f t="shared" si="180"/>
        <v>680</v>
      </c>
      <c r="C681" s="17">
        <f t="shared" si="174"/>
        <v>55</v>
      </c>
      <c r="D681" s="17" t="str">
        <f t="shared" si="181"/>
        <v>20100709</v>
      </c>
      <c r="E681" s="20" t="str">
        <f t="shared" si="175"/>
        <v>20100709055</v>
      </c>
      <c r="F681" s="19">
        <v>24</v>
      </c>
      <c r="G681" s="19">
        <v>35</v>
      </c>
      <c r="H681" s="19">
        <v>32</v>
      </c>
      <c r="I681" s="19">
        <v>11</v>
      </c>
      <c r="J681" s="19">
        <v>25</v>
      </c>
      <c r="K681" s="19">
        <v>33</v>
      </c>
      <c r="L681" s="19">
        <v>23</v>
      </c>
      <c r="M681" s="19">
        <f t="shared" si="178"/>
        <v>183</v>
      </c>
      <c r="N681" s="27">
        <f t="shared" si="179"/>
        <v>40368</v>
      </c>
    </row>
    <row r="682" spans="1:14" x14ac:dyDescent="0.25">
      <c r="A682" s="15">
        <f t="shared" si="177"/>
        <v>2</v>
      </c>
      <c r="B682" s="20">
        <f t="shared" si="180"/>
        <v>681</v>
      </c>
      <c r="C682" s="17">
        <f t="shared" si="174"/>
        <v>56</v>
      </c>
      <c r="D682" s="17" t="str">
        <f t="shared" si="181"/>
        <v>20100713</v>
      </c>
      <c r="E682" s="20" t="str">
        <f t="shared" si="175"/>
        <v>20100713056</v>
      </c>
      <c r="F682" s="19">
        <v>2</v>
      </c>
      <c r="G682" s="19">
        <v>31</v>
      </c>
      <c r="H682" s="19">
        <v>34</v>
      </c>
      <c r="I682" s="19">
        <v>5</v>
      </c>
      <c r="J682" s="19">
        <v>8</v>
      </c>
      <c r="K682" s="19">
        <v>15</v>
      </c>
      <c r="L682" s="19">
        <v>12</v>
      </c>
      <c r="M682" s="19">
        <f t="shared" si="178"/>
        <v>107</v>
      </c>
      <c r="N682" s="27">
        <f t="shared" si="176"/>
        <v>40372</v>
      </c>
    </row>
    <row r="683" spans="1:14" x14ac:dyDescent="0.25">
      <c r="A683" s="15">
        <f t="shared" si="177"/>
        <v>5</v>
      </c>
      <c r="B683" s="20">
        <f t="shared" si="180"/>
        <v>682</v>
      </c>
      <c r="C683" s="17">
        <f t="shared" si="174"/>
        <v>57</v>
      </c>
      <c r="D683" s="17" t="str">
        <f t="shared" si="181"/>
        <v>20100716</v>
      </c>
      <c r="E683" s="20" t="str">
        <f t="shared" si="175"/>
        <v>20100716057</v>
      </c>
      <c r="F683" s="19">
        <v>17</v>
      </c>
      <c r="G683" s="19">
        <v>16</v>
      </c>
      <c r="H683" s="19">
        <v>32</v>
      </c>
      <c r="I683" s="19">
        <v>20</v>
      </c>
      <c r="J683" s="19">
        <v>18</v>
      </c>
      <c r="K683" s="19">
        <v>45</v>
      </c>
      <c r="L683" s="19">
        <v>9</v>
      </c>
      <c r="M683" s="19">
        <f t="shared" si="178"/>
        <v>157</v>
      </c>
      <c r="N683" s="27">
        <f t="shared" si="179"/>
        <v>40375</v>
      </c>
    </row>
    <row r="684" spans="1:14" x14ac:dyDescent="0.25">
      <c r="A684" s="15">
        <f t="shared" si="177"/>
        <v>2</v>
      </c>
      <c r="B684" s="20">
        <f t="shared" si="180"/>
        <v>683</v>
      </c>
      <c r="C684" s="17">
        <f t="shared" si="174"/>
        <v>58</v>
      </c>
      <c r="D684" s="17" t="str">
        <f t="shared" si="181"/>
        <v>20100720</v>
      </c>
      <c r="E684" s="20" t="str">
        <f t="shared" si="175"/>
        <v>20100720058</v>
      </c>
      <c r="F684" s="19">
        <v>23</v>
      </c>
      <c r="G684" s="19">
        <v>29</v>
      </c>
      <c r="H684" s="19">
        <v>5</v>
      </c>
      <c r="I684" s="19">
        <v>43</v>
      </c>
      <c r="J684" s="19">
        <v>27</v>
      </c>
      <c r="K684" s="19">
        <v>22</v>
      </c>
      <c r="L684" s="19">
        <v>47</v>
      </c>
      <c r="M684" s="19">
        <f t="shared" si="178"/>
        <v>196</v>
      </c>
      <c r="N684" s="27">
        <f t="shared" si="176"/>
        <v>40379</v>
      </c>
    </row>
    <row r="685" spans="1:14" x14ac:dyDescent="0.25">
      <c r="A685" s="15">
        <f t="shared" si="177"/>
        <v>5</v>
      </c>
      <c r="B685" s="20">
        <f t="shared" si="180"/>
        <v>684</v>
      </c>
      <c r="C685" s="17">
        <f t="shared" si="174"/>
        <v>59</v>
      </c>
      <c r="D685" s="17" t="str">
        <f t="shared" si="181"/>
        <v>20100723</v>
      </c>
      <c r="E685" s="20" t="str">
        <f t="shared" si="175"/>
        <v>20100723059</v>
      </c>
      <c r="F685" s="19">
        <v>43</v>
      </c>
      <c r="G685" s="19">
        <v>49</v>
      </c>
      <c r="H685" s="19">
        <v>42</v>
      </c>
      <c r="I685" s="19">
        <v>15</v>
      </c>
      <c r="J685" s="19">
        <v>8</v>
      </c>
      <c r="K685" s="19">
        <v>22</v>
      </c>
      <c r="L685" s="19">
        <v>7</v>
      </c>
      <c r="M685" s="19">
        <f t="shared" si="178"/>
        <v>186</v>
      </c>
      <c r="N685" s="27">
        <f t="shared" si="179"/>
        <v>40382</v>
      </c>
    </row>
    <row r="686" spans="1:14" x14ac:dyDescent="0.25">
      <c r="A686" s="15">
        <f t="shared" si="177"/>
        <v>2</v>
      </c>
      <c r="B686" s="20">
        <f t="shared" si="180"/>
        <v>685</v>
      </c>
      <c r="C686" s="17">
        <f t="shared" si="174"/>
        <v>60</v>
      </c>
      <c r="D686" s="17" t="str">
        <f t="shared" si="181"/>
        <v>20100727</v>
      </c>
      <c r="E686" s="20" t="str">
        <f t="shared" si="175"/>
        <v>20100727060</v>
      </c>
      <c r="F686" s="19">
        <v>38</v>
      </c>
      <c r="G686" s="19">
        <v>33</v>
      </c>
      <c r="H686" s="19">
        <v>44</v>
      </c>
      <c r="I686" s="19">
        <v>49</v>
      </c>
      <c r="J686" s="19">
        <v>15</v>
      </c>
      <c r="K686" s="19">
        <v>3</v>
      </c>
      <c r="L686" s="19">
        <v>30</v>
      </c>
      <c r="M686" s="19">
        <f t="shared" si="178"/>
        <v>212</v>
      </c>
      <c r="N686" s="27">
        <f t="shared" si="176"/>
        <v>40386</v>
      </c>
    </row>
    <row r="687" spans="1:14" x14ac:dyDescent="0.25">
      <c r="A687" s="15">
        <f t="shared" si="177"/>
        <v>5</v>
      </c>
      <c r="B687" s="20">
        <f t="shared" si="180"/>
        <v>686</v>
      </c>
      <c r="C687" s="17">
        <f t="shared" si="174"/>
        <v>61</v>
      </c>
      <c r="D687" s="17" t="str">
        <f t="shared" si="181"/>
        <v>20100730</v>
      </c>
      <c r="E687" s="20" t="str">
        <f t="shared" si="175"/>
        <v>20100730061</v>
      </c>
      <c r="F687" s="19">
        <v>14</v>
      </c>
      <c r="G687" s="19">
        <v>11</v>
      </c>
      <c r="H687" s="19">
        <v>8</v>
      </c>
      <c r="I687" s="19">
        <v>36</v>
      </c>
      <c r="J687" s="19">
        <v>12</v>
      </c>
      <c r="K687" s="19">
        <v>23</v>
      </c>
      <c r="L687" s="19">
        <v>45</v>
      </c>
      <c r="M687" s="19">
        <f t="shared" si="178"/>
        <v>149</v>
      </c>
      <c r="N687" s="27">
        <f t="shared" si="179"/>
        <v>40389</v>
      </c>
    </row>
    <row r="688" spans="1:14" x14ac:dyDescent="0.25">
      <c r="A688" s="15">
        <f t="shared" si="177"/>
        <v>2</v>
      </c>
      <c r="B688" s="20">
        <f t="shared" si="180"/>
        <v>687</v>
      </c>
      <c r="C688" s="17">
        <f t="shared" si="174"/>
        <v>62</v>
      </c>
      <c r="D688" s="17" t="str">
        <f t="shared" si="181"/>
        <v>20100803</v>
      </c>
      <c r="E688" s="20" t="str">
        <f t="shared" si="175"/>
        <v>20100803062</v>
      </c>
      <c r="F688" s="19">
        <v>3</v>
      </c>
      <c r="G688" s="19">
        <v>25</v>
      </c>
      <c r="H688" s="19">
        <v>49</v>
      </c>
      <c r="I688" s="19">
        <v>15</v>
      </c>
      <c r="J688" s="19">
        <v>13</v>
      </c>
      <c r="K688" s="19">
        <v>29</v>
      </c>
      <c r="L688" s="19">
        <v>9</v>
      </c>
      <c r="M688" s="19">
        <f t="shared" si="178"/>
        <v>143</v>
      </c>
      <c r="N688" s="27">
        <f t="shared" si="176"/>
        <v>40393</v>
      </c>
    </row>
    <row r="689" spans="1:14" x14ac:dyDescent="0.25">
      <c r="A689" s="15">
        <f t="shared" si="177"/>
        <v>5</v>
      </c>
      <c r="B689" s="20">
        <f t="shared" si="180"/>
        <v>688</v>
      </c>
      <c r="C689" s="17">
        <f t="shared" si="174"/>
        <v>63</v>
      </c>
      <c r="D689" s="17" t="str">
        <f t="shared" si="181"/>
        <v>20100806</v>
      </c>
      <c r="E689" s="20" t="str">
        <f t="shared" si="175"/>
        <v>20100806063</v>
      </c>
      <c r="F689" s="19">
        <v>19</v>
      </c>
      <c r="G689" s="19">
        <v>47</v>
      </c>
      <c r="H689" s="19">
        <v>22</v>
      </c>
      <c r="I689" s="19">
        <v>28</v>
      </c>
      <c r="J689" s="19">
        <v>10</v>
      </c>
      <c r="K689" s="19">
        <v>21</v>
      </c>
      <c r="L689" s="19">
        <v>39</v>
      </c>
      <c r="M689" s="19">
        <f t="shared" si="178"/>
        <v>186</v>
      </c>
      <c r="N689" s="27">
        <f t="shared" si="179"/>
        <v>40396</v>
      </c>
    </row>
    <row r="690" spans="1:14" x14ac:dyDescent="0.25">
      <c r="A690" s="15">
        <f t="shared" si="177"/>
        <v>2</v>
      </c>
      <c r="B690" s="20">
        <f t="shared" si="180"/>
        <v>689</v>
      </c>
      <c r="C690" s="17">
        <f t="shared" si="174"/>
        <v>64</v>
      </c>
      <c r="D690" s="17" t="str">
        <f t="shared" si="181"/>
        <v>20100810</v>
      </c>
      <c r="E690" s="20" t="str">
        <f t="shared" si="175"/>
        <v>20100810064</v>
      </c>
      <c r="F690" s="19">
        <v>24</v>
      </c>
      <c r="G690" s="19">
        <v>25</v>
      </c>
      <c r="H690" s="19">
        <v>40</v>
      </c>
      <c r="I690" s="19">
        <v>28</v>
      </c>
      <c r="J690" s="19">
        <v>3</v>
      </c>
      <c r="K690" s="19">
        <v>38</v>
      </c>
      <c r="L690" s="19">
        <v>11</v>
      </c>
      <c r="M690" s="19">
        <f t="shared" si="178"/>
        <v>169</v>
      </c>
      <c r="N690" s="27">
        <f t="shared" si="176"/>
        <v>40400</v>
      </c>
    </row>
    <row r="691" spans="1:14" x14ac:dyDescent="0.25">
      <c r="A691" s="15">
        <f t="shared" si="177"/>
        <v>5</v>
      </c>
      <c r="B691" s="20">
        <f t="shared" si="180"/>
        <v>690</v>
      </c>
      <c r="C691" s="17">
        <f t="shared" si="174"/>
        <v>65</v>
      </c>
      <c r="D691" s="17" t="str">
        <f t="shared" si="181"/>
        <v>20100813</v>
      </c>
      <c r="E691" s="20" t="str">
        <f t="shared" si="175"/>
        <v>20100813065</v>
      </c>
      <c r="F691" s="19">
        <v>36</v>
      </c>
      <c r="G691" s="19">
        <v>2</v>
      </c>
      <c r="H691" s="19">
        <v>22</v>
      </c>
      <c r="I691" s="19">
        <v>30</v>
      </c>
      <c r="J691" s="19">
        <v>48</v>
      </c>
      <c r="K691" s="19">
        <v>13</v>
      </c>
      <c r="L691" s="19">
        <v>9</v>
      </c>
      <c r="M691" s="19">
        <f t="shared" si="178"/>
        <v>160</v>
      </c>
      <c r="N691" s="27">
        <f t="shared" si="179"/>
        <v>40403</v>
      </c>
    </row>
    <row r="692" spans="1:14" x14ac:dyDescent="0.25">
      <c r="A692" s="15">
        <f t="shared" si="177"/>
        <v>2</v>
      </c>
      <c r="B692" s="20">
        <f t="shared" si="180"/>
        <v>691</v>
      </c>
      <c r="C692" s="17">
        <f t="shared" si="174"/>
        <v>66</v>
      </c>
      <c r="D692" s="17" t="str">
        <f t="shared" si="181"/>
        <v>20100817</v>
      </c>
      <c r="E692" s="20" t="str">
        <f t="shared" si="175"/>
        <v>20100817066</v>
      </c>
      <c r="F692" s="19">
        <v>6</v>
      </c>
      <c r="G692" s="19">
        <v>18</v>
      </c>
      <c r="H692" s="19">
        <v>19</v>
      </c>
      <c r="I692" s="19">
        <v>14</v>
      </c>
      <c r="J692" s="19">
        <v>20</v>
      </c>
      <c r="K692" s="19">
        <v>42</v>
      </c>
      <c r="L692" s="19">
        <v>9</v>
      </c>
      <c r="M692" s="19">
        <f t="shared" si="178"/>
        <v>128</v>
      </c>
      <c r="N692" s="27">
        <f t="shared" si="176"/>
        <v>40407</v>
      </c>
    </row>
    <row r="693" spans="1:14" x14ac:dyDescent="0.25">
      <c r="A693" s="15">
        <f t="shared" si="177"/>
        <v>5</v>
      </c>
      <c r="B693" s="20">
        <f t="shared" si="180"/>
        <v>692</v>
      </c>
      <c r="C693" s="17">
        <f t="shared" ref="C693:C756" si="182">C692+1</f>
        <v>67</v>
      </c>
      <c r="D693" s="17" t="str">
        <f t="shared" si="181"/>
        <v>20100820</v>
      </c>
      <c r="E693" s="20" t="str">
        <f t="shared" si="175"/>
        <v>20100820067</v>
      </c>
      <c r="F693" s="19">
        <v>8</v>
      </c>
      <c r="G693" s="19">
        <v>28</v>
      </c>
      <c r="H693" s="19">
        <v>21</v>
      </c>
      <c r="I693" s="19">
        <v>44</v>
      </c>
      <c r="J693" s="19">
        <v>38</v>
      </c>
      <c r="K693" s="19">
        <v>33</v>
      </c>
      <c r="L693" s="19">
        <v>27</v>
      </c>
      <c r="M693" s="19">
        <f t="shared" si="178"/>
        <v>199</v>
      </c>
      <c r="N693" s="27">
        <f t="shared" si="179"/>
        <v>40410</v>
      </c>
    </row>
    <row r="694" spans="1:14" x14ac:dyDescent="0.25">
      <c r="A694" s="15">
        <f t="shared" si="177"/>
        <v>2</v>
      </c>
      <c r="B694" s="20">
        <f t="shared" si="180"/>
        <v>693</v>
      </c>
      <c r="C694" s="17">
        <f t="shared" si="182"/>
        <v>68</v>
      </c>
      <c r="D694" s="17" t="str">
        <f t="shared" si="181"/>
        <v>20100824</v>
      </c>
      <c r="E694" s="20" t="str">
        <f t="shared" si="175"/>
        <v>20100824068</v>
      </c>
      <c r="F694" s="19">
        <v>6</v>
      </c>
      <c r="G694" s="19">
        <v>45</v>
      </c>
      <c r="H694" s="19">
        <v>47</v>
      </c>
      <c r="I694" s="19">
        <v>30</v>
      </c>
      <c r="J694" s="19">
        <v>8</v>
      </c>
      <c r="K694" s="19">
        <v>48</v>
      </c>
      <c r="L694" s="19">
        <v>29</v>
      </c>
      <c r="M694" s="19">
        <f t="shared" si="178"/>
        <v>213</v>
      </c>
      <c r="N694" s="27">
        <f t="shared" si="176"/>
        <v>40414</v>
      </c>
    </row>
    <row r="695" spans="1:14" x14ac:dyDescent="0.25">
      <c r="A695" s="15">
        <f t="shared" si="177"/>
        <v>5</v>
      </c>
      <c r="B695" s="20">
        <f t="shared" si="180"/>
        <v>694</v>
      </c>
      <c r="C695" s="17">
        <f t="shared" si="182"/>
        <v>69</v>
      </c>
      <c r="D695" s="17" t="str">
        <f t="shared" si="181"/>
        <v>20100827</v>
      </c>
      <c r="E695" s="20" t="str">
        <f t="shared" si="175"/>
        <v>20100827069</v>
      </c>
      <c r="F695" s="19">
        <v>27</v>
      </c>
      <c r="G695" s="19">
        <v>14</v>
      </c>
      <c r="H695" s="19">
        <v>47</v>
      </c>
      <c r="I695" s="19">
        <v>30</v>
      </c>
      <c r="J695" s="19">
        <v>42</v>
      </c>
      <c r="K695" s="19">
        <v>8</v>
      </c>
      <c r="L695" s="19">
        <v>29</v>
      </c>
      <c r="M695" s="19">
        <f t="shared" si="178"/>
        <v>197</v>
      </c>
      <c r="N695" s="27">
        <f t="shared" si="179"/>
        <v>40417</v>
      </c>
    </row>
    <row r="696" spans="1:14" x14ac:dyDescent="0.25">
      <c r="A696" s="15">
        <f t="shared" si="177"/>
        <v>2</v>
      </c>
      <c r="B696" s="20">
        <f t="shared" si="180"/>
        <v>695</v>
      </c>
      <c r="C696" s="17">
        <f t="shared" si="182"/>
        <v>70</v>
      </c>
      <c r="D696" s="17" t="str">
        <f t="shared" si="181"/>
        <v>20100831</v>
      </c>
      <c r="E696" s="20" t="str">
        <f t="shared" si="175"/>
        <v>20100831070</v>
      </c>
      <c r="F696" s="19">
        <v>4</v>
      </c>
      <c r="G696" s="19">
        <v>20</v>
      </c>
      <c r="H696" s="19">
        <v>7</v>
      </c>
      <c r="I696" s="19">
        <v>31</v>
      </c>
      <c r="J696" s="19">
        <v>43</v>
      </c>
      <c r="K696" s="19">
        <v>23</v>
      </c>
      <c r="L696" s="19">
        <v>47</v>
      </c>
      <c r="M696" s="19">
        <f t="shared" si="178"/>
        <v>175</v>
      </c>
      <c r="N696" s="27">
        <f t="shared" si="176"/>
        <v>40421</v>
      </c>
    </row>
    <row r="697" spans="1:14" x14ac:dyDescent="0.25">
      <c r="A697" s="15">
        <f t="shared" si="177"/>
        <v>5</v>
      </c>
      <c r="B697" s="20">
        <f t="shared" si="180"/>
        <v>696</v>
      </c>
      <c r="C697" s="17">
        <f t="shared" si="182"/>
        <v>71</v>
      </c>
      <c r="D697" s="17" t="str">
        <f t="shared" si="181"/>
        <v>20100903</v>
      </c>
      <c r="E697" s="20" t="str">
        <f t="shared" si="175"/>
        <v>20100903071</v>
      </c>
      <c r="F697" s="19">
        <v>5</v>
      </c>
      <c r="G697" s="19">
        <v>7</v>
      </c>
      <c r="H697" s="19">
        <v>38</v>
      </c>
      <c r="I697" s="19">
        <v>47</v>
      </c>
      <c r="J697" s="19">
        <v>18</v>
      </c>
      <c r="K697" s="19">
        <v>20</v>
      </c>
      <c r="L697" s="19">
        <v>37</v>
      </c>
      <c r="M697" s="19">
        <f t="shared" si="178"/>
        <v>172</v>
      </c>
      <c r="N697" s="27">
        <f t="shared" si="179"/>
        <v>40424</v>
      </c>
    </row>
    <row r="698" spans="1:14" x14ac:dyDescent="0.25">
      <c r="A698" s="15">
        <f t="shared" si="177"/>
        <v>2</v>
      </c>
      <c r="B698" s="20">
        <f t="shared" si="180"/>
        <v>697</v>
      </c>
      <c r="C698" s="17">
        <f t="shared" si="182"/>
        <v>72</v>
      </c>
      <c r="D698" s="17" t="str">
        <f t="shared" si="181"/>
        <v>20100907</v>
      </c>
      <c r="E698" s="20" t="str">
        <f t="shared" si="175"/>
        <v>20100907072</v>
      </c>
      <c r="F698" s="19">
        <v>4</v>
      </c>
      <c r="G698" s="19">
        <v>8</v>
      </c>
      <c r="H698" s="19">
        <v>43</v>
      </c>
      <c r="I698" s="19">
        <v>16</v>
      </c>
      <c r="J698" s="19">
        <v>3</v>
      </c>
      <c r="K698" s="19">
        <v>41</v>
      </c>
      <c r="L698" s="19">
        <v>22</v>
      </c>
      <c r="M698" s="19">
        <f t="shared" si="178"/>
        <v>137</v>
      </c>
      <c r="N698" s="27">
        <f t="shared" si="176"/>
        <v>40428</v>
      </c>
    </row>
    <row r="699" spans="1:14" x14ac:dyDescent="0.25">
      <c r="A699" s="15">
        <f t="shared" si="177"/>
        <v>5</v>
      </c>
      <c r="B699" s="20">
        <f t="shared" si="180"/>
        <v>698</v>
      </c>
      <c r="C699" s="17">
        <f t="shared" si="182"/>
        <v>73</v>
      </c>
      <c r="D699" s="17" t="str">
        <f t="shared" si="181"/>
        <v>20100910</v>
      </c>
      <c r="E699" s="20" t="str">
        <f t="shared" si="175"/>
        <v>20100910073</v>
      </c>
      <c r="F699" s="19">
        <v>41</v>
      </c>
      <c r="G699" s="19">
        <v>10</v>
      </c>
      <c r="H699" s="19">
        <v>18</v>
      </c>
      <c r="I699" s="19">
        <v>42</v>
      </c>
      <c r="J699" s="19">
        <v>14</v>
      </c>
      <c r="K699" s="19">
        <v>49</v>
      </c>
      <c r="L699" s="19">
        <v>24</v>
      </c>
      <c r="M699" s="19">
        <f t="shared" si="178"/>
        <v>198</v>
      </c>
      <c r="N699" s="27">
        <f t="shared" si="179"/>
        <v>40431</v>
      </c>
    </row>
    <row r="700" spans="1:14" x14ac:dyDescent="0.25">
      <c r="A700" s="15">
        <f t="shared" si="177"/>
        <v>2</v>
      </c>
      <c r="B700" s="20">
        <f t="shared" si="180"/>
        <v>699</v>
      </c>
      <c r="C700" s="17">
        <f t="shared" si="182"/>
        <v>74</v>
      </c>
      <c r="D700" s="17" t="str">
        <f t="shared" si="181"/>
        <v>20100914</v>
      </c>
      <c r="E700" s="20" t="str">
        <f t="shared" si="175"/>
        <v>20100914074</v>
      </c>
      <c r="F700" s="19">
        <v>19</v>
      </c>
      <c r="G700" s="19">
        <v>44</v>
      </c>
      <c r="H700" s="19">
        <v>26</v>
      </c>
      <c r="I700" s="19">
        <v>2</v>
      </c>
      <c r="J700" s="19">
        <v>1</v>
      </c>
      <c r="K700" s="19">
        <v>22</v>
      </c>
      <c r="L700" s="19">
        <v>3</v>
      </c>
      <c r="M700" s="19">
        <f t="shared" si="178"/>
        <v>117</v>
      </c>
      <c r="N700" s="27">
        <f t="shared" si="176"/>
        <v>40435</v>
      </c>
    </row>
    <row r="701" spans="1:14" x14ac:dyDescent="0.25">
      <c r="A701" s="15">
        <f t="shared" si="177"/>
        <v>5</v>
      </c>
      <c r="B701" s="20">
        <f t="shared" si="180"/>
        <v>700</v>
      </c>
      <c r="C701" s="17">
        <f t="shared" si="182"/>
        <v>75</v>
      </c>
      <c r="D701" s="17" t="str">
        <f t="shared" si="181"/>
        <v>20100917</v>
      </c>
      <c r="E701" s="20" t="str">
        <f t="shared" si="175"/>
        <v>20100917075</v>
      </c>
      <c r="F701" s="19">
        <v>24</v>
      </c>
      <c r="G701" s="19">
        <v>35</v>
      </c>
      <c r="H701" s="19">
        <v>12</v>
      </c>
      <c r="I701" s="19">
        <v>39</v>
      </c>
      <c r="J701" s="19">
        <v>13</v>
      </c>
      <c r="K701" s="19">
        <v>34</v>
      </c>
      <c r="L701" s="19">
        <v>14</v>
      </c>
      <c r="M701" s="19">
        <f t="shared" si="178"/>
        <v>171</v>
      </c>
      <c r="N701" s="27">
        <f t="shared" si="179"/>
        <v>40438</v>
      </c>
    </row>
    <row r="702" spans="1:14" x14ac:dyDescent="0.25">
      <c r="A702" s="15">
        <f t="shared" si="177"/>
        <v>2</v>
      </c>
      <c r="B702" s="20">
        <f t="shared" si="180"/>
        <v>701</v>
      </c>
      <c r="C702" s="17">
        <f t="shared" si="182"/>
        <v>76</v>
      </c>
      <c r="D702" s="17" t="str">
        <f t="shared" si="181"/>
        <v>20100921</v>
      </c>
      <c r="E702" s="20" t="str">
        <f t="shared" si="175"/>
        <v>20100921076</v>
      </c>
      <c r="F702" s="19">
        <v>1</v>
      </c>
      <c r="G702" s="19">
        <v>22</v>
      </c>
      <c r="H702" s="19">
        <v>45</v>
      </c>
      <c r="I702" s="19">
        <v>39</v>
      </c>
      <c r="J702" s="19">
        <v>35</v>
      </c>
      <c r="K702" s="19">
        <v>38</v>
      </c>
      <c r="L702" s="19">
        <v>8</v>
      </c>
      <c r="M702" s="19">
        <f t="shared" si="178"/>
        <v>188</v>
      </c>
      <c r="N702" s="27">
        <f t="shared" si="176"/>
        <v>40442</v>
      </c>
    </row>
    <row r="703" spans="1:14" x14ac:dyDescent="0.25">
      <c r="A703" s="15">
        <f t="shared" si="177"/>
        <v>5</v>
      </c>
      <c r="B703" s="20">
        <f t="shared" si="180"/>
        <v>702</v>
      </c>
      <c r="C703" s="17">
        <f t="shared" si="182"/>
        <v>77</v>
      </c>
      <c r="D703" s="17" t="str">
        <f t="shared" si="181"/>
        <v>20100924</v>
      </c>
      <c r="E703" s="20" t="str">
        <f t="shared" si="175"/>
        <v>20100924077</v>
      </c>
      <c r="F703" s="19">
        <v>36</v>
      </c>
      <c r="G703" s="19">
        <v>8</v>
      </c>
      <c r="H703" s="19">
        <v>2</v>
      </c>
      <c r="I703" s="19">
        <v>29</v>
      </c>
      <c r="J703" s="19">
        <v>42</v>
      </c>
      <c r="K703" s="19">
        <v>44</v>
      </c>
      <c r="L703" s="19">
        <v>22</v>
      </c>
      <c r="M703" s="19">
        <f t="shared" si="178"/>
        <v>183</v>
      </c>
      <c r="N703" s="27">
        <f t="shared" si="179"/>
        <v>40445</v>
      </c>
    </row>
    <row r="704" spans="1:14" x14ac:dyDescent="0.25">
      <c r="A704" s="15">
        <f t="shared" si="177"/>
        <v>2</v>
      </c>
      <c r="B704" s="20">
        <f t="shared" si="180"/>
        <v>703</v>
      </c>
      <c r="C704" s="17">
        <f t="shared" si="182"/>
        <v>78</v>
      </c>
      <c r="D704" s="17" t="str">
        <f t="shared" si="181"/>
        <v>20100928</v>
      </c>
      <c r="E704" s="20" t="str">
        <f t="shared" si="175"/>
        <v>20100928078</v>
      </c>
      <c r="F704" s="19">
        <v>3</v>
      </c>
      <c r="G704" s="19">
        <v>4</v>
      </c>
      <c r="H704" s="19">
        <v>32</v>
      </c>
      <c r="I704" s="19">
        <v>19</v>
      </c>
      <c r="J704" s="19">
        <v>22</v>
      </c>
      <c r="K704" s="19">
        <v>40</v>
      </c>
      <c r="L704" s="19">
        <v>11</v>
      </c>
      <c r="M704" s="19">
        <f t="shared" si="178"/>
        <v>131</v>
      </c>
      <c r="N704" s="27">
        <f t="shared" si="176"/>
        <v>40449</v>
      </c>
    </row>
    <row r="705" spans="1:14" x14ac:dyDescent="0.25">
      <c r="A705" s="15">
        <f t="shared" si="177"/>
        <v>5</v>
      </c>
      <c r="B705" s="20">
        <f t="shared" si="180"/>
        <v>704</v>
      </c>
      <c r="C705" s="17">
        <f t="shared" si="182"/>
        <v>79</v>
      </c>
      <c r="D705" s="17" t="str">
        <f t="shared" si="181"/>
        <v>20101001</v>
      </c>
      <c r="E705" s="20" t="str">
        <f t="shared" si="175"/>
        <v>20101001079</v>
      </c>
      <c r="F705" s="19">
        <v>23</v>
      </c>
      <c r="G705" s="19">
        <v>37</v>
      </c>
      <c r="H705" s="19">
        <v>12</v>
      </c>
      <c r="I705" s="19">
        <v>38</v>
      </c>
      <c r="J705" s="19">
        <v>48</v>
      </c>
      <c r="K705" s="19">
        <v>8</v>
      </c>
      <c r="L705" s="19">
        <v>20</v>
      </c>
      <c r="M705" s="19">
        <f t="shared" si="178"/>
        <v>186</v>
      </c>
      <c r="N705" s="27">
        <f t="shared" si="179"/>
        <v>40452</v>
      </c>
    </row>
    <row r="706" spans="1:14" x14ac:dyDescent="0.25">
      <c r="A706" s="15">
        <f t="shared" si="177"/>
        <v>2</v>
      </c>
      <c r="B706" s="20">
        <f t="shared" si="180"/>
        <v>705</v>
      </c>
      <c r="C706" s="17">
        <f t="shared" si="182"/>
        <v>80</v>
      </c>
      <c r="D706" s="17" t="str">
        <f t="shared" si="181"/>
        <v>20101005</v>
      </c>
      <c r="E706" s="20" t="str">
        <f t="shared" ref="E706:E769" si="183">CONCATENATE(D706,TEXT(C706,"000"))</f>
        <v>20101005080</v>
      </c>
      <c r="F706" s="19">
        <v>14</v>
      </c>
      <c r="G706" s="19">
        <v>16</v>
      </c>
      <c r="H706" s="19">
        <v>32</v>
      </c>
      <c r="I706" s="19">
        <v>21</v>
      </c>
      <c r="J706" s="19">
        <v>43</v>
      </c>
      <c r="K706" s="19">
        <v>35</v>
      </c>
      <c r="L706" s="19">
        <v>49</v>
      </c>
      <c r="M706" s="19">
        <f t="shared" si="178"/>
        <v>210</v>
      </c>
      <c r="N706" s="27">
        <f t="shared" ref="N706:N768" si="184">N705+4</f>
        <v>40456</v>
      </c>
    </row>
    <row r="707" spans="1:14" x14ac:dyDescent="0.25">
      <c r="A707" s="15">
        <f t="shared" ref="A707:A770" si="185">WEEKDAY(N707,2)</f>
        <v>5</v>
      </c>
      <c r="B707" s="20">
        <f t="shared" si="180"/>
        <v>706</v>
      </c>
      <c r="C707" s="17">
        <f t="shared" si="182"/>
        <v>81</v>
      </c>
      <c r="D707" s="17" t="str">
        <f t="shared" si="181"/>
        <v>20101008</v>
      </c>
      <c r="E707" s="20" t="str">
        <f t="shared" si="183"/>
        <v>20101008081</v>
      </c>
      <c r="F707" s="19">
        <v>39</v>
      </c>
      <c r="G707" s="19">
        <v>48</v>
      </c>
      <c r="H707" s="19">
        <v>14</v>
      </c>
      <c r="I707" s="19">
        <v>41</v>
      </c>
      <c r="J707" s="19">
        <v>11</v>
      </c>
      <c r="K707" s="19">
        <v>3</v>
      </c>
      <c r="L707" s="19">
        <v>6</v>
      </c>
      <c r="M707" s="19">
        <f t="shared" ref="M707:M770" si="186">SUM(F707:L707)</f>
        <v>162</v>
      </c>
      <c r="N707" s="27">
        <f t="shared" ref="N707:N769" si="187">N706+3</f>
        <v>40459</v>
      </c>
    </row>
    <row r="708" spans="1:14" x14ac:dyDescent="0.25">
      <c r="A708" s="15">
        <f t="shared" si="185"/>
        <v>2</v>
      </c>
      <c r="B708" s="20">
        <f t="shared" ref="B708:B771" si="188">B707+1</f>
        <v>707</v>
      </c>
      <c r="C708" s="17">
        <f t="shared" si="182"/>
        <v>82</v>
      </c>
      <c r="D708" s="17" t="str">
        <f t="shared" ref="D708:D771" si="189">CONCATENATE(TEXT(YEAR(N708),"0000"),TEXT(MONTH(N708),"00"),TEXT(DAY(N708),"00"))</f>
        <v>20101012</v>
      </c>
      <c r="E708" s="20" t="str">
        <f t="shared" si="183"/>
        <v>20101012082</v>
      </c>
      <c r="F708" s="19">
        <v>31</v>
      </c>
      <c r="G708" s="19">
        <v>8</v>
      </c>
      <c r="H708" s="19">
        <v>9</v>
      </c>
      <c r="I708" s="19">
        <v>20</v>
      </c>
      <c r="J708" s="19">
        <v>10</v>
      </c>
      <c r="K708" s="19">
        <v>40</v>
      </c>
      <c r="L708" s="19">
        <v>25</v>
      </c>
      <c r="M708" s="19">
        <f t="shared" si="186"/>
        <v>143</v>
      </c>
      <c r="N708" s="27">
        <f t="shared" si="184"/>
        <v>40463</v>
      </c>
    </row>
    <row r="709" spans="1:14" x14ac:dyDescent="0.25">
      <c r="A709" s="15">
        <f t="shared" si="185"/>
        <v>5</v>
      </c>
      <c r="B709" s="20">
        <f t="shared" si="188"/>
        <v>708</v>
      </c>
      <c r="C709" s="17">
        <f t="shared" si="182"/>
        <v>83</v>
      </c>
      <c r="D709" s="17" t="str">
        <f t="shared" si="189"/>
        <v>20101015</v>
      </c>
      <c r="E709" s="20" t="str">
        <f t="shared" si="183"/>
        <v>20101015083</v>
      </c>
      <c r="F709" s="19">
        <v>46</v>
      </c>
      <c r="G709" s="19">
        <v>28</v>
      </c>
      <c r="H709" s="19">
        <v>30</v>
      </c>
      <c r="I709" s="19">
        <v>1</v>
      </c>
      <c r="J709" s="19">
        <v>20</v>
      </c>
      <c r="K709" s="19">
        <v>11</v>
      </c>
      <c r="L709" s="19">
        <v>10</v>
      </c>
      <c r="M709" s="19">
        <f t="shared" si="186"/>
        <v>146</v>
      </c>
      <c r="N709" s="27">
        <f t="shared" si="187"/>
        <v>40466</v>
      </c>
    </row>
    <row r="710" spans="1:14" x14ac:dyDescent="0.25">
      <c r="A710" s="15">
        <f t="shared" si="185"/>
        <v>2</v>
      </c>
      <c r="B710" s="20">
        <f t="shared" si="188"/>
        <v>709</v>
      </c>
      <c r="C710" s="17">
        <f t="shared" si="182"/>
        <v>84</v>
      </c>
      <c r="D710" s="17" t="str">
        <f t="shared" si="189"/>
        <v>20101019</v>
      </c>
      <c r="E710" s="20" t="str">
        <f t="shared" si="183"/>
        <v>20101019084</v>
      </c>
      <c r="F710" s="19">
        <v>36</v>
      </c>
      <c r="G710" s="19">
        <v>12</v>
      </c>
      <c r="H710" s="19">
        <v>21</v>
      </c>
      <c r="I710" s="19">
        <v>35</v>
      </c>
      <c r="J710" s="19">
        <v>27</v>
      </c>
      <c r="K710" s="19">
        <v>37</v>
      </c>
      <c r="L710" s="19">
        <v>8</v>
      </c>
      <c r="M710" s="19">
        <f t="shared" si="186"/>
        <v>176</v>
      </c>
      <c r="N710" s="27">
        <f t="shared" si="184"/>
        <v>40470</v>
      </c>
    </row>
    <row r="711" spans="1:14" x14ac:dyDescent="0.25">
      <c r="A711" s="15">
        <f t="shared" si="185"/>
        <v>5</v>
      </c>
      <c r="B711" s="20">
        <f t="shared" si="188"/>
        <v>710</v>
      </c>
      <c r="C711" s="17">
        <f t="shared" si="182"/>
        <v>85</v>
      </c>
      <c r="D711" s="17" t="str">
        <f t="shared" si="189"/>
        <v>20101022</v>
      </c>
      <c r="E711" s="20" t="str">
        <f t="shared" si="183"/>
        <v>20101022085</v>
      </c>
      <c r="F711" s="19">
        <v>1</v>
      </c>
      <c r="G711" s="19">
        <v>18</v>
      </c>
      <c r="H711" s="19">
        <v>49</v>
      </c>
      <c r="I711" s="19">
        <v>13</v>
      </c>
      <c r="J711" s="19">
        <v>4</v>
      </c>
      <c r="K711" s="19">
        <v>8</v>
      </c>
      <c r="L711" s="19">
        <v>3</v>
      </c>
      <c r="M711" s="19">
        <f t="shared" si="186"/>
        <v>96</v>
      </c>
      <c r="N711" s="27">
        <f t="shared" si="187"/>
        <v>40473</v>
      </c>
    </row>
    <row r="712" spans="1:14" x14ac:dyDescent="0.25">
      <c r="A712" s="15">
        <f t="shared" si="185"/>
        <v>2</v>
      </c>
      <c r="B712" s="20">
        <f t="shared" si="188"/>
        <v>711</v>
      </c>
      <c r="C712" s="17">
        <f t="shared" si="182"/>
        <v>86</v>
      </c>
      <c r="D712" s="17" t="str">
        <f t="shared" si="189"/>
        <v>20101026</v>
      </c>
      <c r="E712" s="20" t="str">
        <f t="shared" si="183"/>
        <v>20101026086</v>
      </c>
      <c r="F712" s="19">
        <v>3</v>
      </c>
      <c r="G712" s="19">
        <v>43</v>
      </c>
      <c r="H712" s="19">
        <v>22</v>
      </c>
      <c r="I712" s="19">
        <v>35</v>
      </c>
      <c r="J712" s="19">
        <v>14</v>
      </c>
      <c r="K712" s="19">
        <v>44</v>
      </c>
      <c r="L712" s="19">
        <v>26</v>
      </c>
      <c r="M712" s="19">
        <f t="shared" si="186"/>
        <v>187</v>
      </c>
      <c r="N712" s="27">
        <f t="shared" si="184"/>
        <v>40477</v>
      </c>
    </row>
    <row r="713" spans="1:14" x14ac:dyDescent="0.25">
      <c r="A713" s="15">
        <f t="shared" si="185"/>
        <v>5</v>
      </c>
      <c r="B713" s="20">
        <f t="shared" si="188"/>
        <v>712</v>
      </c>
      <c r="C713" s="17">
        <f t="shared" si="182"/>
        <v>87</v>
      </c>
      <c r="D713" s="17" t="str">
        <f t="shared" si="189"/>
        <v>20101029</v>
      </c>
      <c r="E713" s="20" t="str">
        <f t="shared" si="183"/>
        <v>20101029087</v>
      </c>
      <c r="F713" s="19">
        <v>27</v>
      </c>
      <c r="G713" s="19">
        <v>19</v>
      </c>
      <c r="H713" s="19">
        <v>13</v>
      </c>
      <c r="I713" s="19">
        <v>4</v>
      </c>
      <c r="J713" s="19">
        <v>28</v>
      </c>
      <c r="K713" s="19">
        <v>26</v>
      </c>
      <c r="L713" s="19">
        <v>33</v>
      </c>
      <c r="M713" s="19">
        <f t="shared" si="186"/>
        <v>150</v>
      </c>
      <c r="N713" s="27">
        <f t="shared" si="187"/>
        <v>40480</v>
      </c>
    </row>
    <row r="714" spans="1:14" x14ac:dyDescent="0.25">
      <c r="A714" s="15">
        <f t="shared" si="185"/>
        <v>2</v>
      </c>
      <c r="B714" s="20">
        <f t="shared" si="188"/>
        <v>713</v>
      </c>
      <c r="C714" s="17">
        <f t="shared" si="182"/>
        <v>88</v>
      </c>
      <c r="D714" s="17" t="str">
        <f t="shared" si="189"/>
        <v>20101102</v>
      </c>
      <c r="E714" s="20" t="str">
        <f t="shared" si="183"/>
        <v>20101102088</v>
      </c>
      <c r="F714" s="19">
        <v>5</v>
      </c>
      <c r="G714" s="19">
        <v>34</v>
      </c>
      <c r="H714" s="19">
        <v>36</v>
      </c>
      <c r="I714" s="19">
        <v>39</v>
      </c>
      <c r="J714" s="19">
        <v>4</v>
      </c>
      <c r="K714" s="19">
        <v>21</v>
      </c>
      <c r="L714" s="19">
        <v>28</v>
      </c>
      <c r="M714" s="19">
        <f t="shared" si="186"/>
        <v>167</v>
      </c>
      <c r="N714" s="27">
        <f t="shared" si="184"/>
        <v>40484</v>
      </c>
    </row>
    <row r="715" spans="1:14" x14ac:dyDescent="0.25">
      <c r="A715" s="15">
        <f t="shared" si="185"/>
        <v>5</v>
      </c>
      <c r="B715" s="20">
        <f t="shared" si="188"/>
        <v>714</v>
      </c>
      <c r="C715" s="17">
        <f t="shared" si="182"/>
        <v>89</v>
      </c>
      <c r="D715" s="17" t="str">
        <f t="shared" si="189"/>
        <v>20101105</v>
      </c>
      <c r="E715" s="20" t="str">
        <f t="shared" si="183"/>
        <v>20101105089</v>
      </c>
      <c r="F715" s="19">
        <v>47</v>
      </c>
      <c r="G715" s="19">
        <v>28</v>
      </c>
      <c r="H715" s="19">
        <v>16</v>
      </c>
      <c r="I715" s="19">
        <v>5</v>
      </c>
      <c r="J715" s="19">
        <v>8</v>
      </c>
      <c r="K715" s="19">
        <v>13</v>
      </c>
      <c r="L715" s="19">
        <v>46</v>
      </c>
      <c r="M715" s="19">
        <f t="shared" si="186"/>
        <v>163</v>
      </c>
      <c r="N715" s="27">
        <f t="shared" si="187"/>
        <v>40487</v>
      </c>
    </row>
    <row r="716" spans="1:14" x14ac:dyDescent="0.25">
      <c r="A716" s="15">
        <f t="shared" si="185"/>
        <v>2</v>
      </c>
      <c r="B716" s="20">
        <f t="shared" si="188"/>
        <v>715</v>
      </c>
      <c r="C716" s="17">
        <f t="shared" si="182"/>
        <v>90</v>
      </c>
      <c r="D716" s="17" t="str">
        <f t="shared" si="189"/>
        <v>20101109</v>
      </c>
      <c r="E716" s="20" t="str">
        <f t="shared" si="183"/>
        <v>20101109090</v>
      </c>
      <c r="F716" s="19">
        <v>21</v>
      </c>
      <c r="G716" s="19">
        <v>31</v>
      </c>
      <c r="H716" s="19">
        <v>30</v>
      </c>
      <c r="I716" s="19">
        <v>5</v>
      </c>
      <c r="J716" s="19">
        <v>36</v>
      </c>
      <c r="K716" s="19">
        <v>7</v>
      </c>
      <c r="L716" s="19">
        <v>49</v>
      </c>
      <c r="M716" s="19">
        <f t="shared" si="186"/>
        <v>179</v>
      </c>
      <c r="N716" s="27">
        <f t="shared" si="184"/>
        <v>40491</v>
      </c>
    </row>
    <row r="717" spans="1:14" x14ac:dyDescent="0.25">
      <c r="A717" s="15">
        <f t="shared" si="185"/>
        <v>5</v>
      </c>
      <c r="B717" s="20">
        <f t="shared" si="188"/>
        <v>716</v>
      </c>
      <c r="C717" s="17">
        <f t="shared" si="182"/>
        <v>91</v>
      </c>
      <c r="D717" s="17" t="str">
        <f t="shared" si="189"/>
        <v>20101112</v>
      </c>
      <c r="E717" s="20" t="str">
        <f t="shared" si="183"/>
        <v>20101112091</v>
      </c>
      <c r="F717" s="19">
        <v>39</v>
      </c>
      <c r="G717" s="19">
        <v>10</v>
      </c>
      <c r="H717" s="19">
        <v>37</v>
      </c>
      <c r="I717" s="19">
        <v>3</v>
      </c>
      <c r="J717" s="19">
        <v>23</v>
      </c>
      <c r="K717" s="19">
        <v>36</v>
      </c>
      <c r="L717" s="19">
        <v>15</v>
      </c>
      <c r="M717" s="19">
        <f t="shared" si="186"/>
        <v>163</v>
      </c>
      <c r="N717" s="27">
        <f t="shared" si="187"/>
        <v>40494</v>
      </c>
    </row>
    <row r="718" spans="1:14" x14ac:dyDescent="0.25">
      <c r="A718" s="15">
        <f t="shared" si="185"/>
        <v>2</v>
      </c>
      <c r="B718" s="20">
        <f t="shared" si="188"/>
        <v>717</v>
      </c>
      <c r="C718" s="17">
        <f t="shared" si="182"/>
        <v>92</v>
      </c>
      <c r="D718" s="17" t="str">
        <f t="shared" si="189"/>
        <v>20101116</v>
      </c>
      <c r="E718" s="20" t="str">
        <f t="shared" si="183"/>
        <v>20101116092</v>
      </c>
      <c r="F718" s="19">
        <v>2</v>
      </c>
      <c r="G718" s="19">
        <v>10</v>
      </c>
      <c r="H718" s="19">
        <v>7</v>
      </c>
      <c r="I718" s="19">
        <v>12</v>
      </c>
      <c r="J718" s="19">
        <v>43</v>
      </c>
      <c r="K718" s="19">
        <v>15</v>
      </c>
      <c r="L718" s="19">
        <v>22</v>
      </c>
      <c r="M718" s="19">
        <f t="shared" si="186"/>
        <v>111</v>
      </c>
      <c r="N718" s="27">
        <f t="shared" si="184"/>
        <v>40498</v>
      </c>
    </row>
    <row r="719" spans="1:14" x14ac:dyDescent="0.25">
      <c r="A719" s="15">
        <f t="shared" si="185"/>
        <v>5</v>
      </c>
      <c r="B719" s="20">
        <f t="shared" si="188"/>
        <v>718</v>
      </c>
      <c r="C719" s="17">
        <f t="shared" si="182"/>
        <v>93</v>
      </c>
      <c r="D719" s="17" t="str">
        <f t="shared" si="189"/>
        <v>20101119</v>
      </c>
      <c r="E719" s="20" t="str">
        <f t="shared" si="183"/>
        <v>20101119093</v>
      </c>
      <c r="F719" s="19">
        <v>43</v>
      </c>
      <c r="G719" s="19">
        <v>3</v>
      </c>
      <c r="H719" s="19">
        <v>40</v>
      </c>
      <c r="I719" s="19">
        <v>45</v>
      </c>
      <c r="J719" s="19">
        <v>44</v>
      </c>
      <c r="K719" s="19">
        <v>6</v>
      </c>
      <c r="L719" s="19">
        <v>41</v>
      </c>
      <c r="M719" s="19">
        <f t="shared" si="186"/>
        <v>222</v>
      </c>
      <c r="N719" s="27">
        <f t="shared" si="187"/>
        <v>40501</v>
      </c>
    </row>
    <row r="720" spans="1:14" x14ac:dyDescent="0.25">
      <c r="A720" s="15">
        <f t="shared" si="185"/>
        <v>2</v>
      </c>
      <c r="B720" s="20">
        <f t="shared" si="188"/>
        <v>719</v>
      </c>
      <c r="C720" s="17">
        <f t="shared" si="182"/>
        <v>94</v>
      </c>
      <c r="D720" s="17" t="str">
        <f t="shared" si="189"/>
        <v>20101123</v>
      </c>
      <c r="E720" s="20" t="str">
        <f t="shared" si="183"/>
        <v>20101123094</v>
      </c>
      <c r="F720" s="19">
        <v>2</v>
      </c>
      <c r="G720" s="19">
        <v>26</v>
      </c>
      <c r="H720" s="19">
        <v>3</v>
      </c>
      <c r="I720" s="19">
        <v>32</v>
      </c>
      <c r="J720" s="19">
        <v>48</v>
      </c>
      <c r="K720" s="19">
        <v>30</v>
      </c>
      <c r="L720" s="19">
        <v>41</v>
      </c>
      <c r="M720" s="19">
        <f t="shared" si="186"/>
        <v>182</v>
      </c>
      <c r="N720" s="27">
        <f t="shared" si="184"/>
        <v>40505</v>
      </c>
    </row>
    <row r="721" spans="1:14" x14ac:dyDescent="0.25">
      <c r="A721" s="15">
        <f t="shared" si="185"/>
        <v>5</v>
      </c>
      <c r="B721" s="20">
        <f t="shared" si="188"/>
        <v>720</v>
      </c>
      <c r="C721" s="17">
        <f t="shared" si="182"/>
        <v>95</v>
      </c>
      <c r="D721" s="17" t="str">
        <f t="shared" si="189"/>
        <v>20101126</v>
      </c>
      <c r="E721" s="20" t="str">
        <f t="shared" si="183"/>
        <v>20101126095</v>
      </c>
      <c r="F721" s="19">
        <v>22</v>
      </c>
      <c r="G721" s="19">
        <v>23</v>
      </c>
      <c r="H721" s="19">
        <v>44</v>
      </c>
      <c r="I721" s="19">
        <v>35</v>
      </c>
      <c r="J721" s="19">
        <v>18</v>
      </c>
      <c r="K721" s="19">
        <v>49</v>
      </c>
      <c r="L721" s="19">
        <v>26</v>
      </c>
      <c r="M721" s="19">
        <f t="shared" si="186"/>
        <v>217</v>
      </c>
      <c r="N721" s="27">
        <f t="shared" si="187"/>
        <v>40508</v>
      </c>
    </row>
    <row r="722" spans="1:14" x14ac:dyDescent="0.25">
      <c r="A722" s="15">
        <f t="shared" si="185"/>
        <v>2</v>
      </c>
      <c r="B722" s="20">
        <f t="shared" si="188"/>
        <v>721</v>
      </c>
      <c r="C722" s="17">
        <f t="shared" si="182"/>
        <v>96</v>
      </c>
      <c r="D722" s="17" t="str">
        <f t="shared" si="189"/>
        <v>20101130</v>
      </c>
      <c r="E722" s="20" t="str">
        <f t="shared" si="183"/>
        <v>20101130096</v>
      </c>
      <c r="F722" s="19">
        <v>7</v>
      </c>
      <c r="G722" s="19">
        <v>24</v>
      </c>
      <c r="H722" s="19">
        <v>8</v>
      </c>
      <c r="I722" s="19">
        <v>36</v>
      </c>
      <c r="J722" s="19">
        <v>34</v>
      </c>
      <c r="K722" s="19">
        <v>38</v>
      </c>
      <c r="L722" s="19">
        <v>16</v>
      </c>
      <c r="M722" s="19">
        <f t="shared" si="186"/>
        <v>163</v>
      </c>
      <c r="N722" s="27">
        <f t="shared" si="184"/>
        <v>40512</v>
      </c>
    </row>
    <row r="723" spans="1:14" x14ac:dyDescent="0.25">
      <c r="A723" s="15">
        <f t="shared" si="185"/>
        <v>5</v>
      </c>
      <c r="B723" s="20">
        <f t="shared" si="188"/>
        <v>722</v>
      </c>
      <c r="C723" s="17">
        <f t="shared" si="182"/>
        <v>97</v>
      </c>
      <c r="D723" s="17" t="str">
        <f t="shared" si="189"/>
        <v>20101203</v>
      </c>
      <c r="E723" s="20" t="str">
        <f t="shared" si="183"/>
        <v>20101203097</v>
      </c>
      <c r="F723" s="19">
        <v>38</v>
      </c>
      <c r="G723" s="19">
        <v>23</v>
      </c>
      <c r="H723" s="19">
        <v>17</v>
      </c>
      <c r="I723" s="19">
        <v>48</v>
      </c>
      <c r="J723" s="19">
        <v>33</v>
      </c>
      <c r="K723" s="19">
        <v>43</v>
      </c>
      <c r="L723" s="19">
        <v>19</v>
      </c>
      <c r="M723" s="19">
        <f t="shared" si="186"/>
        <v>221</v>
      </c>
      <c r="N723" s="27">
        <f t="shared" si="187"/>
        <v>40515</v>
      </c>
    </row>
    <row r="724" spans="1:14" x14ac:dyDescent="0.25">
      <c r="A724" s="15">
        <f t="shared" si="185"/>
        <v>2</v>
      </c>
      <c r="B724" s="20">
        <f t="shared" si="188"/>
        <v>723</v>
      </c>
      <c r="C724" s="17">
        <f t="shared" si="182"/>
        <v>98</v>
      </c>
      <c r="D724" s="17" t="str">
        <f t="shared" si="189"/>
        <v>20101207</v>
      </c>
      <c r="E724" s="20" t="str">
        <f t="shared" si="183"/>
        <v>20101207098</v>
      </c>
      <c r="F724" s="19">
        <v>30</v>
      </c>
      <c r="G724" s="19">
        <v>37</v>
      </c>
      <c r="H724" s="19">
        <v>38</v>
      </c>
      <c r="I724" s="19">
        <v>49</v>
      </c>
      <c r="J724" s="19">
        <v>21</v>
      </c>
      <c r="K724" s="19">
        <v>22</v>
      </c>
      <c r="L724" s="19">
        <v>34</v>
      </c>
      <c r="M724" s="19">
        <f t="shared" si="186"/>
        <v>231</v>
      </c>
      <c r="N724" s="27">
        <f t="shared" si="184"/>
        <v>40519</v>
      </c>
    </row>
    <row r="725" spans="1:14" x14ac:dyDescent="0.25">
      <c r="A725" s="15">
        <f t="shared" si="185"/>
        <v>5</v>
      </c>
      <c r="B725" s="20">
        <f t="shared" si="188"/>
        <v>724</v>
      </c>
      <c r="C725" s="17">
        <f t="shared" si="182"/>
        <v>99</v>
      </c>
      <c r="D725" s="17" t="str">
        <f t="shared" si="189"/>
        <v>20101210</v>
      </c>
      <c r="E725" s="20" t="str">
        <f t="shared" si="183"/>
        <v>20101210099</v>
      </c>
      <c r="F725" s="19">
        <v>17</v>
      </c>
      <c r="G725" s="19">
        <v>22</v>
      </c>
      <c r="H725" s="19">
        <v>26</v>
      </c>
      <c r="I725" s="19">
        <v>33</v>
      </c>
      <c r="J725" s="19">
        <v>29</v>
      </c>
      <c r="K725" s="19">
        <v>1</v>
      </c>
      <c r="L725" s="19">
        <v>3</v>
      </c>
      <c r="M725" s="19">
        <f t="shared" si="186"/>
        <v>131</v>
      </c>
      <c r="N725" s="27">
        <f t="shared" si="187"/>
        <v>40522</v>
      </c>
    </row>
    <row r="726" spans="1:14" x14ac:dyDescent="0.25">
      <c r="A726" s="15">
        <f t="shared" si="185"/>
        <v>2</v>
      </c>
      <c r="B726" s="20">
        <f t="shared" si="188"/>
        <v>725</v>
      </c>
      <c r="C726" s="17">
        <f t="shared" si="182"/>
        <v>100</v>
      </c>
      <c r="D726" s="17" t="str">
        <f t="shared" si="189"/>
        <v>20101214</v>
      </c>
      <c r="E726" s="20" t="str">
        <f t="shared" si="183"/>
        <v>20101214100</v>
      </c>
      <c r="F726" s="19">
        <v>15</v>
      </c>
      <c r="G726" s="19">
        <v>41</v>
      </c>
      <c r="H726" s="19">
        <v>16</v>
      </c>
      <c r="I726" s="19">
        <v>20</v>
      </c>
      <c r="J726" s="19">
        <v>32</v>
      </c>
      <c r="K726" s="19">
        <v>17</v>
      </c>
      <c r="L726" s="19">
        <v>8</v>
      </c>
      <c r="M726" s="19">
        <f t="shared" si="186"/>
        <v>149</v>
      </c>
      <c r="N726" s="27">
        <f t="shared" si="184"/>
        <v>40526</v>
      </c>
    </row>
    <row r="727" spans="1:14" x14ac:dyDescent="0.25">
      <c r="A727" s="15">
        <f t="shared" si="185"/>
        <v>5</v>
      </c>
      <c r="B727" s="20">
        <f t="shared" si="188"/>
        <v>726</v>
      </c>
      <c r="C727" s="17">
        <f t="shared" si="182"/>
        <v>101</v>
      </c>
      <c r="D727" s="17" t="str">
        <f t="shared" si="189"/>
        <v>20101217</v>
      </c>
      <c r="E727" s="20" t="str">
        <f t="shared" si="183"/>
        <v>20101217101</v>
      </c>
      <c r="F727" s="19">
        <v>41</v>
      </c>
      <c r="G727" s="19">
        <v>9</v>
      </c>
      <c r="H727" s="19">
        <v>30</v>
      </c>
      <c r="I727" s="19">
        <v>35</v>
      </c>
      <c r="J727" s="19">
        <v>28</v>
      </c>
      <c r="K727" s="19">
        <v>25</v>
      </c>
      <c r="L727" s="19">
        <v>12</v>
      </c>
      <c r="M727" s="19">
        <f t="shared" si="186"/>
        <v>180</v>
      </c>
      <c r="N727" s="27">
        <f t="shared" si="187"/>
        <v>40529</v>
      </c>
    </row>
    <row r="728" spans="1:14" x14ac:dyDescent="0.25">
      <c r="A728" s="15">
        <f t="shared" si="185"/>
        <v>2</v>
      </c>
      <c r="B728" s="20">
        <f t="shared" si="188"/>
        <v>727</v>
      </c>
      <c r="C728" s="17">
        <f t="shared" si="182"/>
        <v>102</v>
      </c>
      <c r="D728" s="17" t="str">
        <f t="shared" si="189"/>
        <v>20101221</v>
      </c>
      <c r="E728" s="20" t="str">
        <f t="shared" si="183"/>
        <v>20101221102</v>
      </c>
      <c r="F728" s="19">
        <v>23</v>
      </c>
      <c r="G728" s="19">
        <v>38</v>
      </c>
      <c r="H728" s="19">
        <v>12</v>
      </c>
      <c r="I728" s="19">
        <v>35</v>
      </c>
      <c r="J728" s="19">
        <v>45</v>
      </c>
      <c r="K728" s="19">
        <v>1</v>
      </c>
      <c r="L728" s="19">
        <v>26</v>
      </c>
      <c r="M728" s="19">
        <f t="shared" si="186"/>
        <v>180</v>
      </c>
      <c r="N728" s="27">
        <f t="shared" si="184"/>
        <v>40533</v>
      </c>
    </row>
    <row r="729" spans="1:14" x14ac:dyDescent="0.25">
      <c r="A729" s="15">
        <f t="shared" si="185"/>
        <v>5</v>
      </c>
      <c r="B729" s="20">
        <f t="shared" si="188"/>
        <v>728</v>
      </c>
      <c r="C729" s="17">
        <f t="shared" si="182"/>
        <v>103</v>
      </c>
      <c r="D729" s="17" t="str">
        <f t="shared" si="189"/>
        <v>20101224</v>
      </c>
      <c r="E729" s="20" t="str">
        <f t="shared" si="183"/>
        <v>20101224103</v>
      </c>
      <c r="F729" s="19">
        <v>48</v>
      </c>
      <c r="G729" s="19">
        <v>27</v>
      </c>
      <c r="H729" s="19">
        <v>16</v>
      </c>
      <c r="I729" s="19">
        <v>49</v>
      </c>
      <c r="J729" s="19">
        <v>43</v>
      </c>
      <c r="K729" s="19">
        <v>39</v>
      </c>
      <c r="L729" s="19">
        <v>1</v>
      </c>
      <c r="M729" s="19">
        <f t="shared" si="186"/>
        <v>223</v>
      </c>
      <c r="N729" s="27">
        <f t="shared" si="187"/>
        <v>40536</v>
      </c>
    </row>
    <row r="730" spans="1:14" x14ac:dyDescent="0.25">
      <c r="A730" s="15">
        <f t="shared" si="185"/>
        <v>2</v>
      </c>
      <c r="B730" s="20">
        <f t="shared" si="188"/>
        <v>729</v>
      </c>
      <c r="C730" s="17">
        <f t="shared" si="182"/>
        <v>104</v>
      </c>
      <c r="D730" s="17" t="str">
        <f t="shared" si="189"/>
        <v>20101228</v>
      </c>
      <c r="E730" s="20" t="str">
        <f t="shared" si="183"/>
        <v>20101228104</v>
      </c>
      <c r="F730" s="19">
        <v>36</v>
      </c>
      <c r="G730" s="19">
        <v>13</v>
      </c>
      <c r="H730" s="19">
        <v>17</v>
      </c>
      <c r="I730" s="19">
        <v>2</v>
      </c>
      <c r="J730" s="19">
        <v>27</v>
      </c>
      <c r="K730" s="19">
        <v>31</v>
      </c>
      <c r="L730" s="19">
        <v>18</v>
      </c>
      <c r="M730" s="19">
        <f t="shared" si="186"/>
        <v>144</v>
      </c>
      <c r="N730" s="27">
        <f t="shared" si="184"/>
        <v>40540</v>
      </c>
    </row>
    <row r="731" spans="1:14" x14ac:dyDescent="0.25">
      <c r="A731" s="15">
        <f t="shared" si="185"/>
        <v>5</v>
      </c>
      <c r="B731" s="20">
        <f t="shared" si="188"/>
        <v>730</v>
      </c>
      <c r="C731" s="17">
        <f t="shared" si="182"/>
        <v>105</v>
      </c>
      <c r="D731" s="17" t="str">
        <f t="shared" si="189"/>
        <v>20101231</v>
      </c>
      <c r="E731" s="20" t="str">
        <f t="shared" si="183"/>
        <v>20101231105</v>
      </c>
      <c r="F731" s="19">
        <v>9</v>
      </c>
      <c r="G731" s="19">
        <v>4</v>
      </c>
      <c r="H731" s="19">
        <v>39</v>
      </c>
      <c r="I731" s="19">
        <v>38</v>
      </c>
      <c r="J731" s="19">
        <v>27</v>
      </c>
      <c r="K731" s="19">
        <v>36</v>
      </c>
      <c r="L731" s="19">
        <v>2</v>
      </c>
      <c r="M731" s="19">
        <f t="shared" si="186"/>
        <v>155</v>
      </c>
      <c r="N731" s="27">
        <f t="shared" si="187"/>
        <v>40543</v>
      </c>
    </row>
    <row r="732" spans="1:14" x14ac:dyDescent="0.25">
      <c r="A732" s="15">
        <f t="shared" si="185"/>
        <v>2</v>
      </c>
      <c r="B732" s="20">
        <f t="shared" si="188"/>
        <v>731</v>
      </c>
      <c r="C732" s="17">
        <v>1</v>
      </c>
      <c r="D732" s="17" t="str">
        <f t="shared" si="189"/>
        <v>20110104</v>
      </c>
      <c r="E732" s="20" t="str">
        <f t="shared" si="183"/>
        <v>20110104001</v>
      </c>
      <c r="F732" s="19">
        <v>19</v>
      </c>
      <c r="G732" s="19">
        <v>14</v>
      </c>
      <c r="H732" s="19">
        <v>37</v>
      </c>
      <c r="I732" s="19">
        <v>23</v>
      </c>
      <c r="J732" s="19">
        <v>47</v>
      </c>
      <c r="K732" s="19">
        <v>35</v>
      </c>
      <c r="L732" s="19">
        <v>42</v>
      </c>
      <c r="M732" s="19">
        <f t="shared" si="186"/>
        <v>217</v>
      </c>
      <c r="N732" s="27">
        <f t="shared" si="184"/>
        <v>40547</v>
      </c>
    </row>
    <row r="733" spans="1:14" x14ac:dyDescent="0.25">
      <c r="A733" s="15">
        <f t="shared" si="185"/>
        <v>5</v>
      </c>
      <c r="B733" s="20">
        <f t="shared" si="188"/>
        <v>732</v>
      </c>
      <c r="C733" s="17">
        <f t="shared" si="182"/>
        <v>2</v>
      </c>
      <c r="D733" s="17" t="str">
        <f t="shared" si="189"/>
        <v>20110107</v>
      </c>
      <c r="E733" s="20" t="str">
        <f t="shared" si="183"/>
        <v>20110107002</v>
      </c>
      <c r="F733" s="19">
        <v>34</v>
      </c>
      <c r="G733" s="19">
        <v>35</v>
      </c>
      <c r="H733" s="19">
        <v>13</v>
      </c>
      <c r="I733" s="19">
        <v>47</v>
      </c>
      <c r="J733" s="19">
        <v>11</v>
      </c>
      <c r="K733" s="19">
        <v>49</v>
      </c>
      <c r="L733" s="19">
        <v>20</v>
      </c>
      <c r="M733" s="19">
        <f t="shared" si="186"/>
        <v>209</v>
      </c>
      <c r="N733" s="27">
        <f t="shared" si="187"/>
        <v>40550</v>
      </c>
    </row>
    <row r="734" spans="1:14" x14ac:dyDescent="0.25">
      <c r="A734" s="15">
        <f t="shared" si="185"/>
        <v>2</v>
      </c>
      <c r="B734" s="20">
        <f t="shared" si="188"/>
        <v>733</v>
      </c>
      <c r="C734" s="17">
        <f t="shared" si="182"/>
        <v>3</v>
      </c>
      <c r="D734" s="17" t="str">
        <f t="shared" si="189"/>
        <v>20110111</v>
      </c>
      <c r="E734" s="20" t="str">
        <f t="shared" si="183"/>
        <v>20110111003</v>
      </c>
      <c r="F734" s="19">
        <v>7</v>
      </c>
      <c r="G734" s="19">
        <v>12</v>
      </c>
      <c r="H734" s="19">
        <v>20</v>
      </c>
      <c r="I734" s="19">
        <v>11</v>
      </c>
      <c r="J734" s="19">
        <v>14</v>
      </c>
      <c r="K734" s="19">
        <v>10</v>
      </c>
      <c r="L734" s="19">
        <v>41</v>
      </c>
      <c r="M734" s="19">
        <f t="shared" si="186"/>
        <v>115</v>
      </c>
      <c r="N734" s="27">
        <f t="shared" si="184"/>
        <v>40554</v>
      </c>
    </row>
    <row r="735" spans="1:14" x14ac:dyDescent="0.25">
      <c r="A735" s="15">
        <f t="shared" si="185"/>
        <v>5</v>
      </c>
      <c r="B735" s="20">
        <f t="shared" si="188"/>
        <v>734</v>
      </c>
      <c r="C735" s="17">
        <f t="shared" si="182"/>
        <v>4</v>
      </c>
      <c r="D735" s="17" t="str">
        <f t="shared" si="189"/>
        <v>20110114</v>
      </c>
      <c r="E735" s="20" t="str">
        <f t="shared" si="183"/>
        <v>20110114004</v>
      </c>
      <c r="F735" s="19">
        <v>20</v>
      </c>
      <c r="G735" s="19">
        <v>32</v>
      </c>
      <c r="H735" s="19">
        <v>39</v>
      </c>
      <c r="I735" s="19">
        <v>16</v>
      </c>
      <c r="J735" s="19">
        <v>17</v>
      </c>
      <c r="K735" s="19">
        <v>45</v>
      </c>
      <c r="L735" s="19">
        <v>46</v>
      </c>
      <c r="M735" s="19">
        <f t="shared" si="186"/>
        <v>215</v>
      </c>
      <c r="N735" s="27">
        <f t="shared" si="187"/>
        <v>40557</v>
      </c>
    </row>
    <row r="736" spans="1:14" x14ac:dyDescent="0.25">
      <c r="A736" s="15">
        <f t="shared" si="185"/>
        <v>2</v>
      </c>
      <c r="B736" s="20">
        <f t="shared" si="188"/>
        <v>735</v>
      </c>
      <c r="C736" s="17">
        <f t="shared" si="182"/>
        <v>5</v>
      </c>
      <c r="D736" s="17" t="str">
        <f t="shared" si="189"/>
        <v>20110118</v>
      </c>
      <c r="E736" s="20" t="str">
        <f t="shared" si="183"/>
        <v>20110118005</v>
      </c>
      <c r="F736" s="19">
        <v>15</v>
      </c>
      <c r="G736" s="19">
        <v>40</v>
      </c>
      <c r="H736" s="19">
        <v>42</v>
      </c>
      <c r="I736" s="19">
        <v>38</v>
      </c>
      <c r="J736" s="19">
        <v>47</v>
      </c>
      <c r="K736" s="19">
        <v>46</v>
      </c>
      <c r="L736" s="19">
        <v>17</v>
      </c>
      <c r="M736" s="19">
        <f t="shared" si="186"/>
        <v>245</v>
      </c>
      <c r="N736" s="27">
        <f t="shared" si="184"/>
        <v>40561</v>
      </c>
    </row>
    <row r="737" spans="1:14" x14ac:dyDescent="0.25">
      <c r="A737" s="15">
        <f t="shared" si="185"/>
        <v>5</v>
      </c>
      <c r="B737" s="20">
        <f t="shared" si="188"/>
        <v>736</v>
      </c>
      <c r="C737" s="17">
        <f t="shared" si="182"/>
        <v>6</v>
      </c>
      <c r="D737" s="17" t="str">
        <f t="shared" si="189"/>
        <v>20110121</v>
      </c>
      <c r="E737" s="20" t="str">
        <f t="shared" si="183"/>
        <v>20110121006</v>
      </c>
      <c r="F737" s="19">
        <v>39</v>
      </c>
      <c r="G737" s="19">
        <v>32</v>
      </c>
      <c r="H737" s="19">
        <v>43</v>
      </c>
      <c r="I737" s="19">
        <v>36</v>
      </c>
      <c r="J737" s="19">
        <v>37</v>
      </c>
      <c r="K737" s="19">
        <v>2</v>
      </c>
      <c r="L737" s="19">
        <v>3</v>
      </c>
      <c r="M737" s="19">
        <f t="shared" si="186"/>
        <v>192</v>
      </c>
      <c r="N737" s="27">
        <f t="shared" si="187"/>
        <v>40564</v>
      </c>
    </row>
    <row r="738" spans="1:14" x14ac:dyDescent="0.25">
      <c r="A738" s="15">
        <f t="shared" si="185"/>
        <v>2</v>
      </c>
      <c r="B738" s="20">
        <f t="shared" si="188"/>
        <v>737</v>
      </c>
      <c r="C738" s="17">
        <f t="shared" si="182"/>
        <v>7</v>
      </c>
      <c r="D738" s="17" t="str">
        <f t="shared" si="189"/>
        <v>20110125</v>
      </c>
      <c r="E738" s="20" t="str">
        <f t="shared" si="183"/>
        <v>20110125007</v>
      </c>
      <c r="F738" s="19">
        <v>12</v>
      </c>
      <c r="G738" s="19">
        <v>39</v>
      </c>
      <c r="H738" s="19">
        <v>21</v>
      </c>
      <c r="I738" s="19">
        <v>31</v>
      </c>
      <c r="J738" s="19">
        <v>13</v>
      </c>
      <c r="K738" s="19">
        <v>17</v>
      </c>
      <c r="L738" s="19">
        <v>20</v>
      </c>
      <c r="M738" s="19">
        <f t="shared" si="186"/>
        <v>153</v>
      </c>
      <c r="N738" s="27">
        <f t="shared" si="184"/>
        <v>40568</v>
      </c>
    </row>
    <row r="739" spans="1:14" x14ac:dyDescent="0.25">
      <c r="A739" s="15">
        <f t="shared" si="185"/>
        <v>5</v>
      </c>
      <c r="B739" s="20">
        <f t="shared" si="188"/>
        <v>738</v>
      </c>
      <c r="C739" s="17">
        <f t="shared" si="182"/>
        <v>8</v>
      </c>
      <c r="D739" s="17" t="str">
        <f t="shared" si="189"/>
        <v>20110128</v>
      </c>
      <c r="E739" s="20" t="str">
        <f t="shared" si="183"/>
        <v>20110128008</v>
      </c>
      <c r="F739" s="19">
        <v>18</v>
      </c>
      <c r="G739" s="19">
        <v>3</v>
      </c>
      <c r="H739" s="19">
        <v>42</v>
      </c>
      <c r="I739" s="19">
        <v>24</v>
      </c>
      <c r="J739" s="19">
        <v>13</v>
      </c>
      <c r="K739" s="19">
        <v>4</v>
      </c>
      <c r="L739" s="19">
        <v>47</v>
      </c>
      <c r="M739" s="19">
        <f t="shared" si="186"/>
        <v>151</v>
      </c>
      <c r="N739" s="27">
        <f t="shared" si="187"/>
        <v>40571</v>
      </c>
    </row>
    <row r="740" spans="1:14" x14ac:dyDescent="0.25">
      <c r="A740" s="15">
        <f t="shared" si="185"/>
        <v>2</v>
      </c>
      <c r="B740" s="20">
        <f t="shared" si="188"/>
        <v>739</v>
      </c>
      <c r="C740" s="17">
        <f t="shared" si="182"/>
        <v>9</v>
      </c>
      <c r="D740" s="17" t="str">
        <f t="shared" si="189"/>
        <v>20110201</v>
      </c>
      <c r="E740" s="20" t="str">
        <f t="shared" si="183"/>
        <v>20110201009</v>
      </c>
      <c r="F740" s="19">
        <v>6</v>
      </c>
      <c r="G740" s="19">
        <v>17</v>
      </c>
      <c r="H740" s="19">
        <v>25</v>
      </c>
      <c r="I740" s="19">
        <v>42</v>
      </c>
      <c r="J740" s="19">
        <v>40</v>
      </c>
      <c r="K740" s="19">
        <v>1</v>
      </c>
      <c r="L740" s="19">
        <v>15</v>
      </c>
      <c r="M740" s="19">
        <f t="shared" si="186"/>
        <v>146</v>
      </c>
      <c r="N740" s="27">
        <f t="shared" si="184"/>
        <v>40575</v>
      </c>
    </row>
    <row r="741" spans="1:14" x14ac:dyDescent="0.25">
      <c r="A741" s="15">
        <f t="shared" si="185"/>
        <v>5</v>
      </c>
      <c r="B741" s="20">
        <f t="shared" si="188"/>
        <v>740</v>
      </c>
      <c r="C741" s="17">
        <f t="shared" si="182"/>
        <v>10</v>
      </c>
      <c r="D741" s="17" t="str">
        <f t="shared" si="189"/>
        <v>20110204</v>
      </c>
      <c r="E741" s="20" t="str">
        <f t="shared" si="183"/>
        <v>20110204010</v>
      </c>
      <c r="F741" s="19">
        <v>10</v>
      </c>
      <c r="G741" s="19">
        <v>49</v>
      </c>
      <c r="H741" s="19">
        <v>47</v>
      </c>
      <c r="I741" s="19">
        <v>42</v>
      </c>
      <c r="J741" s="19">
        <v>41</v>
      </c>
      <c r="K741" s="19">
        <v>33</v>
      </c>
      <c r="L741" s="19">
        <v>3</v>
      </c>
      <c r="M741" s="19">
        <f t="shared" si="186"/>
        <v>225</v>
      </c>
      <c r="N741" s="27">
        <f t="shared" si="187"/>
        <v>40578</v>
      </c>
    </row>
    <row r="742" spans="1:14" x14ac:dyDescent="0.25">
      <c r="A742" s="15">
        <f t="shared" si="185"/>
        <v>2</v>
      </c>
      <c r="B742" s="20">
        <f t="shared" si="188"/>
        <v>741</v>
      </c>
      <c r="C742" s="17">
        <f t="shared" si="182"/>
        <v>11</v>
      </c>
      <c r="D742" s="17" t="str">
        <f t="shared" si="189"/>
        <v>20110208</v>
      </c>
      <c r="E742" s="20" t="str">
        <f t="shared" si="183"/>
        <v>20110208011</v>
      </c>
      <c r="F742" s="19">
        <v>31</v>
      </c>
      <c r="G742" s="19">
        <v>39</v>
      </c>
      <c r="H742" s="19">
        <v>5</v>
      </c>
      <c r="I742" s="19">
        <v>6</v>
      </c>
      <c r="J742" s="19">
        <v>23</v>
      </c>
      <c r="K742" s="19">
        <v>41</v>
      </c>
      <c r="L742" s="19">
        <v>16</v>
      </c>
      <c r="M742" s="19">
        <f t="shared" si="186"/>
        <v>161</v>
      </c>
      <c r="N742" s="27">
        <f t="shared" si="184"/>
        <v>40582</v>
      </c>
    </row>
    <row r="743" spans="1:14" x14ac:dyDescent="0.25">
      <c r="A743" s="15">
        <f t="shared" si="185"/>
        <v>5</v>
      </c>
      <c r="B743" s="20">
        <f t="shared" si="188"/>
        <v>742</v>
      </c>
      <c r="C743" s="17">
        <f t="shared" si="182"/>
        <v>12</v>
      </c>
      <c r="D743" s="17" t="str">
        <f t="shared" si="189"/>
        <v>20110211</v>
      </c>
      <c r="E743" s="20" t="str">
        <f t="shared" si="183"/>
        <v>20110211012</v>
      </c>
      <c r="F743" s="19">
        <v>36</v>
      </c>
      <c r="G743" s="19">
        <v>3</v>
      </c>
      <c r="H743" s="19">
        <v>45</v>
      </c>
      <c r="I743" s="19">
        <v>34</v>
      </c>
      <c r="J743" s="19">
        <v>7</v>
      </c>
      <c r="K743" s="19">
        <v>4</v>
      </c>
      <c r="L743" s="19">
        <v>24</v>
      </c>
      <c r="M743" s="19">
        <f t="shared" si="186"/>
        <v>153</v>
      </c>
      <c r="N743" s="27">
        <f t="shared" si="187"/>
        <v>40585</v>
      </c>
    </row>
    <row r="744" spans="1:14" x14ac:dyDescent="0.25">
      <c r="A744" s="15">
        <f t="shared" si="185"/>
        <v>2</v>
      </c>
      <c r="B744" s="20">
        <f t="shared" si="188"/>
        <v>743</v>
      </c>
      <c r="C744" s="17">
        <f t="shared" si="182"/>
        <v>13</v>
      </c>
      <c r="D744" s="17" t="str">
        <f t="shared" si="189"/>
        <v>20110215</v>
      </c>
      <c r="E744" s="20" t="str">
        <f t="shared" si="183"/>
        <v>20110215013</v>
      </c>
      <c r="F744" s="19">
        <v>9</v>
      </c>
      <c r="G744" s="19">
        <v>15</v>
      </c>
      <c r="H744" s="19">
        <v>24</v>
      </c>
      <c r="I744" s="19">
        <v>35</v>
      </c>
      <c r="J744" s="19">
        <v>33</v>
      </c>
      <c r="K744" s="19">
        <v>12</v>
      </c>
      <c r="L744" s="19">
        <v>18</v>
      </c>
      <c r="M744" s="19">
        <f t="shared" si="186"/>
        <v>146</v>
      </c>
      <c r="N744" s="27">
        <f t="shared" si="184"/>
        <v>40589</v>
      </c>
    </row>
    <row r="745" spans="1:14" x14ac:dyDescent="0.25">
      <c r="A745" s="15">
        <f t="shared" si="185"/>
        <v>5</v>
      </c>
      <c r="B745" s="20">
        <f t="shared" si="188"/>
        <v>744</v>
      </c>
      <c r="C745" s="17">
        <f t="shared" si="182"/>
        <v>14</v>
      </c>
      <c r="D745" s="17" t="str">
        <f t="shared" si="189"/>
        <v>20110218</v>
      </c>
      <c r="E745" s="20" t="str">
        <f t="shared" si="183"/>
        <v>20110218014</v>
      </c>
      <c r="F745" s="19">
        <v>20</v>
      </c>
      <c r="G745" s="19">
        <v>23</v>
      </c>
      <c r="H745" s="19">
        <v>38</v>
      </c>
      <c r="I745" s="19">
        <v>37</v>
      </c>
      <c r="J745" s="19">
        <v>14</v>
      </c>
      <c r="K745" s="19">
        <v>26</v>
      </c>
      <c r="L745" s="19">
        <v>33</v>
      </c>
      <c r="M745" s="19">
        <f t="shared" si="186"/>
        <v>191</v>
      </c>
      <c r="N745" s="27">
        <f t="shared" si="187"/>
        <v>40592</v>
      </c>
    </row>
    <row r="746" spans="1:14" x14ac:dyDescent="0.25">
      <c r="A746" s="15">
        <f t="shared" si="185"/>
        <v>2</v>
      </c>
      <c r="B746" s="20">
        <f t="shared" si="188"/>
        <v>745</v>
      </c>
      <c r="C746" s="17">
        <f t="shared" si="182"/>
        <v>15</v>
      </c>
      <c r="D746" s="17" t="str">
        <f t="shared" si="189"/>
        <v>20110222</v>
      </c>
      <c r="E746" s="20" t="str">
        <f t="shared" si="183"/>
        <v>20110222015</v>
      </c>
      <c r="F746" s="19">
        <v>32</v>
      </c>
      <c r="G746" s="19">
        <v>35</v>
      </c>
      <c r="H746" s="19">
        <v>20</v>
      </c>
      <c r="I746" s="19">
        <v>15</v>
      </c>
      <c r="J746" s="19">
        <v>13</v>
      </c>
      <c r="K746" s="19">
        <v>39</v>
      </c>
      <c r="L746" s="19">
        <v>11</v>
      </c>
      <c r="M746" s="19">
        <f t="shared" si="186"/>
        <v>165</v>
      </c>
      <c r="N746" s="27">
        <f t="shared" si="184"/>
        <v>40596</v>
      </c>
    </row>
    <row r="747" spans="1:14" x14ac:dyDescent="0.25">
      <c r="A747" s="15">
        <f t="shared" si="185"/>
        <v>5</v>
      </c>
      <c r="B747" s="20">
        <f t="shared" si="188"/>
        <v>746</v>
      </c>
      <c r="C747" s="17">
        <f t="shared" si="182"/>
        <v>16</v>
      </c>
      <c r="D747" s="17" t="str">
        <f t="shared" si="189"/>
        <v>20110225</v>
      </c>
      <c r="E747" s="20" t="str">
        <f t="shared" si="183"/>
        <v>20110225016</v>
      </c>
      <c r="F747" s="19">
        <v>2</v>
      </c>
      <c r="G747" s="19">
        <v>28</v>
      </c>
      <c r="H747" s="19">
        <v>44</v>
      </c>
      <c r="I747" s="19">
        <v>36</v>
      </c>
      <c r="J747" s="19">
        <v>20</v>
      </c>
      <c r="K747" s="19">
        <v>3</v>
      </c>
      <c r="L747" s="19">
        <v>21</v>
      </c>
      <c r="M747" s="19">
        <f t="shared" si="186"/>
        <v>154</v>
      </c>
      <c r="N747" s="27">
        <f t="shared" si="187"/>
        <v>40599</v>
      </c>
    </row>
    <row r="748" spans="1:14" x14ac:dyDescent="0.25">
      <c r="A748" s="15">
        <f t="shared" si="185"/>
        <v>2</v>
      </c>
      <c r="B748" s="20">
        <f t="shared" si="188"/>
        <v>747</v>
      </c>
      <c r="C748" s="17">
        <f t="shared" si="182"/>
        <v>17</v>
      </c>
      <c r="D748" s="17" t="str">
        <f t="shared" si="189"/>
        <v>20110301</v>
      </c>
      <c r="E748" s="20" t="str">
        <f t="shared" si="183"/>
        <v>20110301017</v>
      </c>
      <c r="F748" s="19">
        <v>3</v>
      </c>
      <c r="G748" s="19">
        <v>14</v>
      </c>
      <c r="H748" s="19">
        <v>27</v>
      </c>
      <c r="I748" s="19">
        <v>8</v>
      </c>
      <c r="J748" s="19">
        <v>48</v>
      </c>
      <c r="K748" s="19">
        <v>31</v>
      </c>
      <c r="L748" s="19">
        <v>23</v>
      </c>
      <c r="M748" s="19">
        <f t="shared" si="186"/>
        <v>154</v>
      </c>
      <c r="N748" s="27">
        <f t="shared" si="184"/>
        <v>40603</v>
      </c>
    </row>
    <row r="749" spans="1:14" x14ac:dyDescent="0.25">
      <c r="A749" s="15">
        <f t="shared" si="185"/>
        <v>5</v>
      </c>
      <c r="B749" s="20">
        <f t="shared" si="188"/>
        <v>748</v>
      </c>
      <c r="C749" s="17">
        <f t="shared" si="182"/>
        <v>18</v>
      </c>
      <c r="D749" s="17" t="str">
        <f t="shared" si="189"/>
        <v>20110304</v>
      </c>
      <c r="E749" s="20" t="str">
        <f t="shared" si="183"/>
        <v>20110304018</v>
      </c>
      <c r="F749" s="19">
        <v>23</v>
      </c>
      <c r="G749" s="19">
        <v>27</v>
      </c>
      <c r="H749" s="19">
        <v>22</v>
      </c>
      <c r="I749" s="19">
        <v>16</v>
      </c>
      <c r="J749" s="19">
        <v>12</v>
      </c>
      <c r="K749" s="19">
        <v>18</v>
      </c>
      <c r="L749" s="19">
        <v>41</v>
      </c>
      <c r="M749" s="19">
        <f t="shared" si="186"/>
        <v>159</v>
      </c>
      <c r="N749" s="27">
        <f t="shared" si="187"/>
        <v>40606</v>
      </c>
    </row>
    <row r="750" spans="1:14" x14ac:dyDescent="0.25">
      <c r="A750" s="15">
        <f t="shared" si="185"/>
        <v>2</v>
      </c>
      <c r="B750" s="20">
        <f t="shared" si="188"/>
        <v>749</v>
      </c>
      <c r="C750" s="17">
        <f t="shared" si="182"/>
        <v>19</v>
      </c>
      <c r="D750" s="17" t="str">
        <f t="shared" si="189"/>
        <v>20110308</v>
      </c>
      <c r="E750" s="20" t="str">
        <f t="shared" si="183"/>
        <v>20110308019</v>
      </c>
      <c r="F750" s="19">
        <v>47</v>
      </c>
      <c r="G750" s="19">
        <v>25</v>
      </c>
      <c r="H750" s="19">
        <v>24</v>
      </c>
      <c r="I750" s="19">
        <v>6</v>
      </c>
      <c r="J750" s="19">
        <v>1</v>
      </c>
      <c r="K750" s="19">
        <v>32</v>
      </c>
      <c r="L750" s="19">
        <v>38</v>
      </c>
      <c r="M750" s="19">
        <f t="shared" si="186"/>
        <v>173</v>
      </c>
      <c r="N750" s="27">
        <f t="shared" si="184"/>
        <v>40610</v>
      </c>
    </row>
    <row r="751" spans="1:14" x14ac:dyDescent="0.25">
      <c r="A751" s="15">
        <f t="shared" si="185"/>
        <v>5</v>
      </c>
      <c r="B751" s="20">
        <f t="shared" si="188"/>
        <v>750</v>
      </c>
      <c r="C751" s="17">
        <f t="shared" si="182"/>
        <v>20</v>
      </c>
      <c r="D751" s="17" t="str">
        <f t="shared" si="189"/>
        <v>20110311</v>
      </c>
      <c r="E751" s="20" t="str">
        <f t="shared" si="183"/>
        <v>20110311020</v>
      </c>
      <c r="F751" s="19">
        <v>11</v>
      </c>
      <c r="G751" s="19">
        <v>42</v>
      </c>
      <c r="H751" s="19">
        <v>13</v>
      </c>
      <c r="I751" s="19">
        <v>21</v>
      </c>
      <c r="J751" s="19">
        <v>22</v>
      </c>
      <c r="K751" s="19">
        <v>5</v>
      </c>
      <c r="L751" s="19">
        <v>25</v>
      </c>
      <c r="M751" s="19">
        <f t="shared" si="186"/>
        <v>139</v>
      </c>
      <c r="N751" s="27">
        <f t="shared" si="187"/>
        <v>40613</v>
      </c>
    </row>
    <row r="752" spans="1:14" x14ac:dyDescent="0.25">
      <c r="A752" s="15">
        <f t="shared" si="185"/>
        <v>2</v>
      </c>
      <c r="B752" s="20">
        <f t="shared" si="188"/>
        <v>751</v>
      </c>
      <c r="C752" s="17">
        <f t="shared" si="182"/>
        <v>21</v>
      </c>
      <c r="D752" s="17" t="str">
        <f t="shared" si="189"/>
        <v>20110315</v>
      </c>
      <c r="E752" s="20" t="str">
        <f t="shared" si="183"/>
        <v>20110315021</v>
      </c>
      <c r="F752" s="19">
        <v>41</v>
      </c>
      <c r="G752" s="19">
        <v>19</v>
      </c>
      <c r="H752" s="19">
        <v>28</v>
      </c>
      <c r="I752" s="19">
        <v>30</v>
      </c>
      <c r="J752" s="19">
        <v>29</v>
      </c>
      <c r="K752" s="19">
        <v>4</v>
      </c>
      <c r="L752" s="19">
        <v>10</v>
      </c>
      <c r="M752" s="19">
        <f t="shared" si="186"/>
        <v>161</v>
      </c>
      <c r="N752" s="27">
        <f t="shared" si="184"/>
        <v>40617</v>
      </c>
    </row>
    <row r="753" spans="1:14" x14ac:dyDescent="0.25">
      <c r="A753" s="15">
        <f t="shared" si="185"/>
        <v>5</v>
      </c>
      <c r="B753" s="20">
        <f t="shared" si="188"/>
        <v>752</v>
      </c>
      <c r="C753" s="17">
        <f t="shared" si="182"/>
        <v>22</v>
      </c>
      <c r="D753" s="17" t="str">
        <f t="shared" si="189"/>
        <v>20110318</v>
      </c>
      <c r="E753" s="20" t="str">
        <f t="shared" si="183"/>
        <v>20110318022</v>
      </c>
      <c r="F753" s="19">
        <v>3</v>
      </c>
      <c r="G753" s="19">
        <v>15</v>
      </c>
      <c r="H753" s="19">
        <v>37</v>
      </c>
      <c r="I753" s="19">
        <v>30</v>
      </c>
      <c r="J753" s="19">
        <v>23</v>
      </c>
      <c r="K753" s="19">
        <v>36</v>
      </c>
      <c r="L753" s="19">
        <v>28</v>
      </c>
      <c r="M753" s="19">
        <f t="shared" si="186"/>
        <v>172</v>
      </c>
      <c r="N753" s="27">
        <f t="shared" si="187"/>
        <v>40620</v>
      </c>
    </row>
    <row r="754" spans="1:14" x14ac:dyDescent="0.25">
      <c r="A754" s="15">
        <f t="shared" si="185"/>
        <v>2</v>
      </c>
      <c r="B754" s="20">
        <f t="shared" si="188"/>
        <v>753</v>
      </c>
      <c r="C754" s="17">
        <f t="shared" si="182"/>
        <v>23</v>
      </c>
      <c r="D754" s="17" t="str">
        <f t="shared" si="189"/>
        <v>20110322</v>
      </c>
      <c r="E754" s="20" t="str">
        <f t="shared" si="183"/>
        <v>20110322023</v>
      </c>
      <c r="F754" s="19">
        <v>20</v>
      </c>
      <c r="G754" s="19">
        <v>24</v>
      </c>
      <c r="H754" s="19">
        <v>47</v>
      </c>
      <c r="I754" s="19">
        <v>36</v>
      </c>
      <c r="J754" s="19">
        <v>6</v>
      </c>
      <c r="K754" s="19">
        <v>8</v>
      </c>
      <c r="L754" s="19">
        <v>27</v>
      </c>
      <c r="M754" s="19">
        <f t="shared" si="186"/>
        <v>168</v>
      </c>
      <c r="N754" s="27">
        <f t="shared" si="184"/>
        <v>40624</v>
      </c>
    </row>
    <row r="755" spans="1:14" x14ac:dyDescent="0.25">
      <c r="A755" s="15">
        <f t="shared" si="185"/>
        <v>5</v>
      </c>
      <c r="B755" s="20">
        <f t="shared" si="188"/>
        <v>754</v>
      </c>
      <c r="C755" s="17">
        <f t="shared" si="182"/>
        <v>24</v>
      </c>
      <c r="D755" s="17" t="str">
        <f t="shared" si="189"/>
        <v>20110325</v>
      </c>
      <c r="E755" s="20" t="str">
        <f t="shared" si="183"/>
        <v>20110325024</v>
      </c>
      <c r="F755" s="19">
        <v>43</v>
      </c>
      <c r="G755" s="19">
        <v>48</v>
      </c>
      <c r="H755" s="19">
        <v>18</v>
      </c>
      <c r="I755" s="19">
        <v>39</v>
      </c>
      <c r="J755" s="19">
        <v>1</v>
      </c>
      <c r="K755" s="19">
        <v>35</v>
      </c>
      <c r="L755" s="19">
        <v>2</v>
      </c>
      <c r="M755" s="19">
        <f t="shared" si="186"/>
        <v>186</v>
      </c>
      <c r="N755" s="27">
        <f t="shared" si="187"/>
        <v>40627</v>
      </c>
    </row>
    <row r="756" spans="1:14" x14ac:dyDescent="0.25">
      <c r="A756" s="15">
        <f t="shared" si="185"/>
        <v>2</v>
      </c>
      <c r="B756" s="20">
        <f t="shared" si="188"/>
        <v>755</v>
      </c>
      <c r="C756" s="17">
        <f t="shared" si="182"/>
        <v>25</v>
      </c>
      <c r="D756" s="17" t="str">
        <f t="shared" si="189"/>
        <v>20110329</v>
      </c>
      <c r="E756" s="20" t="str">
        <f t="shared" si="183"/>
        <v>20110329025</v>
      </c>
      <c r="F756" s="19">
        <v>10</v>
      </c>
      <c r="G756" s="19">
        <v>18</v>
      </c>
      <c r="H756" s="19">
        <v>12</v>
      </c>
      <c r="I756" s="19">
        <v>22</v>
      </c>
      <c r="J756" s="19">
        <v>4</v>
      </c>
      <c r="K756" s="19">
        <v>40</v>
      </c>
      <c r="L756" s="19">
        <v>24</v>
      </c>
      <c r="M756" s="19">
        <f t="shared" si="186"/>
        <v>130</v>
      </c>
      <c r="N756" s="27">
        <f t="shared" si="184"/>
        <v>40631</v>
      </c>
    </row>
    <row r="757" spans="1:14" x14ac:dyDescent="0.25">
      <c r="A757" s="15">
        <f t="shared" si="185"/>
        <v>5</v>
      </c>
      <c r="B757" s="20">
        <f t="shared" si="188"/>
        <v>756</v>
      </c>
      <c r="C757" s="17">
        <f t="shared" ref="C757:C820" si="190">C756+1</f>
        <v>26</v>
      </c>
      <c r="D757" s="17" t="str">
        <f t="shared" si="189"/>
        <v>20110401</v>
      </c>
      <c r="E757" s="20" t="str">
        <f t="shared" si="183"/>
        <v>20110401026</v>
      </c>
      <c r="F757" s="19">
        <v>32</v>
      </c>
      <c r="G757" s="19">
        <v>35</v>
      </c>
      <c r="H757" s="19">
        <v>30</v>
      </c>
      <c r="I757" s="19">
        <v>20</v>
      </c>
      <c r="J757" s="19">
        <v>14</v>
      </c>
      <c r="K757" s="19">
        <v>43</v>
      </c>
      <c r="L757" s="19">
        <v>33</v>
      </c>
      <c r="M757" s="19">
        <f t="shared" si="186"/>
        <v>207</v>
      </c>
      <c r="N757" s="27">
        <f t="shared" si="187"/>
        <v>40634</v>
      </c>
    </row>
    <row r="758" spans="1:14" x14ac:dyDescent="0.25">
      <c r="A758" s="15">
        <f t="shared" si="185"/>
        <v>2</v>
      </c>
      <c r="B758" s="20">
        <f t="shared" si="188"/>
        <v>757</v>
      </c>
      <c r="C758" s="17">
        <f t="shared" si="190"/>
        <v>27</v>
      </c>
      <c r="D758" s="17" t="str">
        <f t="shared" si="189"/>
        <v>20110405</v>
      </c>
      <c r="E758" s="20" t="str">
        <f t="shared" si="183"/>
        <v>20110405027</v>
      </c>
      <c r="F758" s="19">
        <v>20</v>
      </c>
      <c r="G758" s="19">
        <v>29</v>
      </c>
      <c r="H758" s="19">
        <v>24</v>
      </c>
      <c r="I758" s="19">
        <v>28</v>
      </c>
      <c r="J758" s="19">
        <v>8</v>
      </c>
      <c r="K758" s="19">
        <v>10</v>
      </c>
      <c r="L758" s="19">
        <v>32</v>
      </c>
      <c r="M758" s="19">
        <f t="shared" si="186"/>
        <v>151</v>
      </c>
      <c r="N758" s="27">
        <f t="shared" si="184"/>
        <v>40638</v>
      </c>
    </row>
    <row r="759" spans="1:14" x14ac:dyDescent="0.25">
      <c r="A759" s="15">
        <f t="shared" si="185"/>
        <v>5</v>
      </c>
      <c r="B759" s="20">
        <f t="shared" si="188"/>
        <v>758</v>
      </c>
      <c r="C759" s="17">
        <f t="shared" si="190"/>
        <v>28</v>
      </c>
      <c r="D759" s="17" t="str">
        <f t="shared" si="189"/>
        <v>20110408</v>
      </c>
      <c r="E759" s="20" t="str">
        <f t="shared" si="183"/>
        <v>20110408028</v>
      </c>
      <c r="F759" s="19">
        <v>9</v>
      </c>
      <c r="G759" s="19">
        <v>38</v>
      </c>
      <c r="H759" s="19">
        <v>10</v>
      </c>
      <c r="I759" s="19">
        <v>23</v>
      </c>
      <c r="J759" s="19">
        <v>37</v>
      </c>
      <c r="K759" s="19">
        <v>29</v>
      </c>
      <c r="L759" s="19">
        <v>44</v>
      </c>
      <c r="M759" s="19">
        <f t="shared" si="186"/>
        <v>190</v>
      </c>
      <c r="N759" s="27">
        <f t="shared" si="187"/>
        <v>40641</v>
      </c>
    </row>
    <row r="760" spans="1:14" x14ac:dyDescent="0.25">
      <c r="A760" s="15">
        <f t="shared" si="185"/>
        <v>2</v>
      </c>
      <c r="B760" s="20">
        <f t="shared" si="188"/>
        <v>759</v>
      </c>
      <c r="C760" s="17">
        <f t="shared" si="190"/>
        <v>29</v>
      </c>
      <c r="D760" s="17" t="str">
        <f t="shared" si="189"/>
        <v>20110412</v>
      </c>
      <c r="E760" s="20" t="str">
        <f t="shared" si="183"/>
        <v>20110412029</v>
      </c>
      <c r="F760" s="19">
        <v>24</v>
      </c>
      <c r="G760" s="19">
        <v>6</v>
      </c>
      <c r="H760" s="19">
        <v>29</v>
      </c>
      <c r="I760" s="19">
        <v>33</v>
      </c>
      <c r="J760" s="19">
        <v>4</v>
      </c>
      <c r="K760" s="19">
        <v>14</v>
      </c>
      <c r="L760" s="19">
        <v>45</v>
      </c>
      <c r="M760" s="19">
        <f t="shared" si="186"/>
        <v>155</v>
      </c>
      <c r="N760" s="27">
        <f t="shared" si="184"/>
        <v>40645</v>
      </c>
    </row>
    <row r="761" spans="1:14" x14ac:dyDescent="0.25">
      <c r="A761" s="15">
        <f t="shared" si="185"/>
        <v>5</v>
      </c>
      <c r="B761" s="20">
        <f t="shared" si="188"/>
        <v>760</v>
      </c>
      <c r="C761" s="17">
        <f t="shared" si="190"/>
        <v>30</v>
      </c>
      <c r="D761" s="17" t="str">
        <f t="shared" si="189"/>
        <v>20110415</v>
      </c>
      <c r="E761" s="20" t="str">
        <f t="shared" si="183"/>
        <v>20110415030</v>
      </c>
      <c r="F761" s="19">
        <v>47</v>
      </c>
      <c r="G761" s="19">
        <v>37</v>
      </c>
      <c r="H761" s="19">
        <v>42</v>
      </c>
      <c r="I761" s="19">
        <v>28</v>
      </c>
      <c r="J761" s="19">
        <v>38</v>
      </c>
      <c r="K761" s="19">
        <v>15</v>
      </c>
      <c r="L761" s="19">
        <v>33</v>
      </c>
      <c r="M761" s="19">
        <f t="shared" si="186"/>
        <v>240</v>
      </c>
      <c r="N761" s="27">
        <f t="shared" si="187"/>
        <v>40648</v>
      </c>
    </row>
    <row r="762" spans="1:14" x14ac:dyDescent="0.25">
      <c r="A762" s="15">
        <f t="shared" si="185"/>
        <v>2</v>
      </c>
      <c r="B762" s="20">
        <f t="shared" si="188"/>
        <v>761</v>
      </c>
      <c r="C762" s="17">
        <f t="shared" si="190"/>
        <v>31</v>
      </c>
      <c r="D762" s="17" t="str">
        <f t="shared" si="189"/>
        <v>20110419</v>
      </c>
      <c r="E762" s="20" t="str">
        <f t="shared" si="183"/>
        <v>20110419031</v>
      </c>
      <c r="F762" s="19">
        <v>47</v>
      </c>
      <c r="G762" s="19">
        <v>22</v>
      </c>
      <c r="H762" s="19">
        <v>46</v>
      </c>
      <c r="I762" s="19">
        <v>35</v>
      </c>
      <c r="J762" s="19">
        <v>41</v>
      </c>
      <c r="K762" s="19">
        <v>37</v>
      </c>
      <c r="L762" s="19">
        <v>24</v>
      </c>
      <c r="M762" s="19">
        <f t="shared" si="186"/>
        <v>252</v>
      </c>
      <c r="N762" s="27">
        <f t="shared" si="184"/>
        <v>40652</v>
      </c>
    </row>
    <row r="763" spans="1:14" x14ac:dyDescent="0.25">
      <c r="A763" s="15">
        <f t="shared" si="185"/>
        <v>5</v>
      </c>
      <c r="B763" s="20">
        <f t="shared" si="188"/>
        <v>762</v>
      </c>
      <c r="C763" s="17">
        <f t="shared" si="190"/>
        <v>32</v>
      </c>
      <c r="D763" s="17" t="str">
        <f t="shared" si="189"/>
        <v>20110422</v>
      </c>
      <c r="E763" s="20" t="str">
        <f t="shared" si="183"/>
        <v>20110422032</v>
      </c>
      <c r="F763" s="19">
        <v>46</v>
      </c>
      <c r="G763" s="19">
        <v>26</v>
      </c>
      <c r="H763" s="19">
        <v>22</v>
      </c>
      <c r="I763" s="19">
        <v>4</v>
      </c>
      <c r="J763" s="19">
        <v>36</v>
      </c>
      <c r="K763" s="19">
        <v>21</v>
      </c>
      <c r="L763" s="19">
        <v>41</v>
      </c>
      <c r="M763" s="19">
        <f t="shared" si="186"/>
        <v>196</v>
      </c>
      <c r="N763" s="27">
        <f t="shared" si="187"/>
        <v>40655</v>
      </c>
    </row>
    <row r="764" spans="1:14" x14ac:dyDescent="0.25">
      <c r="A764" s="15">
        <f t="shared" si="185"/>
        <v>2</v>
      </c>
      <c r="B764" s="20">
        <f t="shared" si="188"/>
        <v>763</v>
      </c>
      <c r="C764" s="17">
        <f t="shared" si="190"/>
        <v>33</v>
      </c>
      <c r="D764" s="17" t="str">
        <f t="shared" si="189"/>
        <v>20110426</v>
      </c>
      <c r="E764" s="20" t="str">
        <f t="shared" si="183"/>
        <v>20110426033</v>
      </c>
      <c r="F764" s="19">
        <v>37</v>
      </c>
      <c r="G764" s="19">
        <v>41</v>
      </c>
      <c r="H764" s="19">
        <v>39</v>
      </c>
      <c r="I764" s="19">
        <v>40</v>
      </c>
      <c r="J764" s="19">
        <v>45</v>
      </c>
      <c r="K764" s="19">
        <v>20</v>
      </c>
      <c r="L764" s="19">
        <v>8</v>
      </c>
      <c r="M764" s="19">
        <f t="shared" si="186"/>
        <v>230</v>
      </c>
      <c r="N764" s="27">
        <f t="shared" si="184"/>
        <v>40659</v>
      </c>
    </row>
    <row r="765" spans="1:14" x14ac:dyDescent="0.25">
      <c r="A765" s="15">
        <f t="shared" si="185"/>
        <v>5</v>
      </c>
      <c r="B765" s="20">
        <f t="shared" si="188"/>
        <v>764</v>
      </c>
      <c r="C765" s="17">
        <f t="shared" si="190"/>
        <v>34</v>
      </c>
      <c r="D765" s="17" t="str">
        <f t="shared" si="189"/>
        <v>20110429</v>
      </c>
      <c r="E765" s="20" t="str">
        <f t="shared" si="183"/>
        <v>20110429034</v>
      </c>
      <c r="F765" s="19">
        <v>17</v>
      </c>
      <c r="G765" s="19">
        <v>7</v>
      </c>
      <c r="H765" s="19">
        <v>22</v>
      </c>
      <c r="I765" s="19">
        <v>23</v>
      </c>
      <c r="J765" s="19">
        <v>1</v>
      </c>
      <c r="K765" s="19">
        <v>16</v>
      </c>
      <c r="L765" s="19">
        <v>19</v>
      </c>
      <c r="M765" s="19">
        <f t="shared" si="186"/>
        <v>105</v>
      </c>
      <c r="N765" s="27">
        <f t="shared" si="187"/>
        <v>40662</v>
      </c>
    </row>
    <row r="766" spans="1:14" x14ac:dyDescent="0.25">
      <c r="A766" s="15">
        <f t="shared" si="185"/>
        <v>2</v>
      </c>
      <c r="B766" s="20">
        <f t="shared" si="188"/>
        <v>765</v>
      </c>
      <c r="C766" s="17">
        <f t="shared" si="190"/>
        <v>35</v>
      </c>
      <c r="D766" s="17" t="str">
        <f t="shared" si="189"/>
        <v>20110503</v>
      </c>
      <c r="E766" s="20" t="str">
        <f t="shared" si="183"/>
        <v>20110503035</v>
      </c>
      <c r="F766" s="19">
        <v>18</v>
      </c>
      <c r="G766" s="19">
        <v>15</v>
      </c>
      <c r="H766" s="19">
        <v>24</v>
      </c>
      <c r="I766" s="19">
        <v>28</v>
      </c>
      <c r="J766" s="19">
        <v>10</v>
      </c>
      <c r="K766" s="19">
        <v>43</v>
      </c>
      <c r="L766" s="19">
        <v>35</v>
      </c>
      <c r="M766" s="19">
        <f t="shared" si="186"/>
        <v>173</v>
      </c>
      <c r="N766" s="27">
        <f t="shared" si="184"/>
        <v>40666</v>
      </c>
    </row>
    <row r="767" spans="1:14" x14ac:dyDescent="0.25">
      <c r="A767" s="15">
        <f t="shared" si="185"/>
        <v>5</v>
      </c>
      <c r="B767" s="20">
        <f t="shared" si="188"/>
        <v>766</v>
      </c>
      <c r="C767" s="17">
        <f t="shared" si="190"/>
        <v>36</v>
      </c>
      <c r="D767" s="17" t="str">
        <f t="shared" si="189"/>
        <v>20110506</v>
      </c>
      <c r="E767" s="20" t="str">
        <f t="shared" si="183"/>
        <v>20110506036</v>
      </c>
      <c r="F767" s="19">
        <v>22</v>
      </c>
      <c r="G767" s="19">
        <v>24</v>
      </c>
      <c r="H767" s="19">
        <v>36</v>
      </c>
      <c r="I767" s="19">
        <v>44</v>
      </c>
      <c r="J767" s="19">
        <v>23</v>
      </c>
      <c r="K767" s="19">
        <v>6</v>
      </c>
      <c r="L767" s="19">
        <v>3</v>
      </c>
      <c r="M767" s="19">
        <f t="shared" si="186"/>
        <v>158</v>
      </c>
      <c r="N767" s="27">
        <f t="shared" si="187"/>
        <v>40669</v>
      </c>
    </row>
    <row r="768" spans="1:14" x14ac:dyDescent="0.25">
      <c r="A768" s="15">
        <f t="shared" si="185"/>
        <v>2</v>
      </c>
      <c r="B768" s="20">
        <f t="shared" si="188"/>
        <v>767</v>
      </c>
      <c r="C768" s="17">
        <f t="shared" si="190"/>
        <v>37</v>
      </c>
      <c r="D768" s="17" t="str">
        <f t="shared" si="189"/>
        <v>20110510</v>
      </c>
      <c r="E768" s="20" t="str">
        <f t="shared" si="183"/>
        <v>20110510037</v>
      </c>
      <c r="F768" s="19">
        <v>25</v>
      </c>
      <c r="G768" s="19">
        <v>38</v>
      </c>
      <c r="H768" s="19">
        <v>5</v>
      </c>
      <c r="I768" s="19">
        <v>12</v>
      </c>
      <c r="J768" s="19">
        <v>42</v>
      </c>
      <c r="K768" s="19">
        <v>35</v>
      </c>
      <c r="L768" s="19">
        <v>28</v>
      </c>
      <c r="M768" s="19">
        <f t="shared" si="186"/>
        <v>185</v>
      </c>
      <c r="N768" s="27">
        <f t="shared" si="184"/>
        <v>40673</v>
      </c>
    </row>
    <row r="769" spans="1:14" x14ac:dyDescent="0.25">
      <c r="A769" s="15">
        <f t="shared" si="185"/>
        <v>5</v>
      </c>
      <c r="B769" s="20">
        <f t="shared" si="188"/>
        <v>768</v>
      </c>
      <c r="C769" s="17">
        <f t="shared" si="190"/>
        <v>38</v>
      </c>
      <c r="D769" s="17" t="str">
        <f t="shared" si="189"/>
        <v>20110513</v>
      </c>
      <c r="E769" s="20" t="str">
        <f t="shared" si="183"/>
        <v>20110513038</v>
      </c>
      <c r="F769" s="19">
        <v>19</v>
      </c>
      <c r="G769" s="19">
        <v>29</v>
      </c>
      <c r="H769" s="19">
        <v>42</v>
      </c>
      <c r="I769" s="19">
        <v>36</v>
      </c>
      <c r="J769" s="19">
        <v>16</v>
      </c>
      <c r="K769" s="19">
        <v>21</v>
      </c>
      <c r="L769" s="19">
        <v>10</v>
      </c>
      <c r="M769" s="19">
        <f t="shared" si="186"/>
        <v>173</v>
      </c>
      <c r="N769" s="27">
        <f t="shared" si="187"/>
        <v>40676</v>
      </c>
    </row>
    <row r="770" spans="1:14" x14ac:dyDescent="0.25">
      <c r="A770" s="15">
        <f t="shared" si="185"/>
        <v>2</v>
      </c>
      <c r="B770" s="20">
        <f t="shared" si="188"/>
        <v>769</v>
      </c>
      <c r="C770" s="17">
        <f t="shared" si="190"/>
        <v>39</v>
      </c>
      <c r="D770" s="17" t="str">
        <f t="shared" si="189"/>
        <v>20110517</v>
      </c>
      <c r="E770" s="20" t="str">
        <f t="shared" ref="E770:E833" si="191">CONCATENATE(D770,TEXT(C770,"000"))</f>
        <v>20110517039</v>
      </c>
      <c r="F770" s="19">
        <v>1</v>
      </c>
      <c r="G770" s="19">
        <v>3</v>
      </c>
      <c r="H770" s="19">
        <v>48</v>
      </c>
      <c r="I770" s="19">
        <v>11</v>
      </c>
      <c r="J770" s="19">
        <v>26</v>
      </c>
      <c r="K770" s="19">
        <v>15</v>
      </c>
      <c r="L770" s="19">
        <v>28</v>
      </c>
      <c r="M770" s="19">
        <f t="shared" si="186"/>
        <v>132</v>
      </c>
      <c r="N770" s="27">
        <f t="shared" ref="N770:N832" si="192">N769+4</f>
        <v>40680</v>
      </c>
    </row>
    <row r="771" spans="1:14" x14ac:dyDescent="0.25">
      <c r="A771" s="15">
        <f t="shared" ref="A771:A834" si="193">WEEKDAY(N771,2)</f>
        <v>5</v>
      </c>
      <c r="B771" s="20">
        <f t="shared" si="188"/>
        <v>770</v>
      </c>
      <c r="C771" s="17">
        <f t="shared" si="190"/>
        <v>40</v>
      </c>
      <c r="D771" s="17" t="str">
        <f t="shared" si="189"/>
        <v>20110520</v>
      </c>
      <c r="E771" s="20" t="str">
        <f t="shared" si="191"/>
        <v>20110520040</v>
      </c>
      <c r="F771" s="19">
        <v>42</v>
      </c>
      <c r="G771" s="19">
        <v>33</v>
      </c>
      <c r="H771" s="19">
        <v>34</v>
      </c>
      <c r="I771" s="19">
        <v>2</v>
      </c>
      <c r="J771" s="19">
        <v>47</v>
      </c>
      <c r="K771" s="19">
        <v>44</v>
      </c>
      <c r="L771" s="19">
        <v>10</v>
      </c>
      <c r="M771" s="19">
        <f t="shared" ref="M771:M834" si="194">SUM(F771:L771)</f>
        <v>212</v>
      </c>
      <c r="N771" s="27">
        <f t="shared" ref="N771:N833" si="195">N770+3</f>
        <v>40683</v>
      </c>
    </row>
    <row r="772" spans="1:14" x14ac:dyDescent="0.25">
      <c r="A772" s="15">
        <f t="shared" si="193"/>
        <v>2</v>
      </c>
      <c r="B772" s="20">
        <f t="shared" ref="B772:B836" si="196">B771+1</f>
        <v>771</v>
      </c>
      <c r="C772" s="17">
        <f t="shared" si="190"/>
        <v>41</v>
      </c>
      <c r="D772" s="17" t="str">
        <f t="shared" ref="D772:D835" si="197">CONCATENATE(TEXT(YEAR(N772),"0000"),TEXT(MONTH(N772),"00"),TEXT(DAY(N772),"00"))</f>
        <v>20110524</v>
      </c>
      <c r="E772" s="20" t="str">
        <f t="shared" si="191"/>
        <v>20110524041</v>
      </c>
      <c r="F772" s="19">
        <v>24</v>
      </c>
      <c r="G772" s="19">
        <v>16</v>
      </c>
      <c r="H772" s="19">
        <v>25</v>
      </c>
      <c r="I772" s="19">
        <v>19</v>
      </c>
      <c r="J772" s="19">
        <v>1</v>
      </c>
      <c r="K772" s="19">
        <v>26</v>
      </c>
      <c r="L772" s="19">
        <v>21</v>
      </c>
      <c r="M772" s="19">
        <f t="shared" si="194"/>
        <v>132</v>
      </c>
      <c r="N772" s="27">
        <f t="shared" si="192"/>
        <v>40687</v>
      </c>
    </row>
    <row r="773" spans="1:14" x14ac:dyDescent="0.25">
      <c r="A773" s="15">
        <f t="shared" si="193"/>
        <v>5</v>
      </c>
      <c r="B773" s="20">
        <f t="shared" si="196"/>
        <v>772</v>
      </c>
      <c r="C773" s="17">
        <f t="shared" si="190"/>
        <v>42</v>
      </c>
      <c r="D773" s="17" t="str">
        <f t="shared" si="197"/>
        <v>20110527</v>
      </c>
      <c r="E773" s="20" t="str">
        <f t="shared" si="191"/>
        <v>20110527042</v>
      </c>
      <c r="F773" s="19">
        <v>48</v>
      </c>
      <c r="G773" s="19">
        <v>10</v>
      </c>
      <c r="H773" s="19">
        <v>43</v>
      </c>
      <c r="I773" s="19">
        <v>5</v>
      </c>
      <c r="J773" s="19">
        <v>32</v>
      </c>
      <c r="K773" s="19">
        <v>24</v>
      </c>
      <c r="L773" s="19">
        <v>4</v>
      </c>
      <c r="M773" s="19">
        <f t="shared" si="194"/>
        <v>166</v>
      </c>
      <c r="N773" s="27">
        <f t="shared" si="195"/>
        <v>40690</v>
      </c>
    </row>
    <row r="774" spans="1:14" x14ac:dyDescent="0.25">
      <c r="A774" s="15">
        <f t="shared" si="193"/>
        <v>2</v>
      </c>
      <c r="B774" s="20">
        <f t="shared" si="196"/>
        <v>773</v>
      </c>
      <c r="C774" s="17">
        <f t="shared" si="190"/>
        <v>43</v>
      </c>
      <c r="D774" s="17" t="str">
        <f t="shared" si="197"/>
        <v>20110531</v>
      </c>
      <c r="E774" s="20" t="str">
        <f t="shared" si="191"/>
        <v>20110531043</v>
      </c>
      <c r="F774" s="19">
        <v>43</v>
      </c>
      <c r="G774" s="19">
        <v>32</v>
      </c>
      <c r="H774" s="19">
        <v>38</v>
      </c>
      <c r="I774" s="19">
        <v>5</v>
      </c>
      <c r="J774" s="19">
        <v>9</v>
      </c>
      <c r="K774" s="19">
        <v>15</v>
      </c>
      <c r="L774" s="19">
        <v>12</v>
      </c>
      <c r="M774" s="19">
        <f t="shared" si="194"/>
        <v>154</v>
      </c>
      <c r="N774" s="27">
        <f t="shared" si="192"/>
        <v>40694</v>
      </c>
    </row>
    <row r="775" spans="1:14" x14ac:dyDescent="0.25">
      <c r="A775" s="15">
        <f t="shared" si="193"/>
        <v>5</v>
      </c>
      <c r="B775" s="20">
        <f t="shared" si="196"/>
        <v>774</v>
      </c>
      <c r="C775" s="17">
        <f t="shared" si="190"/>
        <v>44</v>
      </c>
      <c r="D775" s="17" t="str">
        <f t="shared" si="197"/>
        <v>20110603</v>
      </c>
      <c r="E775" s="20" t="str">
        <f t="shared" si="191"/>
        <v>20110603044</v>
      </c>
      <c r="F775" s="19">
        <v>12</v>
      </c>
      <c r="G775" s="19">
        <v>8</v>
      </c>
      <c r="H775" s="19">
        <v>15</v>
      </c>
      <c r="I775" s="19">
        <v>13</v>
      </c>
      <c r="J775" s="19">
        <v>46</v>
      </c>
      <c r="K775" s="19">
        <v>35</v>
      </c>
      <c r="L775" s="19">
        <v>30</v>
      </c>
      <c r="M775" s="19">
        <f t="shared" si="194"/>
        <v>159</v>
      </c>
      <c r="N775" s="27">
        <f t="shared" si="195"/>
        <v>40697</v>
      </c>
    </row>
    <row r="776" spans="1:14" x14ac:dyDescent="0.25">
      <c r="A776" s="15">
        <f t="shared" si="193"/>
        <v>2</v>
      </c>
      <c r="B776" s="20">
        <f t="shared" si="196"/>
        <v>775</v>
      </c>
      <c r="C776" s="17">
        <f t="shared" si="190"/>
        <v>45</v>
      </c>
      <c r="D776" s="17" t="str">
        <f t="shared" si="197"/>
        <v>20110607</v>
      </c>
      <c r="E776" s="20" t="str">
        <f t="shared" si="191"/>
        <v>20110607045</v>
      </c>
      <c r="F776" s="19">
        <v>39</v>
      </c>
      <c r="G776" s="19">
        <v>3</v>
      </c>
      <c r="H776" s="19">
        <v>31</v>
      </c>
      <c r="I776" s="19">
        <v>22</v>
      </c>
      <c r="J776" s="19">
        <v>27</v>
      </c>
      <c r="K776" s="19">
        <v>8</v>
      </c>
      <c r="L776" s="19">
        <v>14</v>
      </c>
      <c r="M776" s="19">
        <f t="shared" si="194"/>
        <v>144</v>
      </c>
      <c r="N776" s="27">
        <f t="shared" si="192"/>
        <v>40701</v>
      </c>
    </row>
    <row r="777" spans="1:14" x14ac:dyDescent="0.25">
      <c r="A777" s="15">
        <f t="shared" si="193"/>
        <v>5</v>
      </c>
      <c r="B777" s="20">
        <f t="shared" si="196"/>
        <v>776</v>
      </c>
      <c r="C777" s="17">
        <f t="shared" si="190"/>
        <v>46</v>
      </c>
      <c r="D777" s="17" t="str">
        <f t="shared" si="197"/>
        <v>20110610</v>
      </c>
      <c r="E777" s="20" t="str">
        <f t="shared" si="191"/>
        <v>20110610046</v>
      </c>
      <c r="F777" s="19">
        <v>29</v>
      </c>
      <c r="G777" s="19">
        <v>6</v>
      </c>
      <c r="H777" s="19">
        <v>37</v>
      </c>
      <c r="I777" s="19">
        <v>10</v>
      </c>
      <c r="J777" s="19">
        <v>41</v>
      </c>
      <c r="K777" s="19">
        <v>19</v>
      </c>
      <c r="L777" s="19">
        <v>9</v>
      </c>
      <c r="M777" s="19">
        <f t="shared" si="194"/>
        <v>151</v>
      </c>
      <c r="N777" s="27">
        <f t="shared" si="195"/>
        <v>40704</v>
      </c>
    </row>
    <row r="778" spans="1:14" x14ac:dyDescent="0.25">
      <c r="A778" s="15">
        <f t="shared" si="193"/>
        <v>2</v>
      </c>
      <c r="B778" s="20">
        <f t="shared" si="196"/>
        <v>777</v>
      </c>
      <c r="C778" s="17">
        <f t="shared" si="190"/>
        <v>47</v>
      </c>
      <c r="D778" s="17" t="str">
        <f t="shared" si="197"/>
        <v>20110614</v>
      </c>
      <c r="E778" s="20" t="str">
        <f t="shared" si="191"/>
        <v>20110614047</v>
      </c>
      <c r="F778" s="19">
        <v>33</v>
      </c>
      <c r="G778" s="19">
        <v>21</v>
      </c>
      <c r="H778" s="19">
        <v>31</v>
      </c>
      <c r="I778" s="19">
        <v>17</v>
      </c>
      <c r="J778" s="19">
        <v>48</v>
      </c>
      <c r="K778" s="19">
        <v>5</v>
      </c>
      <c r="L778" s="19">
        <v>25</v>
      </c>
      <c r="M778" s="19">
        <f t="shared" si="194"/>
        <v>180</v>
      </c>
      <c r="N778" s="27">
        <f t="shared" si="192"/>
        <v>40708</v>
      </c>
    </row>
    <row r="779" spans="1:14" x14ac:dyDescent="0.25">
      <c r="A779" s="15">
        <f t="shared" si="193"/>
        <v>5</v>
      </c>
      <c r="B779" s="20">
        <f t="shared" si="196"/>
        <v>778</v>
      </c>
      <c r="C779" s="17">
        <f t="shared" si="190"/>
        <v>48</v>
      </c>
      <c r="D779" s="17" t="str">
        <f t="shared" si="197"/>
        <v>20110617</v>
      </c>
      <c r="E779" s="20" t="str">
        <f t="shared" si="191"/>
        <v>20110617048</v>
      </c>
      <c r="F779" s="19">
        <v>1</v>
      </c>
      <c r="G779" s="19">
        <v>2</v>
      </c>
      <c r="H779" s="19">
        <v>31</v>
      </c>
      <c r="I779" s="19">
        <v>19</v>
      </c>
      <c r="J779" s="19">
        <v>47</v>
      </c>
      <c r="K779" s="19">
        <v>48</v>
      </c>
      <c r="L779" s="19">
        <v>36</v>
      </c>
      <c r="M779" s="19">
        <f t="shared" si="194"/>
        <v>184</v>
      </c>
      <c r="N779" s="27">
        <f t="shared" si="195"/>
        <v>40711</v>
      </c>
    </row>
    <row r="780" spans="1:14" x14ac:dyDescent="0.25">
      <c r="A780" s="15">
        <f t="shared" si="193"/>
        <v>2</v>
      </c>
      <c r="B780" s="20">
        <f t="shared" si="196"/>
        <v>779</v>
      </c>
      <c r="C780" s="17">
        <f t="shared" si="190"/>
        <v>49</v>
      </c>
      <c r="D780" s="17" t="str">
        <f t="shared" si="197"/>
        <v>20110621</v>
      </c>
      <c r="E780" s="20" t="str">
        <f t="shared" si="191"/>
        <v>20110621049</v>
      </c>
      <c r="F780" s="19">
        <v>46</v>
      </c>
      <c r="G780" s="19">
        <v>10</v>
      </c>
      <c r="H780" s="19">
        <v>1</v>
      </c>
      <c r="I780" s="19">
        <v>13</v>
      </c>
      <c r="J780" s="19">
        <v>40</v>
      </c>
      <c r="K780" s="19">
        <v>42</v>
      </c>
      <c r="L780" s="19">
        <v>41</v>
      </c>
      <c r="M780" s="19">
        <f t="shared" si="194"/>
        <v>193</v>
      </c>
      <c r="N780" s="27">
        <f t="shared" si="192"/>
        <v>40715</v>
      </c>
    </row>
    <row r="781" spans="1:14" x14ac:dyDescent="0.25">
      <c r="A781" s="15">
        <f t="shared" si="193"/>
        <v>5</v>
      </c>
      <c r="B781" s="20">
        <f t="shared" si="196"/>
        <v>780</v>
      </c>
      <c r="C781" s="17">
        <f t="shared" si="190"/>
        <v>50</v>
      </c>
      <c r="D781" s="17" t="str">
        <f t="shared" si="197"/>
        <v>20110624</v>
      </c>
      <c r="E781" s="20" t="str">
        <f t="shared" si="191"/>
        <v>20110624050</v>
      </c>
      <c r="F781" s="19">
        <v>38</v>
      </c>
      <c r="G781" s="19">
        <v>11</v>
      </c>
      <c r="H781" s="19">
        <v>27</v>
      </c>
      <c r="I781" s="19">
        <v>21</v>
      </c>
      <c r="J781" s="19">
        <v>19</v>
      </c>
      <c r="K781" s="19">
        <v>39</v>
      </c>
      <c r="L781" s="19">
        <v>24</v>
      </c>
      <c r="M781" s="19">
        <f t="shared" si="194"/>
        <v>179</v>
      </c>
      <c r="N781" s="27">
        <f t="shared" si="195"/>
        <v>40718</v>
      </c>
    </row>
    <row r="782" spans="1:14" x14ac:dyDescent="0.25">
      <c r="A782" s="15">
        <f t="shared" si="193"/>
        <v>2</v>
      </c>
      <c r="B782" s="20">
        <f t="shared" si="196"/>
        <v>781</v>
      </c>
      <c r="C782" s="17">
        <f t="shared" si="190"/>
        <v>51</v>
      </c>
      <c r="D782" s="17" t="str">
        <f t="shared" si="197"/>
        <v>20110628</v>
      </c>
      <c r="E782" s="20" t="str">
        <f t="shared" si="191"/>
        <v>20110628051</v>
      </c>
      <c r="F782" s="19">
        <v>33</v>
      </c>
      <c r="G782" s="19">
        <v>27</v>
      </c>
      <c r="H782" s="19">
        <v>13</v>
      </c>
      <c r="I782" s="19">
        <v>11</v>
      </c>
      <c r="J782" s="19">
        <v>15</v>
      </c>
      <c r="K782" s="19">
        <v>23</v>
      </c>
      <c r="L782" s="19">
        <v>4</v>
      </c>
      <c r="M782" s="19">
        <f t="shared" si="194"/>
        <v>126</v>
      </c>
      <c r="N782" s="27">
        <f t="shared" si="192"/>
        <v>40722</v>
      </c>
    </row>
    <row r="783" spans="1:14" x14ac:dyDescent="0.25">
      <c r="A783" s="15">
        <f t="shared" si="193"/>
        <v>5</v>
      </c>
      <c r="B783" s="20">
        <f t="shared" si="196"/>
        <v>782</v>
      </c>
      <c r="C783" s="17">
        <f t="shared" si="190"/>
        <v>52</v>
      </c>
      <c r="D783" s="17" t="str">
        <f t="shared" si="197"/>
        <v>20110701</v>
      </c>
      <c r="E783" s="20" t="str">
        <f t="shared" si="191"/>
        <v>20110701052</v>
      </c>
      <c r="F783" s="19">
        <v>9</v>
      </c>
      <c r="G783" s="19">
        <v>49</v>
      </c>
      <c r="H783" s="19">
        <v>23</v>
      </c>
      <c r="I783" s="19">
        <v>44</v>
      </c>
      <c r="J783" s="19">
        <v>31</v>
      </c>
      <c r="K783" s="19">
        <v>25</v>
      </c>
      <c r="L783" s="19">
        <v>2</v>
      </c>
      <c r="M783" s="19">
        <f t="shared" si="194"/>
        <v>183</v>
      </c>
      <c r="N783" s="27">
        <f t="shared" si="195"/>
        <v>40725</v>
      </c>
    </row>
    <row r="784" spans="1:14" x14ac:dyDescent="0.25">
      <c r="A784" s="15">
        <f t="shared" si="193"/>
        <v>2</v>
      </c>
      <c r="B784" s="20">
        <f t="shared" si="196"/>
        <v>783</v>
      </c>
      <c r="C784" s="17">
        <f t="shared" si="190"/>
        <v>53</v>
      </c>
      <c r="D784" s="17" t="str">
        <f t="shared" si="197"/>
        <v>20110705</v>
      </c>
      <c r="E784" s="20" t="str">
        <f t="shared" si="191"/>
        <v>20110705053</v>
      </c>
      <c r="F784" s="19">
        <v>15</v>
      </c>
      <c r="G784" s="19">
        <v>2</v>
      </c>
      <c r="H784" s="19">
        <v>28</v>
      </c>
      <c r="I784" s="19">
        <v>1</v>
      </c>
      <c r="J784" s="19">
        <v>32</v>
      </c>
      <c r="K784" s="19">
        <v>18</v>
      </c>
      <c r="L784" s="19">
        <v>26</v>
      </c>
      <c r="M784" s="19">
        <f t="shared" si="194"/>
        <v>122</v>
      </c>
      <c r="N784" s="27">
        <f t="shared" si="192"/>
        <v>40729</v>
      </c>
    </row>
    <row r="785" spans="1:14" x14ac:dyDescent="0.25">
      <c r="A785" s="15">
        <f t="shared" si="193"/>
        <v>5</v>
      </c>
      <c r="B785" s="20">
        <f t="shared" si="196"/>
        <v>784</v>
      </c>
      <c r="C785" s="17">
        <f t="shared" si="190"/>
        <v>54</v>
      </c>
      <c r="D785" s="17" t="str">
        <f t="shared" si="197"/>
        <v>20110708</v>
      </c>
      <c r="E785" s="20" t="str">
        <f t="shared" si="191"/>
        <v>20110708054</v>
      </c>
      <c r="F785" s="19">
        <v>43</v>
      </c>
      <c r="G785" s="19">
        <v>37</v>
      </c>
      <c r="H785" s="19">
        <v>47</v>
      </c>
      <c r="I785" s="19">
        <v>16</v>
      </c>
      <c r="J785" s="19">
        <v>18</v>
      </c>
      <c r="K785" s="19">
        <v>35</v>
      </c>
      <c r="L785" s="19">
        <v>7</v>
      </c>
      <c r="M785" s="19">
        <f t="shared" si="194"/>
        <v>203</v>
      </c>
      <c r="N785" s="27">
        <f t="shared" si="195"/>
        <v>40732</v>
      </c>
    </row>
    <row r="786" spans="1:14" x14ac:dyDescent="0.25">
      <c r="A786" s="15">
        <f t="shared" si="193"/>
        <v>2</v>
      </c>
      <c r="B786" s="20">
        <f t="shared" si="196"/>
        <v>785</v>
      </c>
      <c r="C786" s="17">
        <f t="shared" si="190"/>
        <v>55</v>
      </c>
      <c r="D786" s="17" t="str">
        <f t="shared" si="197"/>
        <v>20110712</v>
      </c>
      <c r="E786" s="20" t="str">
        <f t="shared" si="191"/>
        <v>20110712055</v>
      </c>
      <c r="F786" s="19">
        <v>24</v>
      </c>
      <c r="G786" s="19">
        <v>41</v>
      </c>
      <c r="H786" s="19">
        <v>8</v>
      </c>
      <c r="I786" s="19">
        <v>31</v>
      </c>
      <c r="J786" s="19">
        <v>35</v>
      </c>
      <c r="K786" s="19">
        <v>37</v>
      </c>
      <c r="L786" s="19">
        <v>19</v>
      </c>
      <c r="M786" s="19">
        <f t="shared" si="194"/>
        <v>195</v>
      </c>
      <c r="N786" s="27">
        <f t="shared" si="192"/>
        <v>40736</v>
      </c>
    </row>
    <row r="787" spans="1:14" x14ac:dyDescent="0.25">
      <c r="A787" s="15">
        <f t="shared" si="193"/>
        <v>5</v>
      </c>
      <c r="B787" s="20">
        <f t="shared" si="196"/>
        <v>786</v>
      </c>
      <c r="C787" s="17">
        <f t="shared" si="190"/>
        <v>56</v>
      </c>
      <c r="D787" s="17" t="str">
        <f t="shared" si="197"/>
        <v>20110715</v>
      </c>
      <c r="E787" s="20" t="str">
        <f t="shared" si="191"/>
        <v>20110715056</v>
      </c>
      <c r="F787" s="19">
        <v>43</v>
      </c>
      <c r="G787" s="19">
        <v>49</v>
      </c>
      <c r="H787" s="19">
        <v>23</v>
      </c>
      <c r="I787" s="19">
        <v>30</v>
      </c>
      <c r="J787" s="19">
        <v>27</v>
      </c>
      <c r="K787" s="19">
        <v>17</v>
      </c>
      <c r="L787" s="19">
        <v>31</v>
      </c>
      <c r="M787" s="19">
        <f t="shared" si="194"/>
        <v>220</v>
      </c>
      <c r="N787" s="27">
        <f t="shared" si="195"/>
        <v>40739</v>
      </c>
    </row>
    <row r="788" spans="1:14" x14ac:dyDescent="0.25">
      <c r="A788" s="15">
        <f t="shared" si="193"/>
        <v>2</v>
      </c>
      <c r="B788" s="20">
        <f t="shared" si="196"/>
        <v>787</v>
      </c>
      <c r="C788" s="17">
        <f t="shared" si="190"/>
        <v>57</v>
      </c>
      <c r="D788" s="17" t="str">
        <f t="shared" si="197"/>
        <v>20110719</v>
      </c>
      <c r="E788" s="20" t="str">
        <f t="shared" si="191"/>
        <v>20110719057</v>
      </c>
      <c r="F788" s="19">
        <v>17</v>
      </c>
      <c r="G788" s="19">
        <v>37</v>
      </c>
      <c r="H788" s="19">
        <v>20</v>
      </c>
      <c r="I788" s="19">
        <v>47</v>
      </c>
      <c r="J788" s="19">
        <v>49</v>
      </c>
      <c r="K788" s="19">
        <v>2</v>
      </c>
      <c r="L788" s="19">
        <v>36</v>
      </c>
      <c r="M788" s="19">
        <f t="shared" si="194"/>
        <v>208</v>
      </c>
      <c r="N788" s="27">
        <f t="shared" si="192"/>
        <v>40743</v>
      </c>
    </row>
    <row r="789" spans="1:14" x14ac:dyDescent="0.25">
      <c r="A789" s="15">
        <f t="shared" si="193"/>
        <v>5</v>
      </c>
      <c r="B789" s="20">
        <f t="shared" si="196"/>
        <v>788</v>
      </c>
      <c r="C789" s="17">
        <f t="shared" si="190"/>
        <v>58</v>
      </c>
      <c r="D789" s="17" t="str">
        <f t="shared" si="197"/>
        <v>20110722</v>
      </c>
      <c r="E789" s="20" t="str">
        <f t="shared" si="191"/>
        <v>20110722058</v>
      </c>
      <c r="F789" s="19">
        <v>8</v>
      </c>
      <c r="G789" s="19">
        <v>22</v>
      </c>
      <c r="H789" s="19">
        <v>6</v>
      </c>
      <c r="I789" s="19">
        <v>4</v>
      </c>
      <c r="J789" s="19">
        <v>5</v>
      </c>
      <c r="K789" s="19">
        <v>38</v>
      </c>
      <c r="L789" s="19">
        <v>42</v>
      </c>
      <c r="M789" s="19">
        <f t="shared" si="194"/>
        <v>125</v>
      </c>
      <c r="N789" s="27">
        <f t="shared" si="195"/>
        <v>40746</v>
      </c>
    </row>
    <row r="790" spans="1:14" x14ac:dyDescent="0.25">
      <c r="A790" s="15">
        <f t="shared" si="193"/>
        <v>2</v>
      </c>
      <c r="B790" s="20">
        <f t="shared" si="196"/>
        <v>789</v>
      </c>
      <c r="C790" s="17">
        <f t="shared" si="190"/>
        <v>59</v>
      </c>
      <c r="D790" s="17" t="str">
        <f t="shared" si="197"/>
        <v>20110726</v>
      </c>
      <c r="E790" s="20" t="str">
        <f t="shared" si="191"/>
        <v>20110726059</v>
      </c>
      <c r="F790" s="19">
        <v>2</v>
      </c>
      <c r="G790" s="19">
        <v>8</v>
      </c>
      <c r="H790" s="19">
        <v>29</v>
      </c>
      <c r="I790" s="19">
        <v>36</v>
      </c>
      <c r="J790" s="19">
        <v>35</v>
      </c>
      <c r="K790" s="19">
        <v>13</v>
      </c>
      <c r="L790" s="19">
        <v>14</v>
      </c>
      <c r="M790" s="19">
        <f t="shared" si="194"/>
        <v>137</v>
      </c>
      <c r="N790" s="27">
        <f t="shared" si="192"/>
        <v>40750</v>
      </c>
    </row>
    <row r="791" spans="1:14" x14ac:dyDescent="0.25">
      <c r="A791" s="15">
        <f t="shared" si="193"/>
        <v>5</v>
      </c>
      <c r="B791" s="20">
        <f t="shared" si="196"/>
        <v>790</v>
      </c>
      <c r="C791" s="17">
        <f t="shared" si="190"/>
        <v>60</v>
      </c>
      <c r="D791" s="17" t="str">
        <f t="shared" si="197"/>
        <v>20110729</v>
      </c>
      <c r="E791" s="20" t="str">
        <f t="shared" si="191"/>
        <v>20110729060</v>
      </c>
      <c r="F791" s="19">
        <v>19</v>
      </c>
      <c r="G791" s="19">
        <v>38</v>
      </c>
      <c r="H791" s="19">
        <v>46</v>
      </c>
      <c r="I791" s="19">
        <v>28</v>
      </c>
      <c r="J791" s="19">
        <v>6</v>
      </c>
      <c r="K791" s="19">
        <v>37</v>
      </c>
      <c r="L791" s="19">
        <v>42</v>
      </c>
      <c r="M791" s="19">
        <f t="shared" si="194"/>
        <v>216</v>
      </c>
      <c r="N791" s="27">
        <f t="shared" si="195"/>
        <v>40753</v>
      </c>
    </row>
    <row r="792" spans="1:14" x14ac:dyDescent="0.25">
      <c r="A792" s="15">
        <f t="shared" si="193"/>
        <v>2</v>
      </c>
      <c r="B792" s="20">
        <f t="shared" si="196"/>
        <v>791</v>
      </c>
      <c r="C792" s="17">
        <f t="shared" si="190"/>
        <v>61</v>
      </c>
      <c r="D792" s="17" t="str">
        <f t="shared" si="197"/>
        <v>20110802</v>
      </c>
      <c r="E792" s="20" t="str">
        <f t="shared" si="191"/>
        <v>20110802061</v>
      </c>
      <c r="F792" s="19">
        <v>27</v>
      </c>
      <c r="G792" s="19">
        <v>17</v>
      </c>
      <c r="H792" s="19">
        <v>45</v>
      </c>
      <c r="I792" s="19">
        <v>24</v>
      </c>
      <c r="J792" s="19">
        <v>42</v>
      </c>
      <c r="K792" s="19">
        <v>28</v>
      </c>
      <c r="L792" s="19">
        <v>31</v>
      </c>
      <c r="M792" s="19">
        <f t="shared" si="194"/>
        <v>214</v>
      </c>
      <c r="N792" s="27">
        <f t="shared" si="192"/>
        <v>40757</v>
      </c>
    </row>
    <row r="793" spans="1:14" x14ac:dyDescent="0.25">
      <c r="A793" s="15">
        <f t="shared" si="193"/>
        <v>5</v>
      </c>
      <c r="B793" s="20">
        <f t="shared" si="196"/>
        <v>792</v>
      </c>
      <c r="C793" s="17">
        <f t="shared" si="190"/>
        <v>62</v>
      </c>
      <c r="D793" s="17" t="str">
        <f t="shared" si="197"/>
        <v>20110805</v>
      </c>
      <c r="E793" s="20" t="str">
        <f t="shared" si="191"/>
        <v>20110805062</v>
      </c>
      <c r="F793" s="19">
        <v>3</v>
      </c>
      <c r="G793" s="19">
        <v>28</v>
      </c>
      <c r="H793" s="19">
        <v>25</v>
      </c>
      <c r="I793" s="19">
        <v>49</v>
      </c>
      <c r="J793" s="19">
        <v>24</v>
      </c>
      <c r="K793" s="19">
        <v>20</v>
      </c>
      <c r="L793" s="19">
        <v>30</v>
      </c>
      <c r="M793" s="19">
        <f t="shared" si="194"/>
        <v>179</v>
      </c>
      <c r="N793" s="27">
        <f t="shared" si="195"/>
        <v>40760</v>
      </c>
    </row>
    <row r="794" spans="1:14" x14ac:dyDescent="0.25">
      <c r="A794" s="15">
        <f t="shared" si="193"/>
        <v>2</v>
      </c>
      <c r="B794" s="20">
        <f t="shared" si="196"/>
        <v>793</v>
      </c>
      <c r="C794" s="17">
        <f t="shared" si="190"/>
        <v>63</v>
      </c>
      <c r="D794" s="17" t="str">
        <f t="shared" si="197"/>
        <v>20110809</v>
      </c>
      <c r="E794" s="20" t="str">
        <f t="shared" si="191"/>
        <v>20110809063</v>
      </c>
      <c r="F794" s="19">
        <v>49</v>
      </c>
      <c r="G794" s="19">
        <v>25</v>
      </c>
      <c r="H794" s="19">
        <v>27</v>
      </c>
      <c r="I794" s="19">
        <v>33</v>
      </c>
      <c r="J794" s="19">
        <v>38</v>
      </c>
      <c r="K794" s="19">
        <v>40</v>
      </c>
      <c r="L794" s="19">
        <v>12</v>
      </c>
      <c r="M794" s="19">
        <f t="shared" si="194"/>
        <v>224</v>
      </c>
      <c r="N794" s="27">
        <f t="shared" si="192"/>
        <v>40764</v>
      </c>
    </row>
    <row r="795" spans="1:14" x14ac:dyDescent="0.25">
      <c r="A795" s="15">
        <f t="shared" si="193"/>
        <v>5</v>
      </c>
      <c r="B795" s="20">
        <f t="shared" si="196"/>
        <v>794</v>
      </c>
      <c r="C795" s="17">
        <f t="shared" si="190"/>
        <v>64</v>
      </c>
      <c r="D795" s="17" t="str">
        <f t="shared" si="197"/>
        <v>20110812</v>
      </c>
      <c r="E795" s="20" t="str">
        <f t="shared" si="191"/>
        <v>20110812064</v>
      </c>
      <c r="F795" s="19">
        <v>12</v>
      </c>
      <c r="G795" s="19">
        <v>22</v>
      </c>
      <c r="H795" s="19">
        <v>45</v>
      </c>
      <c r="I795" s="19">
        <v>2</v>
      </c>
      <c r="J795" s="19">
        <v>40</v>
      </c>
      <c r="K795" s="19">
        <v>14</v>
      </c>
      <c r="L795" s="19">
        <v>4</v>
      </c>
      <c r="M795" s="19">
        <f t="shared" si="194"/>
        <v>139</v>
      </c>
      <c r="N795" s="27">
        <f t="shared" si="195"/>
        <v>40767</v>
      </c>
    </row>
    <row r="796" spans="1:14" x14ac:dyDescent="0.25">
      <c r="A796" s="15">
        <f t="shared" si="193"/>
        <v>2</v>
      </c>
      <c r="B796" s="20">
        <f t="shared" si="196"/>
        <v>795</v>
      </c>
      <c r="C796" s="17">
        <f t="shared" si="190"/>
        <v>65</v>
      </c>
      <c r="D796" s="17" t="str">
        <f t="shared" si="197"/>
        <v>20110816</v>
      </c>
      <c r="E796" s="20" t="str">
        <f t="shared" si="191"/>
        <v>20110816065</v>
      </c>
      <c r="F796" s="19">
        <v>43</v>
      </c>
      <c r="G796" s="19">
        <v>42</v>
      </c>
      <c r="H796" s="19">
        <v>26</v>
      </c>
      <c r="I796" s="19">
        <v>38</v>
      </c>
      <c r="J796" s="19">
        <v>30</v>
      </c>
      <c r="K796" s="19">
        <v>37</v>
      </c>
      <c r="L796" s="19">
        <v>32</v>
      </c>
      <c r="M796" s="19">
        <f t="shared" si="194"/>
        <v>248</v>
      </c>
      <c r="N796" s="27">
        <f t="shared" si="192"/>
        <v>40771</v>
      </c>
    </row>
    <row r="797" spans="1:14" x14ac:dyDescent="0.25">
      <c r="A797" s="15">
        <f t="shared" si="193"/>
        <v>5</v>
      </c>
      <c r="B797" s="20">
        <f t="shared" si="196"/>
        <v>796</v>
      </c>
      <c r="C797" s="17">
        <f t="shared" si="190"/>
        <v>66</v>
      </c>
      <c r="D797" s="17" t="str">
        <f t="shared" si="197"/>
        <v>20110819</v>
      </c>
      <c r="E797" s="20" t="str">
        <f t="shared" si="191"/>
        <v>20110819066</v>
      </c>
      <c r="F797" s="19">
        <v>32</v>
      </c>
      <c r="G797" s="19">
        <v>41</v>
      </c>
      <c r="H797" s="19">
        <v>18</v>
      </c>
      <c r="I797" s="19">
        <v>30</v>
      </c>
      <c r="J797" s="19">
        <v>13</v>
      </c>
      <c r="K797" s="19">
        <v>48</v>
      </c>
      <c r="L797" s="19">
        <v>45</v>
      </c>
      <c r="M797" s="19">
        <f t="shared" si="194"/>
        <v>227</v>
      </c>
      <c r="N797" s="27">
        <f t="shared" si="195"/>
        <v>40774</v>
      </c>
    </row>
    <row r="798" spans="1:14" x14ac:dyDescent="0.25">
      <c r="A798" s="15">
        <f t="shared" si="193"/>
        <v>2</v>
      </c>
      <c r="B798" s="20">
        <f t="shared" si="196"/>
        <v>797</v>
      </c>
      <c r="C798" s="17">
        <f t="shared" si="190"/>
        <v>67</v>
      </c>
      <c r="D798" s="17" t="str">
        <f t="shared" si="197"/>
        <v>20110823</v>
      </c>
      <c r="E798" s="20" t="str">
        <f t="shared" si="191"/>
        <v>20110823067</v>
      </c>
      <c r="F798" s="19">
        <v>42</v>
      </c>
      <c r="G798" s="19">
        <v>29</v>
      </c>
      <c r="H798" s="19">
        <v>23</v>
      </c>
      <c r="I798" s="19">
        <v>32</v>
      </c>
      <c r="J798" s="19">
        <v>5</v>
      </c>
      <c r="K798" s="19">
        <v>36</v>
      </c>
      <c r="L798" s="19">
        <v>14</v>
      </c>
      <c r="M798" s="19">
        <f t="shared" si="194"/>
        <v>181</v>
      </c>
      <c r="N798" s="27">
        <f t="shared" si="192"/>
        <v>40778</v>
      </c>
    </row>
    <row r="799" spans="1:14" x14ac:dyDescent="0.25">
      <c r="A799" s="15">
        <f t="shared" si="193"/>
        <v>5</v>
      </c>
      <c r="B799" s="20">
        <f t="shared" si="196"/>
        <v>798</v>
      </c>
      <c r="C799" s="17">
        <f t="shared" si="190"/>
        <v>68</v>
      </c>
      <c r="D799" s="17" t="str">
        <f t="shared" si="197"/>
        <v>20110826</v>
      </c>
      <c r="E799" s="20" t="str">
        <f t="shared" si="191"/>
        <v>20110826068</v>
      </c>
      <c r="F799" s="19">
        <v>10</v>
      </c>
      <c r="G799" s="19">
        <v>31</v>
      </c>
      <c r="H799" s="19">
        <v>45</v>
      </c>
      <c r="I799" s="19">
        <v>33</v>
      </c>
      <c r="J799" s="19">
        <v>32</v>
      </c>
      <c r="K799" s="19">
        <v>43</v>
      </c>
      <c r="L799" s="19">
        <v>30</v>
      </c>
      <c r="M799" s="19">
        <f t="shared" si="194"/>
        <v>224</v>
      </c>
      <c r="N799" s="27">
        <f t="shared" si="195"/>
        <v>40781</v>
      </c>
    </row>
    <row r="800" spans="1:14" x14ac:dyDescent="0.25">
      <c r="A800" s="15">
        <f t="shared" si="193"/>
        <v>2</v>
      </c>
      <c r="B800" s="20">
        <f t="shared" si="196"/>
        <v>799</v>
      </c>
      <c r="C800" s="17">
        <f t="shared" si="190"/>
        <v>69</v>
      </c>
      <c r="D800" s="17" t="str">
        <f t="shared" si="197"/>
        <v>20110830</v>
      </c>
      <c r="E800" s="20" t="str">
        <f t="shared" si="191"/>
        <v>20110830069</v>
      </c>
      <c r="F800" s="19">
        <v>48</v>
      </c>
      <c r="G800" s="19">
        <v>26</v>
      </c>
      <c r="H800" s="19">
        <v>36</v>
      </c>
      <c r="I800" s="19">
        <v>37</v>
      </c>
      <c r="J800" s="19">
        <v>10</v>
      </c>
      <c r="K800" s="19">
        <v>12</v>
      </c>
      <c r="L800" s="19">
        <v>34</v>
      </c>
      <c r="M800" s="19">
        <f t="shared" si="194"/>
        <v>203</v>
      </c>
      <c r="N800" s="27">
        <f t="shared" si="192"/>
        <v>40785</v>
      </c>
    </row>
    <row r="801" spans="1:14" x14ac:dyDescent="0.25">
      <c r="A801" s="15">
        <f t="shared" si="193"/>
        <v>5</v>
      </c>
      <c r="B801" s="20">
        <f t="shared" si="196"/>
        <v>800</v>
      </c>
      <c r="C801" s="17">
        <f t="shared" si="190"/>
        <v>70</v>
      </c>
      <c r="D801" s="17" t="str">
        <f t="shared" si="197"/>
        <v>20110902</v>
      </c>
      <c r="E801" s="20" t="str">
        <f t="shared" si="191"/>
        <v>20110902070</v>
      </c>
      <c r="F801" s="19">
        <v>30</v>
      </c>
      <c r="G801" s="19">
        <v>5</v>
      </c>
      <c r="H801" s="19">
        <v>35</v>
      </c>
      <c r="I801" s="19">
        <v>22</v>
      </c>
      <c r="J801" s="19">
        <v>24</v>
      </c>
      <c r="K801" s="19">
        <v>2</v>
      </c>
      <c r="L801" s="19">
        <v>42</v>
      </c>
      <c r="M801" s="19">
        <f t="shared" si="194"/>
        <v>160</v>
      </c>
      <c r="N801" s="27">
        <f t="shared" si="195"/>
        <v>40788</v>
      </c>
    </row>
    <row r="802" spans="1:14" x14ac:dyDescent="0.25">
      <c r="A802" s="15">
        <f t="shared" si="193"/>
        <v>2</v>
      </c>
      <c r="B802" s="20">
        <f t="shared" si="196"/>
        <v>801</v>
      </c>
      <c r="C802" s="17">
        <f t="shared" si="190"/>
        <v>71</v>
      </c>
      <c r="D802" s="17" t="str">
        <f t="shared" si="197"/>
        <v>20110906</v>
      </c>
      <c r="E802" s="20" t="str">
        <f t="shared" si="191"/>
        <v>20110906071</v>
      </c>
      <c r="F802" s="19">
        <v>41</v>
      </c>
      <c r="G802" s="19">
        <v>29</v>
      </c>
      <c r="H802" s="19">
        <v>38</v>
      </c>
      <c r="I802" s="19">
        <v>23</v>
      </c>
      <c r="J802" s="19">
        <v>9</v>
      </c>
      <c r="K802" s="19">
        <v>2</v>
      </c>
      <c r="L802" s="19">
        <v>8</v>
      </c>
      <c r="M802" s="19">
        <f t="shared" si="194"/>
        <v>150</v>
      </c>
      <c r="N802" s="27">
        <f t="shared" si="192"/>
        <v>40792</v>
      </c>
    </row>
    <row r="803" spans="1:14" x14ac:dyDescent="0.25">
      <c r="A803" s="15">
        <f t="shared" si="193"/>
        <v>5</v>
      </c>
      <c r="B803" s="20">
        <f t="shared" si="196"/>
        <v>802</v>
      </c>
      <c r="C803" s="17">
        <f t="shared" si="190"/>
        <v>72</v>
      </c>
      <c r="D803" s="17" t="str">
        <f t="shared" si="197"/>
        <v>20110909</v>
      </c>
      <c r="E803" s="20" t="str">
        <f t="shared" si="191"/>
        <v>20110909072</v>
      </c>
      <c r="F803" s="19">
        <v>12</v>
      </c>
      <c r="G803" s="19">
        <v>8</v>
      </c>
      <c r="H803" s="19">
        <v>15</v>
      </c>
      <c r="I803" s="19">
        <v>36</v>
      </c>
      <c r="J803" s="19">
        <v>1</v>
      </c>
      <c r="K803" s="19">
        <v>47</v>
      </c>
      <c r="L803" s="19">
        <v>10</v>
      </c>
      <c r="M803" s="19">
        <f t="shared" si="194"/>
        <v>129</v>
      </c>
      <c r="N803" s="27">
        <f t="shared" si="195"/>
        <v>40795</v>
      </c>
    </row>
    <row r="804" spans="1:14" x14ac:dyDescent="0.25">
      <c r="A804" s="15">
        <f t="shared" si="193"/>
        <v>2</v>
      </c>
      <c r="B804" s="20">
        <f t="shared" si="196"/>
        <v>803</v>
      </c>
      <c r="C804" s="17">
        <f t="shared" si="190"/>
        <v>73</v>
      </c>
      <c r="D804" s="17" t="str">
        <f t="shared" si="197"/>
        <v>20110913</v>
      </c>
      <c r="E804" s="20" t="str">
        <f t="shared" si="191"/>
        <v>20110913073</v>
      </c>
      <c r="F804" s="19">
        <v>11</v>
      </c>
      <c r="G804" s="19">
        <v>48</v>
      </c>
      <c r="H804" s="19">
        <v>2</v>
      </c>
      <c r="I804" s="19">
        <v>41</v>
      </c>
      <c r="J804" s="19">
        <v>8</v>
      </c>
      <c r="K804" s="19">
        <v>38</v>
      </c>
      <c r="L804" s="19">
        <v>18</v>
      </c>
      <c r="M804" s="19">
        <f t="shared" si="194"/>
        <v>166</v>
      </c>
      <c r="N804" s="27">
        <f t="shared" si="192"/>
        <v>40799</v>
      </c>
    </row>
    <row r="805" spans="1:14" x14ac:dyDescent="0.25">
      <c r="A805" s="15">
        <f t="shared" si="193"/>
        <v>5</v>
      </c>
      <c r="B805" s="20">
        <f t="shared" si="196"/>
        <v>804</v>
      </c>
      <c r="C805" s="17">
        <f t="shared" si="190"/>
        <v>74</v>
      </c>
      <c r="D805" s="17" t="str">
        <f t="shared" si="197"/>
        <v>20110916</v>
      </c>
      <c r="E805" s="20" t="str">
        <f t="shared" si="191"/>
        <v>20110916074</v>
      </c>
      <c r="F805" s="19">
        <v>48</v>
      </c>
      <c r="G805" s="19">
        <v>28</v>
      </c>
      <c r="H805" s="19">
        <v>23</v>
      </c>
      <c r="I805" s="19">
        <v>36</v>
      </c>
      <c r="J805" s="19">
        <v>30</v>
      </c>
      <c r="K805" s="19">
        <v>15</v>
      </c>
      <c r="L805" s="19">
        <v>45</v>
      </c>
      <c r="M805" s="19">
        <f t="shared" si="194"/>
        <v>225</v>
      </c>
      <c r="N805" s="27">
        <f t="shared" si="195"/>
        <v>40802</v>
      </c>
    </row>
    <row r="806" spans="1:14" x14ac:dyDescent="0.25">
      <c r="A806" s="15">
        <f t="shared" si="193"/>
        <v>2</v>
      </c>
      <c r="B806" s="20">
        <f t="shared" si="196"/>
        <v>805</v>
      </c>
      <c r="C806" s="17">
        <f t="shared" si="190"/>
        <v>75</v>
      </c>
      <c r="D806" s="17" t="str">
        <f t="shared" si="197"/>
        <v>20110920</v>
      </c>
      <c r="E806" s="20" t="str">
        <f t="shared" si="191"/>
        <v>20110920075</v>
      </c>
      <c r="F806" s="19">
        <v>28</v>
      </c>
      <c r="G806" s="19">
        <v>25</v>
      </c>
      <c r="H806" s="19">
        <v>27</v>
      </c>
      <c r="I806" s="19">
        <v>34</v>
      </c>
      <c r="J806" s="19">
        <v>2</v>
      </c>
      <c r="K806" s="19">
        <v>37</v>
      </c>
      <c r="L806" s="19">
        <v>42</v>
      </c>
      <c r="M806" s="19">
        <f t="shared" si="194"/>
        <v>195</v>
      </c>
      <c r="N806" s="27">
        <f t="shared" si="192"/>
        <v>40806</v>
      </c>
    </row>
    <row r="807" spans="1:14" x14ac:dyDescent="0.25">
      <c r="A807" s="15">
        <f t="shared" si="193"/>
        <v>5</v>
      </c>
      <c r="B807" s="20">
        <f t="shared" si="196"/>
        <v>806</v>
      </c>
      <c r="C807" s="17">
        <f t="shared" si="190"/>
        <v>76</v>
      </c>
      <c r="D807" s="17" t="str">
        <f t="shared" si="197"/>
        <v>20110923</v>
      </c>
      <c r="E807" s="20" t="str">
        <f t="shared" si="191"/>
        <v>20110923076</v>
      </c>
      <c r="F807" s="19">
        <v>27</v>
      </c>
      <c r="G807" s="19">
        <v>23</v>
      </c>
      <c r="H807" s="19">
        <v>16</v>
      </c>
      <c r="I807" s="19">
        <v>14</v>
      </c>
      <c r="J807" s="19">
        <v>44</v>
      </c>
      <c r="K807" s="19">
        <v>28</v>
      </c>
      <c r="L807" s="19">
        <v>40</v>
      </c>
      <c r="M807" s="19">
        <f t="shared" si="194"/>
        <v>192</v>
      </c>
      <c r="N807" s="27">
        <f t="shared" si="195"/>
        <v>40809</v>
      </c>
    </row>
    <row r="808" spans="1:14" x14ac:dyDescent="0.25">
      <c r="A808" s="15">
        <f t="shared" si="193"/>
        <v>2</v>
      </c>
      <c r="B808" s="20">
        <f t="shared" si="196"/>
        <v>807</v>
      </c>
      <c r="C808" s="17">
        <f t="shared" si="190"/>
        <v>77</v>
      </c>
      <c r="D808" s="17" t="str">
        <f t="shared" si="197"/>
        <v>20110927</v>
      </c>
      <c r="E808" s="20" t="str">
        <f t="shared" si="191"/>
        <v>20110927077</v>
      </c>
      <c r="F808" s="19">
        <v>9</v>
      </c>
      <c r="G808" s="19">
        <v>42</v>
      </c>
      <c r="H808" s="19">
        <v>23</v>
      </c>
      <c r="I808" s="19">
        <v>3</v>
      </c>
      <c r="J808" s="19">
        <v>26</v>
      </c>
      <c r="K808" s="19">
        <v>31</v>
      </c>
      <c r="L808" s="19">
        <v>41</v>
      </c>
      <c r="M808" s="19">
        <f t="shared" si="194"/>
        <v>175</v>
      </c>
      <c r="N808" s="27">
        <f t="shared" si="192"/>
        <v>40813</v>
      </c>
    </row>
    <row r="809" spans="1:14" x14ac:dyDescent="0.25">
      <c r="A809" s="15">
        <f t="shared" si="193"/>
        <v>5</v>
      </c>
      <c r="B809" s="20">
        <f t="shared" si="196"/>
        <v>808</v>
      </c>
      <c r="C809" s="17">
        <f t="shared" si="190"/>
        <v>78</v>
      </c>
      <c r="D809" s="17" t="str">
        <f t="shared" si="197"/>
        <v>20110930</v>
      </c>
      <c r="E809" s="20" t="str">
        <f t="shared" si="191"/>
        <v>20110930078</v>
      </c>
      <c r="F809" s="19">
        <v>10</v>
      </c>
      <c r="G809" s="19">
        <v>44</v>
      </c>
      <c r="H809" s="19">
        <v>11</v>
      </c>
      <c r="I809" s="19">
        <v>34</v>
      </c>
      <c r="J809" s="19">
        <v>48</v>
      </c>
      <c r="K809" s="19">
        <v>24</v>
      </c>
      <c r="L809" s="19">
        <v>31</v>
      </c>
      <c r="M809" s="19">
        <f t="shared" si="194"/>
        <v>202</v>
      </c>
      <c r="N809" s="27">
        <f t="shared" si="195"/>
        <v>40816</v>
      </c>
    </row>
    <row r="810" spans="1:14" x14ac:dyDescent="0.25">
      <c r="A810" s="15">
        <f t="shared" si="193"/>
        <v>2</v>
      </c>
      <c r="B810" s="20">
        <f t="shared" si="196"/>
        <v>809</v>
      </c>
      <c r="C810" s="17">
        <f t="shared" si="190"/>
        <v>79</v>
      </c>
      <c r="D810" s="17" t="str">
        <f t="shared" si="197"/>
        <v>20111004</v>
      </c>
      <c r="E810" s="20" t="str">
        <f t="shared" si="191"/>
        <v>20111004079</v>
      </c>
      <c r="F810" s="19">
        <v>8</v>
      </c>
      <c r="G810" s="19">
        <v>49</v>
      </c>
      <c r="H810" s="19">
        <v>29</v>
      </c>
      <c r="I810" s="19">
        <v>26</v>
      </c>
      <c r="J810" s="19">
        <v>15</v>
      </c>
      <c r="K810" s="19">
        <v>2</v>
      </c>
      <c r="L810" s="19">
        <v>3</v>
      </c>
      <c r="M810" s="19">
        <f t="shared" si="194"/>
        <v>132</v>
      </c>
      <c r="N810" s="27">
        <f t="shared" si="192"/>
        <v>40820</v>
      </c>
    </row>
    <row r="811" spans="1:14" x14ac:dyDescent="0.25">
      <c r="A811" s="15">
        <f t="shared" si="193"/>
        <v>5</v>
      </c>
      <c r="B811" s="20">
        <f t="shared" si="196"/>
        <v>810</v>
      </c>
      <c r="C811" s="17">
        <f t="shared" si="190"/>
        <v>80</v>
      </c>
      <c r="D811" s="17" t="str">
        <f t="shared" si="197"/>
        <v>20111007</v>
      </c>
      <c r="E811" s="20" t="str">
        <f t="shared" si="191"/>
        <v>20111007080</v>
      </c>
      <c r="F811" s="19">
        <v>1</v>
      </c>
      <c r="G811" s="19">
        <v>30</v>
      </c>
      <c r="H811" s="19">
        <v>16</v>
      </c>
      <c r="I811" s="19">
        <v>6</v>
      </c>
      <c r="J811" s="19">
        <v>13</v>
      </c>
      <c r="K811" s="19">
        <v>33</v>
      </c>
      <c r="L811" s="19">
        <v>3</v>
      </c>
      <c r="M811" s="19">
        <f t="shared" si="194"/>
        <v>102</v>
      </c>
      <c r="N811" s="27">
        <f t="shared" si="195"/>
        <v>40823</v>
      </c>
    </row>
    <row r="812" spans="1:14" x14ac:dyDescent="0.25">
      <c r="A812" s="15">
        <f t="shared" si="193"/>
        <v>2</v>
      </c>
      <c r="B812" s="20">
        <f t="shared" si="196"/>
        <v>811</v>
      </c>
      <c r="C812" s="17">
        <f t="shared" si="190"/>
        <v>81</v>
      </c>
      <c r="D812" s="17" t="str">
        <f t="shared" si="197"/>
        <v>20111011</v>
      </c>
      <c r="E812" s="20" t="str">
        <f t="shared" si="191"/>
        <v>20111011081</v>
      </c>
      <c r="F812" s="19">
        <v>6</v>
      </c>
      <c r="G812" s="19">
        <v>34</v>
      </c>
      <c r="H812" s="19">
        <v>18</v>
      </c>
      <c r="I812" s="19">
        <v>43</v>
      </c>
      <c r="J812" s="19">
        <v>2</v>
      </c>
      <c r="K812" s="19">
        <v>33</v>
      </c>
      <c r="L812" s="19">
        <v>28</v>
      </c>
      <c r="M812" s="19">
        <f t="shared" si="194"/>
        <v>164</v>
      </c>
      <c r="N812" s="27">
        <f t="shared" si="192"/>
        <v>40827</v>
      </c>
    </row>
    <row r="813" spans="1:14" x14ac:dyDescent="0.25">
      <c r="A813" s="15">
        <f t="shared" si="193"/>
        <v>5</v>
      </c>
      <c r="B813" s="20">
        <f t="shared" si="196"/>
        <v>812</v>
      </c>
      <c r="C813" s="17">
        <f t="shared" si="190"/>
        <v>82</v>
      </c>
      <c r="D813" s="17" t="str">
        <f t="shared" si="197"/>
        <v>20111014</v>
      </c>
      <c r="E813" s="20" t="str">
        <f t="shared" si="191"/>
        <v>20111014082</v>
      </c>
      <c r="F813" s="19">
        <v>7</v>
      </c>
      <c r="G813" s="19">
        <v>26</v>
      </c>
      <c r="H813" s="19">
        <v>23</v>
      </c>
      <c r="I813" s="19">
        <v>39</v>
      </c>
      <c r="J813" s="19">
        <v>8</v>
      </c>
      <c r="K813" s="19">
        <v>21</v>
      </c>
      <c r="L813" s="19">
        <v>28</v>
      </c>
      <c r="M813" s="19">
        <f t="shared" si="194"/>
        <v>152</v>
      </c>
      <c r="N813" s="27">
        <f t="shared" si="195"/>
        <v>40830</v>
      </c>
    </row>
    <row r="814" spans="1:14" x14ac:dyDescent="0.25">
      <c r="A814" s="15">
        <f t="shared" si="193"/>
        <v>2</v>
      </c>
      <c r="B814" s="20">
        <f t="shared" si="196"/>
        <v>813</v>
      </c>
      <c r="C814" s="17">
        <f t="shared" si="190"/>
        <v>83</v>
      </c>
      <c r="D814" s="17" t="str">
        <f t="shared" si="197"/>
        <v>20111018</v>
      </c>
      <c r="E814" s="20" t="str">
        <f t="shared" si="191"/>
        <v>20111018083</v>
      </c>
      <c r="F814" s="19">
        <v>46</v>
      </c>
      <c r="G814" s="19">
        <v>19</v>
      </c>
      <c r="H814" s="19">
        <v>44</v>
      </c>
      <c r="I814" s="19">
        <v>32</v>
      </c>
      <c r="J814" s="19">
        <v>8</v>
      </c>
      <c r="K814" s="19">
        <v>4</v>
      </c>
      <c r="L814" s="19">
        <v>21</v>
      </c>
      <c r="M814" s="19">
        <f t="shared" si="194"/>
        <v>174</v>
      </c>
      <c r="N814" s="27">
        <f t="shared" si="192"/>
        <v>40834</v>
      </c>
    </row>
    <row r="815" spans="1:14" x14ac:dyDescent="0.25">
      <c r="A815" s="15">
        <f t="shared" si="193"/>
        <v>5</v>
      </c>
      <c r="B815" s="20">
        <f t="shared" si="196"/>
        <v>814</v>
      </c>
      <c r="C815" s="17">
        <f t="shared" si="190"/>
        <v>84</v>
      </c>
      <c r="D815" s="17" t="str">
        <f t="shared" si="197"/>
        <v>20111021</v>
      </c>
      <c r="E815" s="20" t="str">
        <f t="shared" si="191"/>
        <v>20111021084</v>
      </c>
      <c r="F815" s="19">
        <v>20</v>
      </c>
      <c r="G815" s="19">
        <v>35</v>
      </c>
      <c r="H815" s="19">
        <v>33</v>
      </c>
      <c r="I815" s="19">
        <v>43</v>
      </c>
      <c r="J815" s="19">
        <v>41</v>
      </c>
      <c r="K815" s="19">
        <v>34</v>
      </c>
      <c r="L815" s="19">
        <v>4</v>
      </c>
      <c r="M815" s="19">
        <f t="shared" si="194"/>
        <v>210</v>
      </c>
      <c r="N815" s="27">
        <f t="shared" si="195"/>
        <v>40837</v>
      </c>
    </row>
    <row r="816" spans="1:14" x14ac:dyDescent="0.25">
      <c r="A816" s="15">
        <f t="shared" si="193"/>
        <v>2</v>
      </c>
      <c r="B816" s="20">
        <f t="shared" si="196"/>
        <v>815</v>
      </c>
      <c r="C816" s="17">
        <f t="shared" si="190"/>
        <v>85</v>
      </c>
      <c r="D816" s="17" t="str">
        <f t="shared" si="197"/>
        <v>20111025</v>
      </c>
      <c r="E816" s="20" t="str">
        <f t="shared" si="191"/>
        <v>20111025085</v>
      </c>
      <c r="F816" s="19">
        <v>2</v>
      </c>
      <c r="G816" s="19">
        <v>5</v>
      </c>
      <c r="H816" s="19">
        <v>33</v>
      </c>
      <c r="I816" s="19">
        <v>28</v>
      </c>
      <c r="J816" s="19">
        <v>44</v>
      </c>
      <c r="K816" s="19">
        <v>24</v>
      </c>
      <c r="L816" s="19">
        <v>4</v>
      </c>
      <c r="M816" s="19">
        <f t="shared" si="194"/>
        <v>140</v>
      </c>
      <c r="N816" s="27">
        <f t="shared" si="192"/>
        <v>40841</v>
      </c>
    </row>
    <row r="817" spans="1:14" x14ac:dyDescent="0.25">
      <c r="A817" s="15">
        <f t="shared" si="193"/>
        <v>5</v>
      </c>
      <c r="B817" s="20">
        <f t="shared" si="196"/>
        <v>816</v>
      </c>
      <c r="C817" s="17">
        <f t="shared" si="190"/>
        <v>86</v>
      </c>
      <c r="D817" s="17" t="str">
        <f t="shared" si="197"/>
        <v>20111028</v>
      </c>
      <c r="E817" s="20" t="str">
        <f t="shared" si="191"/>
        <v>20111028086</v>
      </c>
      <c r="F817" s="19">
        <v>24</v>
      </c>
      <c r="G817" s="19">
        <v>5</v>
      </c>
      <c r="H817" s="19">
        <v>33</v>
      </c>
      <c r="I817" s="19">
        <v>36</v>
      </c>
      <c r="J817" s="19">
        <v>27</v>
      </c>
      <c r="K817" s="19">
        <v>15</v>
      </c>
      <c r="L817" s="19">
        <v>1</v>
      </c>
      <c r="M817" s="19">
        <f t="shared" si="194"/>
        <v>141</v>
      </c>
      <c r="N817" s="27">
        <f t="shared" si="195"/>
        <v>40844</v>
      </c>
    </row>
    <row r="818" spans="1:14" x14ac:dyDescent="0.25">
      <c r="A818" s="15">
        <f t="shared" si="193"/>
        <v>2</v>
      </c>
      <c r="B818" s="20">
        <f t="shared" si="196"/>
        <v>817</v>
      </c>
      <c r="C818" s="17">
        <f t="shared" si="190"/>
        <v>87</v>
      </c>
      <c r="D818" s="17" t="str">
        <f t="shared" si="197"/>
        <v>20111101</v>
      </c>
      <c r="E818" s="20" t="str">
        <f t="shared" si="191"/>
        <v>20111101087</v>
      </c>
      <c r="F818" s="19">
        <v>21</v>
      </c>
      <c r="G818" s="19">
        <v>4</v>
      </c>
      <c r="H818" s="19">
        <v>7</v>
      </c>
      <c r="I818" s="19">
        <v>29</v>
      </c>
      <c r="J818" s="19">
        <v>13</v>
      </c>
      <c r="K818" s="19">
        <v>14</v>
      </c>
      <c r="L818" s="19">
        <v>22</v>
      </c>
      <c r="M818" s="19">
        <f t="shared" si="194"/>
        <v>110</v>
      </c>
      <c r="N818" s="27">
        <f t="shared" si="192"/>
        <v>40848</v>
      </c>
    </row>
    <row r="819" spans="1:14" x14ac:dyDescent="0.25">
      <c r="A819" s="15">
        <f t="shared" si="193"/>
        <v>5</v>
      </c>
      <c r="B819" s="20">
        <f t="shared" si="196"/>
        <v>818</v>
      </c>
      <c r="C819" s="17">
        <f t="shared" si="190"/>
        <v>88</v>
      </c>
      <c r="D819" s="17" t="str">
        <f t="shared" si="197"/>
        <v>20111104</v>
      </c>
      <c r="E819" s="20" t="str">
        <f t="shared" si="191"/>
        <v>20111104088</v>
      </c>
      <c r="F819" s="19">
        <v>21</v>
      </c>
      <c r="G819" s="19">
        <v>14</v>
      </c>
      <c r="H819" s="19">
        <v>8</v>
      </c>
      <c r="I819" s="19">
        <v>7</v>
      </c>
      <c r="J819" s="19">
        <v>2</v>
      </c>
      <c r="K819" s="19">
        <v>38</v>
      </c>
      <c r="L819" s="19">
        <v>11</v>
      </c>
      <c r="M819" s="19">
        <f t="shared" si="194"/>
        <v>101</v>
      </c>
      <c r="N819" s="27">
        <f t="shared" si="195"/>
        <v>40851</v>
      </c>
    </row>
    <row r="820" spans="1:14" x14ac:dyDescent="0.25">
      <c r="A820" s="15">
        <f t="shared" si="193"/>
        <v>2</v>
      </c>
      <c r="B820" s="20">
        <f t="shared" si="196"/>
        <v>819</v>
      </c>
      <c r="C820" s="17">
        <f t="shared" si="190"/>
        <v>89</v>
      </c>
      <c r="D820" s="17" t="str">
        <f t="shared" si="197"/>
        <v>20111108</v>
      </c>
      <c r="E820" s="20" t="str">
        <f t="shared" si="191"/>
        <v>20111108089</v>
      </c>
      <c r="F820" s="19">
        <v>2</v>
      </c>
      <c r="G820" s="19">
        <v>40</v>
      </c>
      <c r="H820" s="19">
        <v>39</v>
      </c>
      <c r="I820" s="19">
        <v>11</v>
      </c>
      <c r="J820" s="19">
        <v>35</v>
      </c>
      <c r="K820" s="19">
        <v>22</v>
      </c>
      <c r="L820" s="19">
        <v>36</v>
      </c>
      <c r="M820" s="19">
        <f t="shared" si="194"/>
        <v>185</v>
      </c>
      <c r="N820" s="27">
        <f t="shared" si="192"/>
        <v>40855</v>
      </c>
    </row>
    <row r="821" spans="1:14" x14ac:dyDescent="0.25">
      <c r="A821" s="15">
        <f t="shared" si="193"/>
        <v>5</v>
      </c>
      <c r="B821" s="20">
        <f t="shared" si="196"/>
        <v>820</v>
      </c>
      <c r="C821" s="17">
        <f t="shared" ref="C821:C835" si="198">C820+1</f>
        <v>90</v>
      </c>
      <c r="D821" s="17" t="str">
        <f t="shared" si="197"/>
        <v>20111111</v>
      </c>
      <c r="E821" s="20" t="str">
        <f t="shared" si="191"/>
        <v>20111111090</v>
      </c>
      <c r="F821" s="19">
        <v>36</v>
      </c>
      <c r="G821" s="19">
        <v>29</v>
      </c>
      <c r="H821" s="19">
        <v>20</v>
      </c>
      <c r="I821" s="19">
        <v>19</v>
      </c>
      <c r="J821" s="19">
        <v>4</v>
      </c>
      <c r="K821" s="19">
        <v>32</v>
      </c>
      <c r="L821" s="19">
        <v>30</v>
      </c>
      <c r="M821" s="19">
        <f t="shared" si="194"/>
        <v>170</v>
      </c>
      <c r="N821" s="27">
        <f t="shared" si="195"/>
        <v>40858</v>
      </c>
    </row>
    <row r="822" spans="1:14" x14ac:dyDescent="0.25">
      <c r="A822" s="15">
        <f t="shared" si="193"/>
        <v>2</v>
      </c>
      <c r="B822" s="20">
        <f t="shared" si="196"/>
        <v>821</v>
      </c>
      <c r="C822" s="17">
        <f t="shared" si="198"/>
        <v>91</v>
      </c>
      <c r="D822" s="17" t="str">
        <f t="shared" si="197"/>
        <v>20111115</v>
      </c>
      <c r="E822" s="20" t="str">
        <f t="shared" si="191"/>
        <v>20111115091</v>
      </c>
      <c r="F822" s="19">
        <v>46</v>
      </c>
      <c r="G822" s="19">
        <v>21</v>
      </c>
      <c r="H822" s="19">
        <v>42</v>
      </c>
      <c r="I822" s="19">
        <v>35</v>
      </c>
      <c r="J822" s="19">
        <v>12</v>
      </c>
      <c r="K822" s="19">
        <v>19</v>
      </c>
      <c r="L822" s="19">
        <v>40</v>
      </c>
      <c r="M822" s="19">
        <f t="shared" si="194"/>
        <v>215</v>
      </c>
      <c r="N822" s="27">
        <f t="shared" si="192"/>
        <v>40862</v>
      </c>
    </row>
    <row r="823" spans="1:14" x14ac:dyDescent="0.25">
      <c r="A823" s="15">
        <f t="shared" si="193"/>
        <v>5</v>
      </c>
      <c r="B823" s="20">
        <f t="shared" si="196"/>
        <v>822</v>
      </c>
      <c r="C823" s="17">
        <f t="shared" si="198"/>
        <v>92</v>
      </c>
      <c r="D823" s="17" t="str">
        <f t="shared" si="197"/>
        <v>20111118</v>
      </c>
      <c r="E823" s="20" t="str">
        <f t="shared" si="191"/>
        <v>20111118092</v>
      </c>
      <c r="F823" s="19">
        <v>12</v>
      </c>
      <c r="G823" s="19">
        <v>11</v>
      </c>
      <c r="H823" s="19">
        <v>16</v>
      </c>
      <c r="I823" s="19">
        <v>10</v>
      </c>
      <c r="J823" s="19">
        <v>45</v>
      </c>
      <c r="K823" s="19">
        <v>15</v>
      </c>
      <c r="L823" s="19">
        <v>19</v>
      </c>
      <c r="M823" s="19">
        <f t="shared" si="194"/>
        <v>128</v>
      </c>
      <c r="N823" s="27">
        <f t="shared" si="195"/>
        <v>40865</v>
      </c>
    </row>
    <row r="824" spans="1:14" x14ac:dyDescent="0.25">
      <c r="A824" s="15">
        <f t="shared" si="193"/>
        <v>2</v>
      </c>
      <c r="B824" s="20">
        <f t="shared" si="196"/>
        <v>823</v>
      </c>
      <c r="C824" s="17">
        <f t="shared" si="198"/>
        <v>93</v>
      </c>
      <c r="D824" s="17" t="str">
        <f t="shared" si="197"/>
        <v>20111122</v>
      </c>
      <c r="E824" s="20" t="str">
        <f t="shared" si="191"/>
        <v>20111122093</v>
      </c>
      <c r="F824" s="19">
        <v>40</v>
      </c>
      <c r="G824" s="19">
        <v>37</v>
      </c>
      <c r="H824" s="19">
        <v>46</v>
      </c>
      <c r="I824" s="19">
        <v>41</v>
      </c>
      <c r="J824" s="19">
        <v>21</v>
      </c>
      <c r="K824" s="19">
        <v>16</v>
      </c>
      <c r="L824" s="19">
        <v>27</v>
      </c>
      <c r="M824" s="19">
        <f t="shared" si="194"/>
        <v>228</v>
      </c>
      <c r="N824" s="27">
        <f t="shared" si="192"/>
        <v>40869</v>
      </c>
    </row>
    <row r="825" spans="1:14" x14ac:dyDescent="0.25">
      <c r="A825" s="15">
        <f t="shared" si="193"/>
        <v>5</v>
      </c>
      <c r="B825" s="20">
        <f t="shared" si="196"/>
        <v>824</v>
      </c>
      <c r="C825" s="17">
        <f t="shared" si="198"/>
        <v>94</v>
      </c>
      <c r="D825" s="17" t="str">
        <f t="shared" si="197"/>
        <v>20111125</v>
      </c>
      <c r="E825" s="20" t="str">
        <f t="shared" si="191"/>
        <v>20111125094</v>
      </c>
      <c r="F825" s="19">
        <v>10</v>
      </c>
      <c r="G825" s="19">
        <v>43</v>
      </c>
      <c r="H825" s="19">
        <v>30</v>
      </c>
      <c r="I825" s="19">
        <v>8</v>
      </c>
      <c r="J825" s="19">
        <v>36</v>
      </c>
      <c r="K825" s="19">
        <v>27</v>
      </c>
      <c r="L825" s="19">
        <v>48</v>
      </c>
      <c r="M825" s="19">
        <f t="shared" si="194"/>
        <v>202</v>
      </c>
      <c r="N825" s="27">
        <f t="shared" si="195"/>
        <v>40872</v>
      </c>
    </row>
    <row r="826" spans="1:14" x14ac:dyDescent="0.25">
      <c r="A826" s="15">
        <f t="shared" si="193"/>
        <v>2</v>
      </c>
      <c r="B826" s="20">
        <f t="shared" si="196"/>
        <v>825</v>
      </c>
      <c r="C826" s="17">
        <f t="shared" si="198"/>
        <v>95</v>
      </c>
      <c r="D826" s="17" t="str">
        <f t="shared" si="197"/>
        <v>20111129</v>
      </c>
      <c r="E826" s="20" t="str">
        <f t="shared" si="191"/>
        <v>20111129095</v>
      </c>
      <c r="F826" s="19">
        <v>7</v>
      </c>
      <c r="G826" s="19">
        <v>1</v>
      </c>
      <c r="H826" s="19">
        <v>35</v>
      </c>
      <c r="I826" s="19">
        <v>36</v>
      </c>
      <c r="J826" s="19">
        <v>11</v>
      </c>
      <c r="K826" s="19">
        <v>14</v>
      </c>
      <c r="L826" s="19">
        <v>10</v>
      </c>
      <c r="M826" s="19">
        <f t="shared" si="194"/>
        <v>114</v>
      </c>
      <c r="N826" s="27">
        <f t="shared" si="192"/>
        <v>40876</v>
      </c>
    </row>
    <row r="827" spans="1:14" x14ac:dyDescent="0.25">
      <c r="A827" s="15">
        <f t="shared" si="193"/>
        <v>5</v>
      </c>
      <c r="B827" s="20">
        <f t="shared" si="196"/>
        <v>826</v>
      </c>
      <c r="C827" s="17">
        <f t="shared" si="198"/>
        <v>96</v>
      </c>
      <c r="D827" s="17" t="str">
        <f t="shared" si="197"/>
        <v>20111202</v>
      </c>
      <c r="E827" s="20" t="str">
        <f t="shared" si="191"/>
        <v>20111202096</v>
      </c>
      <c r="F827" s="19">
        <v>23</v>
      </c>
      <c r="G827" s="19">
        <v>39</v>
      </c>
      <c r="H827" s="19">
        <v>45</v>
      </c>
      <c r="I827" s="19">
        <v>31</v>
      </c>
      <c r="J827" s="19">
        <v>37</v>
      </c>
      <c r="K827" s="19">
        <v>27</v>
      </c>
      <c r="L827" s="19">
        <v>6</v>
      </c>
      <c r="M827" s="19">
        <f t="shared" si="194"/>
        <v>208</v>
      </c>
      <c r="N827" s="27">
        <f t="shared" si="195"/>
        <v>40879</v>
      </c>
    </row>
    <row r="828" spans="1:14" x14ac:dyDescent="0.25">
      <c r="A828" s="15">
        <f t="shared" si="193"/>
        <v>2</v>
      </c>
      <c r="B828" s="20">
        <f t="shared" si="196"/>
        <v>827</v>
      </c>
      <c r="C828" s="17">
        <f t="shared" si="198"/>
        <v>97</v>
      </c>
      <c r="D828" s="17" t="str">
        <f t="shared" si="197"/>
        <v>20111206</v>
      </c>
      <c r="E828" s="20" t="str">
        <f t="shared" si="191"/>
        <v>20111206097</v>
      </c>
      <c r="F828" s="19">
        <v>38</v>
      </c>
      <c r="G828" s="19">
        <v>14</v>
      </c>
      <c r="H828" s="19">
        <v>18</v>
      </c>
      <c r="I828" s="19">
        <v>3</v>
      </c>
      <c r="J828" s="19">
        <v>13</v>
      </c>
      <c r="K828" s="19">
        <v>22</v>
      </c>
      <c r="L828" s="19">
        <v>6</v>
      </c>
      <c r="M828" s="19">
        <f t="shared" si="194"/>
        <v>114</v>
      </c>
      <c r="N828" s="27">
        <f t="shared" si="192"/>
        <v>40883</v>
      </c>
    </row>
    <row r="829" spans="1:14" x14ac:dyDescent="0.25">
      <c r="A829" s="15">
        <f t="shared" si="193"/>
        <v>5</v>
      </c>
      <c r="B829" s="20">
        <f t="shared" si="196"/>
        <v>828</v>
      </c>
      <c r="C829" s="17">
        <f t="shared" si="198"/>
        <v>98</v>
      </c>
      <c r="D829" s="17" t="str">
        <f t="shared" si="197"/>
        <v>20111209</v>
      </c>
      <c r="E829" s="20" t="str">
        <f t="shared" si="191"/>
        <v>20111209098</v>
      </c>
      <c r="F829" s="19">
        <v>37</v>
      </c>
      <c r="G829" s="19">
        <v>38</v>
      </c>
      <c r="H829" s="19">
        <v>40</v>
      </c>
      <c r="I829" s="19">
        <v>45</v>
      </c>
      <c r="J829" s="19">
        <v>39</v>
      </c>
      <c r="K829" s="19">
        <v>10</v>
      </c>
      <c r="L829" s="19">
        <v>18</v>
      </c>
      <c r="M829" s="19">
        <f t="shared" si="194"/>
        <v>227</v>
      </c>
      <c r="N829" s="27">
        <f t="shared" si="195"/>
        <v>40886</v>
      </c>
    </row>
    <row r="830" spans="1:14" x14ac:dyDescent="0.25">
      <c r="A830" s="15">
        <f t="shared" si="193"/>
        <v>2</v>
      </c>
      <c r="B830" s="20">
        <f t="shared" si="196"/>
        <v>829</v>
      </c>
      <c r="C830" s="17">
        <f t="shared" si="198"/>
        <v>99</v>
      </c>
      <c r="D830" s="17" t="str">
        <f t="shared" si="197"/>
        <v>20111213</v>
      </c>
      <c r="E830" s="20" t="str">
        <f t="shared" si="191"/>
        <v>20111213099</v>
      </c>
      <c r="F830" s="19">
        <v>48</v>
      </c>
      <c r="G830" s="19">
        <v>23</v>
      </c>
      <c r="H830" s="19">
        <v>36</v>
      </c>
      <c r="I830" s="19">
        <v>2</v>
      </c>
      <c r="J830" s="19">
        <v>30</v>
      </c>
      <c r="K830" s="19">
        <v>44</v>
      </c>
      <c r="L830" s="19">
        <v>24</v>
      </c>
      <c r="M830" s="19">
        <f t="shared" si="194"/>
        <v>207</v>
      </c>
      <c r="N830" s="27">
        <f t="shared" si="192"/>
        <v>40890</v>
      </c>
    </row>
    <row r="831" spans="1:14" x14ac:dyDescent="0.25">
      <c r="A831" s="15">
        <f t="shared" si="193"/>
        <v>5</v>
      </c>
      <c r="B831" s="20">
        <f t="shared" si="196"/>
        <v>830</v>
      </c>
      <c r="C831" s="17">
        <f t="shared" si="198"/>
        <v>100</v>
      </c>
      <c r="D831" s="17" t="str">
        <f t="shared" si="197"/>
        <v>20111216</v>
      </c>
      <c r="E831" s="20" t="str">
        <f t="shared" si="191"/>
        <v>20111216100</v>
      </c>
      <c r="F831" s="19">
        <v>41</v>
      </c>
      <c r="G831" s="19">
        <v>31</v>
      </c>
      <c r="H831" s="19">
        <v>10</v>
      </c>
      <c r="I831" s="19">
        <v>36</v>
      </c>
      <c r="J831" s="19">
        <v>44</v>
      </c>
      <c r="K831" s="19">
        <v>35</v>
      </c>
      <c r="L831" s="19">
        <v>34</v>
      </c>
      <c r="M831" s="19">
        <f t="shared" si="194"/>
        <v>231</v>
      </c>
      <c r="N831" s="27">
        <f t="shared" si="195"/>
        <v>40893</v>
      </c>
    </row>
    <row r="832" spans="1:14" x14ac:dyDescent="0.25">
      <c r="A832" s="15">
        <f t="shared" si="193"/>
        <v>2</v>
      </c>
      <c r="B832" s="20">
        <f t="shared" si="196"/>
        <v>831</v>
      </c>
      <c r="C832" s="17">
        <f t="shared" si="198"/>
        <v>101</v>
      </c>
      <c r="D832" s="17" t="str">
        <f t="shared" si="197"/>
        <v>20111220</v>
      </c>
      <c r="E832" s="20" t="str">
        <f t="shared" si="191"/>
        <v>20111220101</v>
      </c>
      <c r="F832" s="19">
        <v>26</v>
      </c>
      <c r="G832" s="19">
        <v>7</v>
      </c>
      <c r="H832" s="19">
        <v>34</v>
      </c>
      <c r="I832" s="19">
        <v>9</v>
      </c>
      <c r="J832" s="19">
        <v>5</v>
      </c>
      <c r="K832" s="19">
        <v>27</v>
      </c>
      <c r="L832" s="19">
        <v>8</v>
      </c>
      <c r="M832" s="19">
        <f t="shared" si="194"/>
        <v>116</v>
      </c>
      <c r="N832" s="27">
        <f t="shared" si="192"/>
        <v>40897</v>
      </c>
    </row>
    <row r="833" spans="1:14" x14ac:dyDescent="0.25">
      <c r="A833" s="15">
        <f t="shared" si="193"/>
        <v>5</v>
      </c>
      <c r="B833" s="20">
        <f t="shared" si="196"/>
        <v>832</v>
      </c>
      <c r="C833" s="17">
        <f t="shared" si="198"/>
        <v>102</v>
      </c>
      <c r="D833" s="17" t="str">
        <f t="shared" si="197"/>
        <v>20111223</v>
      </c>
      <c r="E833" s="20" t="str">
        <f t="shared" si="191"/>
        <v>20111223102</v>
      </c>
      <c r="F833" s="19">
        <v>40</v>
      </c>
      <c r="G833" s="19">
        <v>17</v>
      </c>
      <c r="H833" s="19">
        <v>27</v>
      </c>
      <c r="I833" s="19">
        <v>31</v>
      </c>
      <c r="J833" s="19">
        <v>6</v>
      </c>
      <c r="K833" s="19">
        <v>48</v>
      </c>
      <c r="L833" s="19">
        <v>28</v>
      </c>
      <c r="M833" s="19">
        <f t="shared" si="194"/>
        <v>197</v>
      </c>
      <c r="N833" s="27">
        <f t="shared" si="195"/>
        <v>40900</v>
      </c>
    </row>
    <row r="834" spans="1:14" x14ac:dyDescent="0.25">
      <c r="A834" s="15">
        <f t="shared" si="193"/>
        <v>2</v>
      </c>
      <c r="B834" s="20">
        <f t="shared" si="196"/>
        <v>833</v>
      </c>
      <c r="C834" s="17">
        <f t="shared" si="198"/>
        <v>103</v>
      </c>
      <c r="D834" s="17" t="str">
        <f t="shared" si="197"/>
        <v>20111227</v>
      </c>
      <c r="E834" s="20" t="str">
        <f t="shared" ref="E834:E897" si="199">CONCATENATE(D834,TEXT(C834,"000"))</f>
        <v>20111227103</v>
      </c>
      <c r="F834" s="19">
        <v>1</v>
      </c>
      <c r="G834" s="19">
        <v>8</v>
      </c>
      <c r="H834" s="19">
        <v>30</v>
      </c>
      <c r="I834" s="19">
        <v>23</v>
      </c>
      <c r="J834" s="19">
        <v>32</v>
      </c>
      <c r="K834" s="19">
        <v>24</v>
      </c>
      <c r="L834" s="19">
        <v>14</v>
      </c>
      <c r="M834" s="19">
        <f t="shared" si="194"/>
        <v>132</v>
      </c>
      <c r="N834" s="27">
        <f t="shared" ref="N834:N896" si="200">N833+4</f>
        <v>40904</v>
      </c>
    </row>
    <row r="835" spans="1:14" x14ac:dyDescent="0.25">
      <c r="A835" s="15">
        <f t="shared" ref="A835:A898" si="201">WEEKDAY(N835,2)</f>
        <v>5</v>
      </c>
      <c r="B835" s="20">
        <f t="shared" si="196"/>
        <v>834</v>
      </c>
      <c r="C835" s="17">
        <f t="shared" si="198"/>
        <v>104</v>
      </c>
      <c r="D835" s="17" t="str">
        <f t="shared" si="197"/>
        <v>20111230</v>
      </c>
      <c r="E835" s="20" t="str">
        <f t="shared" si="199"/>
        <v>20111230104</v>
      </c>
      <c r="F835" s="19">
        <v>15</v>
      </c>
      <c r="G835" s="19">
        <v>28</v>
      </c>
      <c r="H835" s="19">
        <v>37</v>
      </c>
      <c r="I835" s="19">
        <v>13</v>
      </c>
      <c r="J835" s="19">
        <v>12</v>
      </c>
      <c r="K835" s="19">
        <v>30</v>
      </c>
      <c r="L835" s="19">
        <v>3</v>
      </c>
      <c r="M835" s="19">
        <f t="shared" ref="M835:M898" si="202">SUM(F835:L835)</f>
        <v>138</v>
      </c>
      <c r="N835" s="27">
        <f t="shared" ref="N835:N897" si="203">N834+3</f>
        <v>40907</v>
      </c>
    </row>
    <row r="836" spans="1:14" x14ac:dyDescent="0.25">
      <c r="A836" s="15">
        <f t="shared" si="201"/>
        <v>2</v>
      </c>
      <c r="B836" s="20">
        <f t="shared" si="196"/>
        <v>835</v>
      </c>
      <c r="C836" s="17">
        <v>1</v>
      </c>
      <c r="D836" s="17" t="str">
        <f t="shared" ref="D836:D899" si="204">CONCATENATE(TEXT(YEAR(N836),"0000"),TEXT(MONTH(N836),"00"),TEXT(DAY(N836),"00"))</f>
        <v>20120103</v>
      </c>
      <c r="E836" s="20" t="str">
        <f t="shared" si="199"/>
        <v>20120103001</v>
      </c>
      <c r="F836" s="19">
        <v>34</v>
      </c>
      <c r="G836" s="19">
        <v>9</v>
      </c>
      <c r="H836" s="19">
        <v>26</v>
      </c>
      <c r="I836" s="19">
        <v>19</v>
      </c>
      <c r="J836" s="19">
        <v>38</v>
      </c>
      <c r="K836" s="19">
        <v>40</v>
      </c>
      <c r="L836" s="19">
        <v>37</v>
      </c>
      <c r="M836" s="19">
        <f t="shared" si="202"/>
        <v>203</v>
      </c>
      <c r="N836" s="27">
        <f t="shared" si="200"/>
        <v>40911</v>
      </c>
    </row>
    <row r="837" spans="1:14" x14ac:dyDescent="0.25">
      <c r="A837" s="15">
        <f t="shared" si="201"/>
        <v>5</v>
      </c>
      <c r="B837" s="20">
        <f t="shared" ref="B837:B900" si="205">B836+1</f>
        <v>836</v>
      </c>
      <c r="C837" s="17">
        <f>C836+1</f>
        <v>2</v>
      </c>
      <c r="D837" s="17" t="str">
        <f t="shared" si="204"/>
        <v>20120106</v>
      </c>
      <c r="E837" s="20" t="str">
        <f t="shared" si="199"/>
        <v>20120106002</v>
      </c>
      <c r="F837" s="19">
        <v>14</v>
      </c>
      <c r="G837" s="19">
        <v>41</v>
      </c>
      <c r="H837" s="19">
        <v>23</v>
      </c>
      <c r="I837" s="19">
        <v>10</v>
      </c>
      <c r="J837" s="19">
        <v>35</v>
      </c>
      <c r="K837" s="19">
        <v>46</v>
      </c>
      <c r="L837" s="19">
        <v>19</v>
      </c>
      <c r="M837" s="19">
        <f t="shared" si="202"/>
        <v>188</v>
      </c>
      <c r="N837" s="27">
        <f t="shared" si="203"/>
        <v>40914</v>
      </c>
    </row>
    <row r="838" spans="1:14" x14ac:dyDescent="0.25">
      <c r="A838" s="15">
        <f t="shared" si="201"/>
        <v>2</v>
      </c>
      <c r="B838" s="20">
        <f t="shared" si="205"/>
        <v>837</v>
      </c>
      <c r="C838" s="17">
        <f t="shared" ref="C838:C902" si="206">C837+1</f>
        <v>3</v>
      </c>
      <c r="D838" s="17" t="str">
        <f t="shared" si="204"/>
        <v>20120110</v>
      </c>
      <c r="E838" s="20" t="str">
        <f t="shared" si="199"/>
        <v>20120110003</v>
      </c>
      <c r="F838" s="19">
        <v>3</v>
      </c>
      <c r="G838" s="19">
        <v>21</v>
      </c>
      <c r="H838" s="19">
        <v>47</v>
      </c>
      <c r="I838" s="19">
        <v>27</v>
      </c>
      <c r="J838" s="19">
        <v>23</v>
      </c>
      <c r="K838" s="19">
        <v>45</v>
      </c>
      <c r="L838" s="19">
        <v>40</v>
      </c>
      <c r="M838" s="19">
        <f t="shared" si="202"/>
        <v>206</v>
      </c>
      <c r="N838" s="27">
        <f t="shared" si="200"/>
        <v>40918</v>
      </c>
    </row>
    <row r="839" spans="1:14" x14ac:dyDescent="0.25">
      <c r="A839" s="15">
        <f t="shared" si="201"/>
        <v>5</v>
      </c>
      <c r="B839" s="20">
        <f t="shared" si="205"/>
        <v>838</v>
      </c>
      <c r="C839" s="17">
        <f t="shared" si="206"/>
        <v>4</v>
      </c>
      <c r="D839" s="17" t="str">
        <f t="shared" si="204"/>
        <v>20120113</v>
      </c>
      <c r="E839" s="20" t="str">
        <f t="shared" si="199"/>
        <v>20120113004</v>
      </c>
      <c r="F839" s="19">
        <v>48</v>
      </c>
      <c r="G839" s="19">
        <v>36</v>
      </c>
      <c r="H839" s="19">
        <v>46</v>
      </c>
      <c r="I839" s="19">
        <v>22</v>
      </c>
      <c r="J839" s="19">
        <v>42</v>
      </c>
      <c r="K839" s="19">
        <v>43</v>
      </c>
      <c r="L839" s="19">
        <v>21</v>
      </c>
      <c r="M839" s="19">
        <f t="shared" si="202"/>
        <v>258</v>
      </c>
      <c r="N839" s="27">
        <f t="shared" si="203"/>
        <v>40921</v>
      </c>
    </row>
    <row r="840" spans="1:14" x14ac:dyDescent="0.25">
      <c r="A840" s="15">
        <f t="shared" si="201"/>
        <v>2</v>
      </c>
      <c r="B840" s="20">
        <f t="shared" si="205"/>
        <v>839</v>
      </c>
      <c r="C840" s="17">
        <f t="shared" si="206"/>
        <v>5</v>
      </c>
      <c r="D840" s="17" t="str">
        <f t="shared" si="204"/>
        <v>20120117</v>
      </c>
      <c r="E840" s="20" t="str">
        <f t="shared" si="199"/>
        <v>20120117005</v>
      </c>
      <c r="F840" s="19">
        <v>22</v>
      </c>
      <c r="G840" s="19">
        <v>4</v>
      </c>
      <c r="H840" s="19">
        <v>42</v>
      </c>
      <c r="I840" s="19">
        <v>46</v>
      </c>
      <c r="J840" s="19">
        <v>10</v>
      </c>
      <c r="K840" s="19">
        <v>35</v>
      </c>
      <c r="L840" s="19">
        <v>32</v>
      </c>
      <c r="M840" s="19">
        <f t="shared" si="202"/>
        <v>191</v>
      </c>
      <c r="N840" s="27">
        <f t="shared" si="200"/>
        <v>40925</v>
      </c>
    </row>
    <row r="841" spans="1:14" x14ac:dyDescent="0.25">
      <c r="A841" s="15">
        <f t="shared" si="201"/>
        <v>5</v>
      </c>
      <c r="B841" s="20">
        <f t="shared" si="205"/>
        <v>840</v>
      </c>
      <c r="C841" s="17">
        <f t="shared" si="206"/>
        <v>6</v>
      </c>
      <c r="D841" s="17" t="str">
        <f t="shared" si="204"/>
        <v>20120120</v>
      </c>
      <c r="E841" s="20" t="str">
        <f t="shared" si="199"/>
        <v>20120120006</v>
      </c>
      <c r="F841" s="19">
        <v>22</v>
      </c>
      <c r="G841" s="19">
        <v>44</v>
      </c>
      <c r="H841" s="19">
        <v>30</v>
      </c>
      <c r="I841" s="19">
        <v>39</v>
      </c>
      <c r="J841" s="19">
        <v>10</v>
      </c>
      <c r="K841" s="19">
        <v>12</v>
      </c>
      <c r="L841" s="19">
        <v>9</v>
      </c>
      <c r="M841" s="19">
        <f t="shared" si="202"/>
        <v>166</v>
      </c>
      <c r="N841" s="27">
        <f t="shared" si="203"/>
        <v>40928</v>
      </c>
    </row>
    <row r="842" spans="1:14" x14ac:dyDescent="0.25">
      <c r="A842" s="15">
        <f t="shared" si="201"/>
        <v>2</v>
      </c>
      <c r="B842" s="20">
        <f t="shared" si="205"/>
        <v>841</v>
      </c>
      <c r="C842" s="17">
        <f t="shared" si="206"/>
        <v>7</v>
      </c>
      <c r="D842" s="17" t="str">
        <f t="shared" si="204"/>
        <v>20120124</v>
      </c>
      <c r="E842" s="20" t="str">
        <f t="shared" si="199"/>
        <v>20120124007</v>
      </c>
      <c r="F842" s="19">
        <v>29</v>
      </c>
      <c r="G842" s="19">
        <v>21</v>
      </c>
      <c r="H842" s="19">
        <v>44</v>
      </c>
      <c r="I842" s="19">
        <v>8</v>
      </c>
      <c r="J842" s="19">
        <v>38</v>
      </c>
      <c r="K842" s="19">
        <v>45</v>
      </c>
      <c r="L842" s="19">
        <v>20</v>
      </c>
      <c r="M842" s="19">
        <f t="shared" si="202"/>
        <v>205</v>
      </c>
      <c r="N842" s="27">
        <f t="shared" si="200"/>
        <v>40932</v>
      </c>
    </row>
    <row r="843" spans="1:14" x14ac:dyDescent="0.25">
      <c r="A843" s="15">
        <f t="shared" si="201"/>
        <v>5</v>
      </c>
      <c r="B843" s="20">
        <f t="shared" si="205"/>
        <v>842</v>
      </c>
      <c r="C843" s="17">
        <f t="shared" si="206"/>
        <v>8</v>
      </c>
      <c r="D843" s="17" t="str">
        <f t="shared" si="204"/>
        <v>20120127</v>
      </c>
      <c r="E843" s="20" t="str">
        <f t="shared" si="199"/>
        <v>20120127008</v>
      </c>
      <c r="F843" s="19">
        <v>40</v>
      </c>
      <c r="G843" s="19">
        <v>20</v>
      </c>
      <c r="H843" s="19">
        <v>34</v>
      </c>
      <c r="I843" s="19">
        <v>21</v>
      </c>
      <c r="J843" s="19">
        <v>22</v>
      </c>
      <c r="K843" s="19">
        <v>3</v>
      </c>
      <c r="L843" s="19">
        <v>44</v>
      </c>
      <c r="M843" s="19">
        <f t="shared" si="202"/>
        <v>184</v>
      </c>
      <c r="N843" s="27">
        <f t="shared" si="203"/>
        <v>40935</v>
      </c>
    </row>
    <row r="844" spans="1:14" x14ac:dyDescent="0.25">
      <c r="A844" s="15">
        <f t="shared" si="201"/>
        <v>2</v>
      </c>
      <c r="B844" s="20">
        <f t="shared" si="205"/>
        <v>843</v>
      </c>
      <c r="C844" s="17">
        <f t="shared" si="206"/>
        <v>9</v>
      </c>
      <c r="D844" s="17" t="str">
        <f t="shared" si="204"/>
        <v>20120131</v>
      </c>
      <c r="E844" s="20" t="str">
        <f t="shared" si="199"/>
        <v>20120131009</v>
      </c>
      <c r="F844" s="19">
        <v>11</v>
      </c>
      <c r="G844" s="19">
        <v>19</v>
      </c>
      <c r="H844" s="19">
        <v>15</v>
      </c>
      <c r="I844" s="19">
        <v>33</v>
      </c>
      <c r="J844" s="19">
        <v>14</v>
      </c>
      <c r="K844" s="19">
        <v>1</v>
      </c>
      <c r="L844" s="19">
        <v>42</v>
      </c>
      <c r="M844" s="19">
        <f t="shared" si="202"/>
        <v>135</v>
      </c>
      <c r="N844" s="27">
        <f t="shared" si="200"/>
        <v>40939</v>
      </c>
    </row>
    <row r="845" spans="1:14" x14ac:dyDescent="0.25">
      <c r="A845" s="15">
        <f t="shared" si="201"/>
        <v>5</v>
      </c>
      <c r="B845" s="20">
        <f t="shared" si="205"/>
        <v>844</v>
      </c>
      <c r="C845" s="17">
        <f t="shared" si="206"/>
        <v>10</v>
      </c>
      <c r="D845" s="17" t="str">
        <f t="shared" si="204"/>
        <v>20120203</v>
      </c>
      <c r="E845" s="20" t="str">
        <f t="shared" si="199"/>
        <v>20120203010</v>
      </c>
      <c r="F845" s="19">
        <v>8</v>
      </c>
      <c r="G845" s="19">
        <v>34</v>
      </c>
      <c r="H845" s="19">
        <v>32</v>
      </c>
      <c r="I845" s="19">
        <v>5</v>
      </c>
      <c r="J845" s="19">
        <v>20</v>
      </c>
      <c r="K845" s="19">
        <v>35</v>
      </c>
      <c r="L845" s="19">
        <v>17</v>
      </c>
      <c r="M845" s="19">
        <f t="shared" si="202"/>
        <v>151</v>
      </c>
      <c r="N845" s="27">
        <f t="shared" si="203"/>
        <v>40942</v>
      </c>
    </row>
    <row r="846" spans="1:14" x14ac:dyDescent="0.25">
      <c r="A846" s="15">
        <f t="shared" si="201"/>
        <v>2</v>
      </c>
      <c r="B846" s="20">
        <f t="shared" si="205"/>
        <v>845</v>
      </c>
      <c r="C846" s="17">
        <f t="shared" si="206"/>
        <v>11</v>
      </c>
      <c r="D846" s="17" t="str">
        <f t="shared" si="204"/>
        <v>20120207</v>
      </c>
      <c r="E846" s="20" t="str">
        <f t="shared" si="199"/>
        <v>20120207011</v>
      </c>
      <c r="F846" s="19">
        <v>33</v>
      </c>
      <c r="G846" s="19">
        <v>41</v>
      </c>
      <c r="H846" s="19">
        <v>27</v>
      </c>
      <c r="I846" s="19">
        <v>7</v>
      </c>
      <c r="J846" s="19">
        <v>22</v>
      </c>
      <c r="K846" s="19">
        <v>39</v>
      </c>
      <c r="L846" s="19">
        <v>13</v>
      </c>
      <c r="M846" s="19">
        <f t="shared" si="202"/>
        <v>182</v>
      </c>
      <c r="N846" s="27">
        <f t="shared" si="200"/>
        <v>40946</v>
      </c>
    </row>
    <row r="847" spans="1:14" x14ac:dyDescent="0.25">
      <c r="A847" s="15">
        <f t="shared" si="201"/>
        <v>5</v>
      </c>
      <c r="B847" s="20">
        <f t="shared" si="205"/>
        <v>846</v>
      </c>
      <c r="C847" s="17">
        <f t="shared" si="206"/>
        <v>12</v>
      </c>
      <c r="D847" s="17" t="str">
        <f t="shared" si="204"/>
        <v>20120210</v>
      </c>
      <c r="E847" s="20" t="str">
        <f t="shared" si="199"/>
        <v>20120210012</v>
      </c>
      <c r="F847" s="19">
        <v>43</v>
      </c>
      <c r="G847" s="19">
        <v>16</v>
      </c>
      <c r="H847" s="19">
        <v>41</v>
      </c>
      <c r="I847" s="19">
        <v>29</v>
      </c>
      <c r="J847" s="19">
        <v>19</v>
      </c>
      <c r="K847" s="19">
        <v>5</v>
      </c>
      <c r="L847" s="19">
        <v>37</v>
      </c>
      <c r="M847" s="19">
        <f t="shared" si="202"/>
        <v>190</v>
      </c>
      <c r="N847" s="27">
        <f t="shared" si="203"/>
        <v>40949</v>
      </c>
    </row>
    <row r="848" spans="1:14" x14ac:dyDescent="0.25">
      <c r="A848" s="15">
        <f t="shared" si="201"/>
        <v>2</v>
      </c>
      <c r="B848" s="20">
        <f t="shared" si="205"/>
        <v>847</v>
      </c>
      <c r="C848" s="17">
        <f t="shared" si="206"/>
        <v>13</v>
      </c>
      <c r="D848" s="17" t="str">
        <f t="shared" si="204"/>
        <v>20120214</v>
      </c>
      <c r="E848" s="20" t="str">
        <f t="shared" si="199"/>
        <v>20120214013</v>
      </c>
      <c r="F848" s="19">
        <v>21</v>
      </c>
      <c r="G848" s="19">
        <v>45</v>
      </c>
      <c r="H848" s="19">
        <v>2</v>
      </c>
      <c r="I848" s="19">
        <v>11</v>
      </c>
      <c r="J848" s="19">
        <v>33</v>
      </c>
      <c r="K848" s="19">
        <v>19</v>
      </c>
      <c r="L848" s="19">
        <v>40</v>
      </c>
      <c r="M848" s="19">
        <f t="shared" si="202"/>
        <v>171</v>
      </c>
      <c r="N848" s="27">
        <f t="shared" si="200"/>
        <v>40953</v>
      </c>
    </row>
    <row r="849" spans="1:14" x14ac:dyDescent="0.25">
      <c r="A849" s="15">
        <f t="shared" si="201"/>
        <v>5</v>
      </c>
      <c r="B849" s="20">
        <f t="shared" si="205"/>
        <v>848</v>
      </c>
      <c r="C849" s="17">
        <f t="shared" si="206"/>
        <v>14</v>
      </c>
      <c r="D849" s="17" t="str">
        <f t="shared" si="204"/>
        <v>20120217</v>
      </c>
      <c r="E849" s="20" t="str">
        <f t="shared" si="199"/>
        <v>20120217014</v>
      </c>
      <c r="F849" s="19">
        <v>15</v>
      </c>
      <c r="G849" s="19">
        <v>30</v>
      </c>
      <c r="H849" s="19">
        <v>26</v>
      </c>
      <c r="I849" s="19">
        <v>38</v>
      </c>
      <c r="J849" s="19">
        <v>44</v>
      </c>
      <c r="K849" s="19">
        <v>14</v>
      </c>
      <c r="L849" s="19">
        <v>19</v>
      </c>
      <c r="M849" s="19">
        <f t="shared" si="202"/>
        <v>186</v>
      </c>
      <c r="N849" s="27">
        <f t="shared" si="203"/>
        <v>40956</v>
      </c>
    </row>
    <row r="850" spans="1:14" x14ac:dyDescent="0.25">
      <c r="A850" s="15">
        <f t="shared" si="201"/>
        <v>2</v>
      </c>
      <c r="B850" s="20">
        <f t="shared" si="205"/>
        <v>849</v>
      </c>
      <c r="C850" s="17">
        <f t="shared" si="206"/>
        <v>15</v>
      </c>
      <c r="D850" s="17" t="str">
        <f t="shared" si="204"/>
        <v>20120221</v>
      </c>
      <c r="E850" s="20" t="str">
        <f t="shared" si="199"/>
        <v>20120221015</v>
      </c>
      <c r="F850" s="19">
        <v>42</v>
      </c>
      <c r="G850" s="19">
        <v>32</v>
      </c>
      <c r="H850" s="19">
        <v>39</v>
      </c>
      <c r="I850" s="19">
        <v>46</v>
      </c>
      <c r="J850" s="19">
        <v>21</v>
      </c>
      <c r="K850" s="19">
        <v>2</v>
      </c>
      <c r="L850" s="19">
        <v>19</v>
      </c>
      <c r="M850" s="19">
        <f t="shared" si="202"/>
        <v>201</v>
      </c>
      <c r="N850" s="27">
        <f t="shared" si="200"/>
        <v>40960</v>
      </c>
    </row>
    <row r="851" spans="1:14" x14ac:dyDescent="0.25">
      <c r="A851" s="15">
        <f t="shared" si="201"/>
        <v>5</v>
      </c>
      <c r="B851" s="20">
        <f t="shared" si="205"/>
        <v>850</v>
      </c>
      <c r="C851" s="17">
        <f t="shared" si="206"/>
        <v>16</v>
      </c>
      <c r="D851" s="17" t="str">
        <f t="shared" si="204"/>
        <v>20120224</v>
      </c>
      <c r="E851" s="20" t="str">
        <f t="shared" si="199"/>
        <v>20120224016</v>
      </c>
      <c r="F851" s="19">
        <v>17</v>
      </c>
      <c r="G851" s="19">
        <v>43</v>
      </c>
      <c r="H851" s="19">
        <v>2</v>
      </c>
      <c r="I851" s="19">
        <v>15</v>
      </c>
      <c r="J851" s="19">
        <v>6</v>
      </c>
      <c r="K851" s="19">
        <v>13</v>
      </c>
      <c r="L851" s="19">
        <v>4</v>
      </c>
      <c r="M851" s="19">
        <f t="shared" si="202"/>
        <v>100</v>
      </c>
      <c r="N851" s="27">
        <f t="shared" si="203"/>
        <v>40963</v>
      </c>
    </row>
    <row r="852" spans="1:14" x14ac:dyDescent="0.25">
      <c r="A852" s="15">
        <f t="shared" si="201"/>
        <v>2</v>
      </c>
      <c r="B852" s="20">
        <f t="shared" si="205"/>
        <v>851</v>
      </c>
      <c r="C852" s="17">
        <f t="shared" si="206"/>
        <v>17</v>
      </c>
      <c r="D852" s="17" t="str">
        <f t="shared" si="204"/>
        <v>20120228</v>
      </c>
      <c r="E852" s="20" t="str">
        <f t="shared" si="199"/>
        <v>20120228017</v>
      </c>
      <c r="F852" s="19">
        <v>30</v>
      </c>
      <c r="G852" s="19">
        <v>47</v>
      </c>
      <c r="H852" s="19">
        <v>36</v>
      </c>
      <c r="I852" s="19">
        <v>43</v>
      </c>
      <c r="J852" s="19">
        <v>2</v>
      </c>
      <c r="K852" s="19">
        <v>32</v>
      </c>
      <c r="L852" s="19">
        <v>49</v>
      </c>
      <c r="M852" s="19">
        <f t="shared" si="202"/>
        <v>239</v>
      </c>
      <c r="N852" s="27">
        <f t="shared" si="200"/>
        <v>40967</v>
      </c>
    </row>
    <row r="853" spans="1:14" x14ac:dyDescent="0.25">
      <c r="A853" s="15">
        <f t="shared" si="201"/>
        <v>5</v>
      </c>
      <c r="B853" s="20">
        <f t="shared" si="205"/>
        <v>852</v>
      </c>
      <c r="C853" s="17">
        <f t="shared" si="206"/>
        <v>18</v>
      </c>
      <c r="D853" s="17" t="str">
        <f t="shared" si="204"/>
        <v>20120302</v>
      </c>
      <c r="E853" s="20" t="str">
        <f t="shared" si="199"/>
        <v>20120302018</v>
      </c>
      <c r="F853" s="19">
        <v>15</v>
      </c>
      <c r="G853" s="19">
        <v>6</v>
      </c>
      <c r="H853" s="19">
        <v>45</v>
      </c>
      <c r="I853" s="19">
        <v>31</v>
      </c>
      <c r="J853" s="19">
        <v>2</v>
      </c>
      <c r="K853" s="19">
        <v>21</v>
      </c>
      <c r="L853" s="19">
        <v>24</v>
      </c>
      <c r="M853" s="19">
        <f t="shared" si="202"/>
        <v>144</v>
      </c>
      <c r="N853" s="27">
        <f t="shared" si="203"/>
        <v>40970</v>
      </c>
    </row>
    <row r="854" spans="1:14" x14ac:dyDescent="0.25">
      <c r="A854" s="15">
        <f t="shared" si="201"/>
        <v>2</v>
      </c>
      <c r="B854" s="20">
        <f t="shared" si="205"/>
        <v>853</v>
      </c>
      <c r="C854" s="17">
        <f t="shared" si="206"/>
        <v>19</v>
      </c>
      <c r="D854" s="17" t="str">
        <f t="shared" si="204"/>
        <v>20120306</v>
      </c>
      <c r="E854" s="20" t="str">
        <f t="shared" si="199"/>
        <v>20120306019</v>
      </c>
      <c r="F854" s="19">
        <v>25</v>
      </c>
      <c r="G854" s="19">
        <v>20</v>
      </c>
      <c r="H854" s="19">
        <v>2</v>
      </c>
      <c r="I854" s="19">
        <v>5</v>
      </c>
      <c r="J854" s="19">
        <v>17</v>
      </c>
      <c r="K854" s="19">
        <v>48</v>
      </c>
      <c r="L854" s="19">
        <v>14</v>
      </c>
      <c r="M854" s="19">
        <f t="shared" si="202"/>
        <v>131</v>
      </c>
      <c r="N854" s="27">
        <f t="shared" si="200"/>
        <v>40974</v>
      </c>
    </row>
    <row r="855" spans="1:14" x14ac:dyDescent="0.25">
      <c r="A855" s="15">
        <f t="shared" si="201"/>
        <v>5</v>
      </c>
      <c r="B855" s="20">
        <f t="shared" si="205"/>
        <v>854</v>
      </c>
      <c r="C855" s="17">
        <f t="shared" si="206"/>
        <v>20</v>
      </c>
      <c r="D855" s="17" t="str">
        <f t="shared" si="204"/>
        <v>20120309</v>
      </c>
      <c r="E855" s="20" t="str">
        <f t="shared" si="199"/>
        <v>20120309020</v>
      </c>
      <c r="F855" s="19">
        <v>45</v>
      </c>
      <c r="G855" s="19">
        <v>21</v>
      </c>
      <c r="H855" s="19">
        <v>48</v>
      </c>
      <c r="I855" s="19">
        <v>41</v>
      </c>
      <c r="J855" s="19">
        <v>44</v>
      </c>
      <c r="K855" s="19">
        <v>10</v>
      </c>
      <c r="L855" s="19">
        <v>32</v>
      </c>
      <c r="M855" s="19">
        <f t="shared" si="202"/>
        <v>241</v>
      </c>
      <c r="N855" s="27">
        <f t="shared" si="203"/>
        <v>40977</v>
      </c>
    </row>
    <row r="856" spans="1:14" x14ac:dyDescent="0.25">
      <c r="A856" s="15">
        <f t="shared" si="201"/>
        <v>2</v>
      </c>
      <c r="B856" s="20">
        <f t="shared" si="205"/>
        <v>855</v>
      </c>
      <c r="C856" s="17">
        <f t="shared" si="206"/>
        <v>21</v>
      </c>
      <c r="D856" s="17" t="str">
        <f t="shared" si="204"/>
        <v>20120313</v>
      </c>
      <c r="E856" s="20" t="str">
        <f t="shared" si="199"/>
        <v>20120313021</v>
      </c>
      <c r="F856" s="19">
        <v>6</v>
      </c>
      <c r="G856" s="19">
        <v>47</v>
      </c>
      <c r="H856" s="19">
        <v>24</v>
      </c>
      <c r="I856" s="19">
        <v>48</v>
      </c>
      <c r="J856" s="19">
        <v>49</v>
      </c>
      <c r="K856" s="19">
        <v>46</v>
      </c>
      <c r="L856" s="19">
        <v>40</v>
      </c>
      <c r="M856" s="19">
        <f t="shared" si="202"/>
        <v>260</v>
      </c>
      <c r="N856" s="27">
        <f t="shared" si="200"/>
        <v>40981</v>
      </c>
    </row>
    <row r="857" spans="1:14" x14ac:dyDescent="0.25">
      <c r="A857" s="15">
        <f t="shared" si="201"/>
        <v>5</v>
      </c>
      <c r="B857" s="20">
        <f t="shared" si="205"/>
        <v>856</v>
      </c>
      <c r="C857" s="17">
        <f t="shared" si="206"/>
        <v>22</v>
      </c>
      <c r="D857" s="17" t="str">
        <f t="shared" si="204"/>
        <v>20120316</v>
      </c>
      <c r="E857" s="20" t="str">
        <f t="shared" si="199"/>
        <v>20120316022</v>
      </c>
      <c r="F857" s="19">
        <v>27</v>
      </c>
      <c r="G857" s="19">
        <v>26</v>
      </c>
      <c r="H857" s="19">
        <v>43</v>
      </c>
      <c r="I857" s="19">
        <v>28</v>
      </c>
      <c r="J857" s="19">
        <v>30</v>
      </c>
      <c r="K857" s="19">
        <v>31</v>
      </c>
      <c r="L857" s="19">
        <v>8</v>
      </c>
      <c r="M857" s="19">
        <f t="shared" si="202"/>
        <v>193</v>
      </c>
      <c r="N857" s="27">
        <f t="shared" si="203"/>
        <v>40984</v>
      </c>
    </row>
    <row r="858" spans="1:14" x14ac:dyDescent="0.25">
      <c r="A858" s="15">
        <f t="shared" si="201"/>
        <v>2</v>
      </c>
      <c r="B858" s="20">
        <f t="shared" si="205"/>
        <v>857</v>
      </c>
      <c r="C858" s="17">
        <f t="shared" si="206"/>
        <v>23</v>
      </c>
      <c r="D858" s="17" t="str">
        <f t="shared" si="204"/>
        <v>20120320</v>
      </c>
      <c r="E858" s="20" t="str">
        <f t="shared" si="199"/>
        <v>20120320023</v>
      </c>
      <c r="F858" s="19">
        <v>13</v>
      </c>
      <c r="G858" s="19">
        <v>7</v>
      </c>
      <c r="H858" s="19">
        <v>5</v>
      </c>
      <c r="I858" s="19">
        <v>26</v>
      </c>
      <c r="J858" s="19">
        <v>46</v>
      </c>
      <c r="K858" s="19">
        <v>4</v>
      </c>
      <c r="L858" s="19">
        <v>24</v>
      </c>
      <c r="M858" s="19">
        <f t="shared" si="202"/>
        <v>125</v>
      </c>
      <c r="N858" s="27">
        <f t="shared" si="200"/>
        <v>40988</v>
      </c>
    </row>
    <row r="859" spans="1:14" x14ac:dyDescent="0.25">
      <c r="A859" s="15">
        <f t="shared" si="201"/>
        <v>5</v>
      </c>
      <c r="B859" s="20">
        <f t="shared" si="205"/>
        <v>858</v>
      </c>
      <c r="C859" s="17">
        <f t="shared" si="206"/>
        <v>24</v>
      </c>
      <c r="D859" s="17" t="str">
        <f t="shared" si="204"/>
        <v>20120323</v>
      </c>
      <c r="E859" s="20" t="str">
        <f t="shared" si="199"/>
        <v>20120323024</v>
      </c>
      <c r="F859" s="19">
        <v>36</v>
      </c>
      <c r="G859" s="19">
        <v>31</v>
      </c>
      <c r="H859" s="19">
        <v>43</v>
      </c>
      <c r="I859" s="19">
        <v>37</v>
      </c>
      <c r="J859" s="19">
        <v>44</v>
      </c>
      <c r="K859" s="19">
        <v>22</v>
      </c>
      <c r="L859" s="19">
        <v>11</v>
      </c>
      <c r="M859" s="19">
        <f t="shared" si="202"/>
        <v>224</v>
      </c>
      <c r="N859" s="27">
        <f t="shared" si="203"/>
        <v>40991</v>
      </c>
    </row>
    <row r="860" spans="1:14" x14ac:dyDescent="0.25">
      <c r="A860" s="15">
        <f t="shared" si="201"/>
        <v>2</v>
      </c>
      <c r="B860" s="20">
        <f t="shared" si="205"/>
        <v>859</v>
      </c>
      <c r="C860" s="17">
        <f t="shared" si="206"/>
        <v>25</v>
      </c>
      <c r="D860" s="17" t="str">
        <f t="shared" si="204"/>
        <v>20120327</v>
      </c>
      <c r="E860" s="20" t="str">
        <f t="shared" si="199"/>
        <v>20120327025</v>
      </c>
      <c r="F860" s="19">
        <v>27</v>
      </c>
      <c r="G860" s="19">
        <v>29</v>
      </c>
      <c r="H860" s="19">
        <v>28</v>
      </c>
      <c r="I860" s="19">
        <v>16</v>
      </c>
      <c r="J860" s="19">
        <v>23</v>
      </c>
      <c r="K860" s="19">
        <v>18</v>
      </c>
      <c r="L860" s="19">
        <v>19</v>
      </c>
      <c r="M860" s="19">
        <f t="shared" si="202"/>
        <v>160</v>
      </c>
      <c r="N860" s="27">
        <f t="shared" si="200"/>
        <v>40995</v>
      </c>
    </row>
    <row r="861" spans="1:14" x14ac:dyDescent="0.25">
      <c r="A861" s="15">
        <f t="shared" si="201"/>
        <v>5</v>
      </c>
      <c r="B861" s="20">
        <f t="shared" si="205"/>
        <v>860</v>
      </c>
      <c r="C861" s="17">
        <f t="shared" si="206"/>
        <v>26</v>
      </c>
      <c r="D861" s="17" t="str">
        <f t="shared" si="204"/>
        <v>20120330</v>
      </c>
      <c r="E861" s="20" t="str">
        <f t="shared" si="199"/>
        <v>20120330026</v>
      </c>
      <c r="F861" s="19">
        <v>21</v>
      </c>
      <c r="G861" s="19">
        <v>38</v>
      </c>
      <c r="H861" s="19">
        <v>28</v>
      </c>
      <c r="I861" s="19">
        <v>1</v>
      </c>
      <c r="J861" s="19">
        <v>20</v>
      </c>
      <c r="K861" s="19">
        <v>36</v>
      </c>
      <c r="L861" s="19">
        <v>30</v>
      </c>
      <c r="M861" s="19">
        <f t="shared" si="202"/>
        <v>174</v>
      </c>
      <c r="N861" s="27">
        <f t="shared" si="203"/>
        <v>40998</v>
      </c>
    </row>
    <row r="862" spans="1:14" x14ac:dyDescent="0.25">
      <c r="A862" s="15">
        <f t="shared" si="201"/>
        <v>2</v>
      </c>
      <c r="B862" s="20">
        <f t="shared" si="205"/>
        <v>861</v>
      </c>
      <c r="C862" s="17">
        <f t="shared" si="206"/>
        <v>27</v>
      </c>
      <c r="D862" s="17" t="str">
        <f t="shared" si="204"/>
        <v>20120403</v>
      </c>
      <c r="E862" s="20" t="str">
        <f t="shared" si="199"/>
        <v>20120403027</v>
      </c>
      <c r="F862" s="19">
        <v>44</v>
      </c>
      <c r="G862" s="19">
        <v>23</v>
      </c>
      <c r="H862" s="19">
        <v>47</v>
      </c>
      <c r="I862" s="19">
        <v>8</v>
      </c>
      <c r="J862" s="19">
        <v>39</v>
      </c>
      <c r="K862" s="19">
        <v>22</v>
      </c>
      <c r="L862" s="19">
        <v>36</v>
      </c>
      <c r="M862" s="19">
        <f t="shared" si="202"/>
        <v>219</v>
      </c>
      <c r="N862" s="27">
        <f t="shared" si="200"/>
        <v>41002</v>
      </c>
    </row>
    <row r="863" spans="1:14" x14ac:dyDescent="0.25">
      <c r="A863" s="15">
        <f t="shared" si="201"/>
        <v>5</v>
      </c>
      <c r="B863" s="20">
        <f t="shared" si="205"/>
        <v>862</v>
      </c>
      <c r="C863" s="17">
        <f t="shared" si="206"/>
        <v>28</v>
      </c>
      <c r="D863" s="17" t="str">
        <f t="shared" si="204"/>
        <v>20120406</v>
      </c>
      <c r="E863" s="20" t="str">
        <f t="shared" si="199"/>
        <v>20120406028</v>
      </c>
      <c r="F863" s="19">
        <v>36</v>
      </c>
      <c r="G863" s="19">
        <v>4</v>
      </c>
      <c r="H863" s="19">
        <v>37</v>
      </c>
      <c r="I863" s="19">
        <v>5</v>
      </c>
      <c r="J863" s="19">
        <v>40</v>
      </c>
      <c r="K863" s="19">
        <v>14</v>
      </c>
      <c r="L863" s="19">
        <v>25</v>
      </c>
      <c r="M863" s="19">
        <f t="shared" si="202"/>
        <v>161</v>
      </c>
      <c r="N863" s="27">
        <f t="shared" si="203"/>
        <v>41005</v>
      </c>
    </row>
    <row r="864" spans="1:14" x14ac:dyDescent="0.25">
      <c r="A864" s="15">
        <f t="shared" si="201"/>
        <v>2</v>
      </c>
      <c r="B864" s="20">
        <f t="shared" si="205"/>
        <v>863</v>
      </c>
      <c r="C864" s="17">
        <f t="shared" si="206"/>
        <v>29</v>
      </c>
      <c r="D864" s="17" t="str">
        <f t="shared" si="204"/>
        <v>20120410</v>
      </c>
      <c r="E864" s="20" t="str">
        <f t="shared" si="199"/>
        <v>20120410029</v>
      </c>
      <c r="F864" s="19">
        <v>33</v>
      </c>
      <c r="G864" s="19">
        <v>6</v>
      </c>
      <c r="H864" s="19">
        <v>31</v>
      </c>
      <c r="I864" s="19">
        <v>42</v>
      </c>
      <c r="J864" s="19">
        <v>27</v>
      </c>
      <c r="K864" s="19">
        <v>19</v>
      </c>
      <c r="L864" s="19">
        <v>13</v>
      </c>
      <c r="M864" s="19">
        <f t="shared" si="202"/>
        <v>171</v>
      </c>
      <c r="N864" s="27">
        <f t="shared" si="200"/>
        <v>41009</v>
      </c>
    </row>
    <row r="865" spans="1:14" x14ac:dyDescent="0.25">
      <c r="A865" s="15">
        <f t="shared" si="201"/>
        <v>5</v>
      </c>
      <c r="B865" s="20">
        <f t="shared" si="205"/>
        <v>864</v>
      </c>
      <c r="C865" s="17">
        <f t="shared" si="206"/>
        <v>30</v>
      </c>
      <c r="D865" s="17" t="str">
        <f t="shared" si="204"/>
        <v>20120413</v>
      </c>
      <c r="E865" s="20" t="str">
        <f t="shared" si="199"/>
        <v>20120413030</v>
      </c>
      <c r="F865" s="19">
        <v>20</v>
      </c>
      <c r="G865" s="19">
        <v>9</v>
      </c>
      <c r="H865" s="19">
        <v>35</v>
      </c>
      <c r="I865" s="19">
        <v>4</v>
      </c>
      <c r="J865" s="19">
        <v>1</v>
      </c>
      <c r="K865" s="19">
        <v>25</v>
      </c>
      <c r="L865" s="19">
        <v>43</v>
      </c>
      <c r="M865" s="19">
        <f t="shared" si="202"/>
        <v>137</v>
      </c>
      <c r="N865" s="27">
        <f t="shared" si="203"/>
        <v>41012</v>
      </c>
    </row>
    <row r="866" spans="1:14" x14ac:dyDescent="0.25">
      <c r="A866" s="15">
        <f t="shared" si="201"/>
        <v>2</v>
      </c>
      <c r="B866" s="20">
        <f t="shared" si="205"/>
        <v>865</v>
      </c>
      <c r="C866" s="17">
        <f t="shared" si="206"/>
        <v>31</v>
      </c>
      <c r="D866" s="17" t="str">
        <f t="shared" si="204"/>
        <v>20120417</v>
      </c>
      <c r="E866" s="20" t="str">
        <f t="shared" si="199"/>
        <v>20120417031</v>
      </c>
      <c r="F866" s="19">
        <v>23</v>
      </c>
      <c r="G866" s="19">
        <v>26</v>
      </c>
      <c r="H866" s="19">
        <v>43</v>
      </c>
      <c r="I866" s="19">
        <v>31</v>
      </c>
      <c r="J866" s="19">
        <v>19</v>
      </c>
      <c r="K866" s="19">
        <v>25</v>
      </c>
      <c r="L866" s="19">
        <v>10</v>
      </c>
      <c r="M866" s="19">
        <f t="shared" si="202"/>
        <v>177</v>
      </c>
      <c r="N866" s="27">
        <f t="shared" si="200"/>
        <v>41016</v>
      </c>
    </row>
    <row r="867" spans="1:14" x14ac:dyDescent="0.25">
      <c r="A867" s="15">
        <f t="shared" si="201"/>
        <v>5</v>
      </c>
      <c r="B867" s="20">
        <f t="shared" si="205"/>
        <v>866</v>
      </c>
      <c r="C867" s="17">
        <f t="shared" si="206"/>
        <v>32</v>
      </c>
      <c r="D867" s="17" t="str">
        <f t="shared" si="204"/>
        <v>20120420</v>
      </c>
      <c r="E867" s="20" t="str">
        <f t="shared" si="199"/>
        <v>20120420032</v>
      </c>
      <c r="F867" s="19">
        <v>48</v>
      </c>
      <c r="G867" s="19">
        <v>25</v>
      </c>
      <c r="H867" s="19">
        <v>44</v>
      </c>
      <c r="I867" s="19">
        <v>3</v>
      </c>
      <c r="J867" s="19">
        <v>2</v>
      </c>
      <c r="K867" s="19">
        <v>45</v>
      </c>
      <c r="L867" s="19">
        <v>31</v>
      </c>
      <c r="M867" s="19">
        <f t="shared" si="202"/>
        <v>198</v>
      </c>
      <c r="N867" s="27">
        <f t="shared" si="203"/>
        <v>41019</v>
      </c>
    </row>
    <row r="868" spans="1:14" x14ac:dyDescent="0.25">
      <c r="A868" s="15">
        <f t="shared" si="201"/>
        <v>2</v>
      </c>
      <c r="B868" s="20">
        <f t="shared" si="205"/>
        <v>867</v>
      </c>
      <c r="C868" s="17">
        <f t="shared" si="206"/>
        <v>33</v>
      </c>
      <c r="D868" s="17" t="str">
        <f t="shared" si="204"/>
        <v>20120424</v>
      </c>
      <c r="E868" s="20" t="str">
        <f t="shared" si="199"/>
        <v>20120424033</v>
      </c>
      <c r="F868" s="19">
        <v>39</v>
      </c>
      <c r="G868" s="19">
        <v>47</v>
      </c>
      <c r="H868" s="19">
        <v>9</v>
      </c>
      <c r="I868" s="19">
        <v>21</v>
      </c>
      <c r="J868" s="19">
        <v>19</v>
      </c>
      <c r="K868" s="19">
        <v>14</v>
      </c>
      <c r="L868" s="19">
        <v>11</v>
      </c>
      <c r="M868" s="19">
        <f t="shared" si="202"/>
        <v>160</v>
      </c>
      <c r="N868" s="27">
        <f t="shared" si="200"/>
        <v>41023</v>
      </c>
    </row>
    <row r="869" spans="1:14" x14ac:dyDescent="0.25">
      <c r="A869" s="15">
        <f t="shared" si="201"/>
        <v>5</v>
      </c>
      <c r="B869" s="20">
        <f t="shared" si="205"/>
        <v>868</v>
      </c>
      <c r="C869" s="17">
        <f t="shared" si="206"/>
        <v>34</v>
      </c>
      <c r="D869" s="17" t="str">
        <f t="shared" si="204"/>
        <v>20120427</v>
      </c>
      <c r="E869" s="20" t="str">
        <f t="shared" si="199"/>
        <v>20120427034</v>
      </c>
      <c r="F869" s="19">
        <v>35</v>
      </c>
      <c r="G869" s="19">
        <v>40</v>
      </c>
      <c r="H869" s="19">
        <v>45</v>
      </c>
      <c r="I869" s="19">
        <v>22</v>
      </c>
      <c r="J869" s="19">
        <v>13</v>
      </c>
      <c r="K869" s="19">
        <v>24</v>
      </c>
      <c r="L869" s="19">
        <v>37</v>
      </c>
      <c r="M869" s="19">
        <f t="shared" si="202"/>
        <v>216</v>
      </c>
      <c r="N869" s="27">
        <f t="shared" si="203"/>
        <v>41026</v>
      </c>
    </row>
    <row r="870" spans="1:14" x14ac:dyDescent="0.25">
      <c r="A870" s="15">
        <f t="shared" si="201"/>
        <v>2</v>
      </c>
      <c r="B870" s="20">
        <f t="shared" si="205"/>
        <v>869</v>
      </c>
      <c r="C870" s="17">
        <f t="shared" si="206"/>
        <v>35</v>
      </c>
      <c r="D870" s="17" t="str">
        <f t="shared" si="204"/>
        <v>20120501</v>
      </c>
      <c r="E870" s="20" t="str">
        <f t="shared" si="199"/>
        <v>20120501035</v>
      </c>
      <c r="F870" s="19">
        <v>7</v>
      </c>
      <c r="G870" s="19">
        <v>43</v>
      </c>
      <c r="H870" s="19">
        <v>21</v>
      </c>
      <c r="I870" s="19">
        <v>22</v>
      </c>
      <c r="J870" s="19">
        <v>5</v>
      </c>
      <c r="K870" s="19">
        <v>31</v>
      </c>
      <c r="L870" s="19">
        <v>4</v>
      </c>
      <c r="M870" s="19">
        <f t="shared" si="202"/>
        <v>133</v>
      </c>
      <c r="N870" s="27">
        <f t="shared" si="200"/>
        <v>41030</v>
      </c>
    </row>
    <row r="871" spans="1:14" x14ac:dyDescent="0.25">
      <c r="A871" s="15">
        <f t="shared" si="201"/>
        <v>5</v>
      </c>
      <c r="B871" s="20">
        <f t="shared" si="205"/>
        <v>870</v>
      </c>
      <c r="C871" s="17">
        <f t="shared" si="206"/>
        <v>36</v>
      </c>
      <c r="D871" s="17" t="str">
        <f t="shared" si="204"/>
        <v>20120504</v>
      </c>
      <c r="E871" s="20" t="str">
        <f t="shared" si="199"/>
        <v>20120504036</v>
      </c>
      <c r="F871" s="19">
        <v>17</v>
      </c>
      <c r="G871" s="19">
        <v>31</v>
      </c>
      <c r="H871" s="19">
        <v>23</v>
      </c>
      <c r="I871" s="19">
        <v>39</v>
      </c>
      <c r="J871" s="19">
        <v>4</v>
      </c>
      <c r="K871" s="19">
        <v>11</v>
      </c>
      <c r="L871" s="19">
        <v>14</v>
      </c>
      <c r="M871" s="19">
        <f t="shared" si="202"/>
        <v>139</v>
      </c>
      <c r="N871" s="27">
        <f t="shared" si="203"/>
        <v>41033</v>
      </c>
    </row>
    <row r="872" spans="1:14" x14ac:dyDescent="0.25">
      <c r="A872" s="15">
        <f t="shared" si="201"/>
        <v>2</v>
      </c>
      <c r="B872" s="20">
        <f t="shared" si="205"/>
        <v>871</v>
      </c>
      <c r="C872" s="17">
        <f t="shared" si="206"/>
        <v>37</v>
      </c>
      <c r="D872" s="17" t="str">
        <f t="shared" si="204"/>
        <v>20120508</v>
      </c>
      <c r="E872" s="20" t="str">
        <f t="shared" si="199"/>
        <v>20120508037</v>
      </c>
      <c r="F872" s="19">
        <v>6</v>
      </c>
      <c r="G872" s="19">
        <v>29</v>
      </c>
      <c r="H872" s="19">
        <v>23</v>
      </c>
      <c r="I872" s="19">
        <v>30</v>
      </c>
      <c r="J872" s="19">
        <v>25</v>
      </c>
      <c r="K872" s="19">
        <v>24</v>
      </c>
      <c r="L872" s="19">
        <v>47</v>
      </c>
      <c r="M872" s="19">
        <f t="shared" si="202"/>
        <v>184</v>
      </c>
      <c r="N872" s="27">
        <f t="shared" si="200"/>
        <v>41037</v>
      </c>
    </row>
    <row r="873" spans="1:14" x14ac:dyDescent="0.25">
      <c r="A873" s="15">
        <f t="shared" si="201"/>
        <v>5</v>
      </c>
      <c r="B873" s="20">
        <f t="shared" si="205"/>
        <v>872</v>
      </c>
      <c r="C873" s="17">
        <f t="shared" si="206"/>
        <v>38</v>
      </c>
      <c r="D873" s="17" t="str">
        <f t="shared" si="204"/>
        <v>20120511</v>
      </c>
      <c r="E873" s="20" t="str">
        <f t="shared" si="199"/>
        <v>20120511038</v>
      </c>
      <c r="F873" s="19">
        <v>37</v>
      </c>
      <c r="G873" s="19">
        <v>30</v>
      </c>
      <c r="H873" s="19">
        <v>33</v>
      </c>
      <c r="I873" s="19">
        <v>22</v>
      </c>
      <c r="J873" s="19">
        <v>10</v>
      </c>
      <c r="K873" s="19">
        <v>29</v>
      </c>
      <c r="L873" s="19">
        <v>27</v>
      </c>
      <c r="M873" s="19">
        <f t="shared" si="202"/>
        <v>188</v>
      </c>
      <c r="N873" s="27">
        <f t="shared" si="203"/>
        <v>41040</v>
      </c>
    </row>
    <row r="874" spans="1:14" x14ac:dyDescent="0.25">
      <c r="A874" s="15">
        <f t="shared" si="201"/>
        <v>2</v>
      </c>
      <c r="B874" s="20">
        <f t="shared" si="205"/>
        <v>873</v>
      </c>
      <c r="C874" s="17">
        <f t="shared" si="206"/>
        <v>39</v>
      </c>
      <c r="D874" s="17" t="str">
        <f t="shared" si="204"/>
        <v>20120515</v>
      </c>
      <c r="E874" s="20" t="str">
        <f t="shared" si="199"/>
        <v>20120515039</v>
      </c>
      <c r="F874" s="19">
        <v>44</v>
      </c>
      <c r="G874" s="19">
        <v>35</v>
      </c>
      <c r="H874" s="19">
        <v>30</v>
      </c>
      <c r="I874" s="19">
        <v>49</v>
      </c>
      <c r="J874" s="19">
        <v>47</v>
      </c>
      <c r="K874" s="19">
        <v>1</v>
      </c>
      <c r="L874" s="19">
        <v>46</v>
      </c>
      <c r="M874" s="19">
        <f t="shared" si="202"/>
        <v>252</v>
      </c>
      <c r="N874" s="27">
        <f t="shared" si="200"/>
        <v>41044</v>
      </c>
    </row>
    <row r="875" spans="1:14" x14ac:dyDescent="0.25">
      <c r="A875" s="15">
        <f t="shared" si="201"/>
        <v>5</v>
      </c>
      <c r="B875" s="20">
        <f t="shared" si="205"/>
        <v>874</v>
      </c>
      <c r="C875" s="17">
        <f t="shared" si="206"/>
        <v>40</v>
      </c>
      <c r="D875" s="17" t="str">
        <f t="shared" si="204"/>
        <v>20120518</v>
      </c>
      <c r="E875" s="20" t="str">
        <f t="shared" si="199"/>
        <v>20120518040</v>
      </c>
      <c r="F875" s="19">
        <v>13</v>
      </c>
      <c r="G875" s="19">
        <v>31</v>
      </c>
      <c r="H875" s="19">
        <v>23</v>
      </c>
      <c r="I875" s="19">
        <v>46</v>
      </c>
      <c r="J875" s="19">
        <v>25</v>
      </c>
      <c r="K875" s="19">
        <v>39</v>
      </c>
      <c r="L875" s="19">
        <v>41</v>
      </c>
      <c r="M875" s="19">
        <f t="shared" si="202"/>
        <v>218</v>
      </c>
      <c r="N875" s="27">
        <f t="shared" si="203"/>
        <v>41047</v>
      </c>
    </row>
    <row r="876" spans="1:14" x14ac:dyDescent="0.25">
      <c r="A876" s="15">
        <f t="shared" si="201"/>
        <v>2</v>
      </c>
      <c r="B876" s="20">
        <f t="shared" si="205"/>
        <v>875</v>
      </c>
      <c r="C876" s="17">
        <f t="shared" si="206"/>
        <v>41</v>
      </c>
      <c r="D876" s="17" t="str">
        <f t="shared" si="204"/>
        <v>20120522</v>
      </c>
      <c r="E876" s="20" t="str">
        <f t="shared" si="199"/>
        <v>20120522041</v>
      </c>
      <c r="F876" s="19">
        <v>13</v>
      </c>
      <c r="G876" s="19">
        <v>1</v>
      </c>
      <c r="H876" s="19">
        <v>28</v>
      </c>
      <c r="I876" s="19">
        <v>18</v>
      </c>
      <c r="J876" s="19">
        <v>8</v>
      </c>
      <c r="K876" s="19">
        <v>49</v>
      </c>
      <c r="L876" s="19">
        <v>6</v>
      </c>
      <c r="M876" s="19">
        <f t="shared" si="202"/>
        <v>123</v>
      </c>
      <c r="N876" s="27">
        <f t="shared" si="200"/>
        <v>41051</v>
      </c>
    </row>
    <row r="877" spans="1:14" x14ac:dyDescent="0.25">
      <c r="A877" s="15">
        <f t="shared" si="201"/>
        <v>5</v>
      </c>
      <c r="B877" s="20">
        <f t="shared" si="205"/>
        <v>876</v>
      </c>
      <c r="C877" s="17">
        <f t="shared" si="206"/>
        <v>42</v>
      </c>
      <c r="D877" s="17" t="str">
        <f t="shared" si="204"/>
        <v>20120525</v>
      </c>
      <c r="E877" s="20" t="str">
        <f t="shared" si="199"/>
        <v>20120525042</v>
      </c>
      <c r="F877" s="19">
        <v>1</v>
      </c>
      <c r="G877" s="19">
        <v>22</v>
      </c>
      <c r="H877" s="19">
        <v>33</v>
      </c>
      <c r="I877" s="19">
        <v>40</v>
      </c>
      <c r="J877" s="19">
        <v>26</v>
      </c>
      <c r="K877" s="19">
        <v>17</v>
      </c>
      <c r="L877" s="19">
        <v>11</v>
      </c>
      <c r="M877" s="19">
        <f t="shared" si="202"/>
        <v>150</v>
      </c>
      <c r="N877" s="27">
        <f t="shared" si="203"/>
        <v>41054</v>
      </c>
    </row>
    <row r="878" spans="1:14" x14ac:dyDescent="0.25">
      <c r="A878" s="15">
        <f t="shared" si="201"/>
        <v>2</v>
      </c>
      <c r="B878" s="20">
        <f t="shared" si="205"/>
        <v>877</v>
      </c>
      <c r="C878" s="17">
        <f t="shared" si="206"/>
        <v>43</v>
      </c>
      <c r="D878" s="17" t="str">
        <f t="shared" si="204"/>
        <v>20120529</v>
      </c>
      <c r="E878" s="20" t="str">
        <f t="shared" si="199"/>
        <v>20120529043</v>
      </c>
      <c r="F878" s="19">
        <v>49</v>
      </c>
      <c r="G878" s="19">
        <v>46</v>
      </c>
      <c r="H878" s="19">
        <v>38</v>
      </c>
      <c r="I878" s="19">
        <v>5</v>
      </c>
      <c r="J878" s="19">
        <v>22</v>
      </c>
      <c r="K878" s="19">
        <v>43</v>
      </c>
      <c r="L878" s="19">
        <v>13</v>
      </c>
      <c r="M878" s="19">
        <f t="shared" si="202"/>
        <v>216</v>
      </c>
      <c r="N878" s="27">
        <f t="shared" si="200"/>
        <v>41058</v>
      </c>
    </row>
    <row r="879" spans="1:14" x14ac:dyDescent="0.25">
      <c r="A879" s="15">
        <f t="shared" si="201"/>
        <v>5</v>
      </c>
      <c r="B879" s="20">
        <f t="shared" si="205"/>
        <v>878</v>
      </c>
      <c r="C879" s="17">
        <f t="shared" si="206"/>
        <v>44</v>
      </c>
      <c r="D879" s="17" t="str">
        <f t="shared" si="204"/>
        <v>20120601</v>
      </c>
      <c r="E879" s="20" t="str">
        <f t="shared" si="199"/>
        <v>20120601044</v>
      </c>
      <c r="F879" s="19">
        <v>4</v>
      </c>
      <c r="G879" s="19">
        <v>44</v>
      </c>
      <c r="H879" s="19">
        <v>39</v>
      </c>
      <c r="I879" s="19">
        <v>34</v>
      </c>
      <c r="J879" s="19">
        <v>18</v>
      </c>
      <c r="K879" s="19">
        <v>31</v>
      </c>
      <c r="L879" s="19">
        <v>49</v>
      </c>
      <c r="M879" s="19">
        <f t="shared" si="202"/>
        <v>219</v>
      </c>
      <c r="N879" s="27">
        <f t="shared" si="203"/>
        <v>41061</v>
      </c>
    </row>
    <row r="880" spans="1:14" x14ac:dyDescent="0.25">
      <c r="A880" s="15">
        <f t="shared" si="201"/>
        <v>2</v>
      </c>
      <c r="B880" s="20">
        <f t="shared" si="205"/>
        <v>879</v>
      </c>
      <c r="C880" s="17">
        <f t="shared" si="206"/>
        <v>45</v>
      </c>
      <c r="D880" s="17" t="str">
        <f t="shared" si="204"/>
        <v>20120605</v>
      </c>
      <c r="E880" s="20" t="str">
        <f t="shared" si="199"/>
        <v>20120605045</v>
      </c>
      <c r="F880" s="19">
        <v>11</v>
      </c>
      <c r="G880" s="19">
        <v>49</v>
      </c>
      <c r="H880" s="19">
        <v>16</v>
      </c>
      <c r="I880" s="19">
        <v>40</v>
      </c>
      <c r="J880" s="19">
        <v>13</v>
      </c>
      <c r="K880" s="19">
        <v>35</v>
      </c>
      <c r="L880" s="19">
        <v>39</v>
      </c>
      <c r="M880" s="19">
        <f t="shared" si="202"/>
        <v>203</v>
      </c>
      <c r="N880" s="27">
        <f t="shared" si="200"/>
        <v>41065</v>
      </c>
    </row>
    <row r="881" spans="1:14" x14ac:dyDescent="0.25">
      <c r="A881" s="15">
        <f t="shared" si="201"/>
        <v>5</v>
      </c>
      <c r="B881" s="20">
        <f t="shared" si="205"/>
        <v>880</v>
      </c>
      <c r="C881" s="17">
        <f t="shared" si="206"/>
        <v>46</v>
      </c>
      <c r="D881" s="17" t="str">
        <f t="shared" si="204"/>
        <v>20120608</v>
      </c>
      <c r="E881" s="20" t="str">
        <f t="shared" si="199"/>
        <v>20120608046</v>
      </c>
      <c r="F881" s="19">
        <v>49</v>
      </c>
      <c r="G881" s="19">
        <v>46</v>
      </c>
      <c r="H881" s="19">
        <v>45</v>
      </c>
      <c r="I881" s="19">
        <v>24</v>
      </c>
      <c r="J881" s="19">
        <v>9</v>
      </c>
      <c r="K881" s="19">
        <v>1</v>
      </c>
      <c r="L881" s="19">
        <v>12</v>
      </c>
      <c r="M881" s="19">
        <f t="shared" si="202"/>
        <v>186</v>
      </c>
      <c r="N881" s="27">
        <f t="shared" si="203"/>
        <v>41068</v>
      </c>
    </row>
    <row r="882" spans="1:14" x14ac:dyDescent="0.25">
      <c r="A882" s="15">
        <f t="shared" si="201"/>
        <v>2</v>
      </c>
      <c r="B882" s="20">
        <f t="shared" si="205"/>
        <v>881</v>
      </c>
      <c r="C882" s="17">
        <f t="shared" si="206"/>
        <v>47</v>
      </c>
      <c r="D882" s="17" t="str">
        <f t="shared" si="204"/>
        <v>20120612</v>
      </c>
      <c r="E882" s="20" t="str">
        <f t="shared" si="199"/>
        <v>20120612047</v>
      </c>
      <c r="F882" s="19">
        <v>29</v>
      </c>
      <c r="G882" s="19">
        <v>21</v>
      </c>
      <c r="H882" s="19">
        <v>40</v>
      </c>
      <c r="I882" s="19">
        <v>35</v>
      </c>
      <c r="J882" s="19">
        <v>3</v>
      </c>
      <c r="K882" s="19">
        <v>33</v>
      </c>
      <c r="L882" s="19">
        <v>45</v>
      </c>
      <c r="M882" s="19">
        <f t="shared" si="202"/>
        <v>206</v>
      </c>
      <c r="N882" s="27">
        <f t="shared" si="200"/>
        <v>41072</v>
      </c>
    </row>
    <row r="883" spans="1:14" x14ac:dyDescent="0.25">
      <c r="A883" s="15">
        <f t="shared" si="201"/>
        <v>5</v>
      </c>
      <c r="B883" s="20">
        <f t="shared" si="205"/>
        <v>882</v>
      </c>
      <c r="C883" s="17">
        <f t="shared" si="206"/>
        <v>48</v>
      </c>
      <c r="D883" s="17" t="str">
        <f t="shared" si="204"/>
        <v>20120615</v>
      </c>
      <c r="E883" s="20" t="str">
        <f t="shared" si="199"/>
        <v>20120615048</v>
      </c>
      <c r="F883" s="19">
        <v>47</v>
      </c>
      <c r="G883" s="19">
        <v>23</v>
      </c>
      <c r="H883" s="19">
        <v>15</v>
      </c>
      <c r="I883" s="19">
        <v>9</v>
      </c>
      <c r="J883" s="19">
        <v>38</v>
      </c>
      <c r="K883" s="19">
        <v>49</v>
      </c>
      <c r="L883" s="19">
        <v>36</v>
      </c>
      <c r="M883" s="19">
        <f t="shared" si="202"/>
        <v>217</v>
      </c>
      <c r="N883" s="27">
        <f t="shared" si="203"/>
        <v>41075</v>
      </c>
    </row>
    <row r="884" spans="1:14" x14ac:dyDescent="0.25">
      <c r="A884" s="15">
        <f t="shared" si="201"/>
        <v>2</v>
      </c>
      <c r="B884" s="20">
        <f t="shared" si="205"/>
        <v>883</v>
      </c>
      <c r="C884" s="17">
        <f t="shared" si="206"/>
        <v>49</v>
      </c>
      <c r="D884" s="17" t="str">
        <f t="shared" si="204"/>
        <v>20120619</v>
      </c>
      <c r="E884" s="20" t="str">
        <f t="shared" si="199"/>
        <v>20120619049</v>
      </c>
      <c r="F884" s="19">
        <v>26</v>
      </c>
      <c r="G884" s="19">
        <v>5</v>
      </c>
      <c r="H884" s="19">
        <v>19</v>
      </c>
      <c r="I884" s="19">
        <v>1</v>
      </c>
      <c r="J884" s="19">
        <v>46</v>
      </c>
      <c r="K884" s="19">
        <v>17</v>
      </c>
      <c r="L884" s="19">
        <v>47</v>
      </c>
      <c r="M884" s="19">
        <f t="shared" si="202"/>
        <v>161</v>
      </c>
      <c r="N884" s="27">
        <f t="shared" si="200"/>
        <v>41079</v>
      </c>
    </row>
    <row r="885" spans="1:14" x14ac:dyDescent="0.25">
      <c r="A885" s="15">
        <f t="shared" si="201"/>
        <v>5</v>
      </c>
      <c r="B885" s="20">
        <f t="shared" si="205"/>
        <v>884</v>
      </c>
      <c r="C885" s="17">
        <f t="shared" si="206"/>
        <v>50</v>
      </c>
      <c r="D885" s="17" t="str">
        <f t="shared" si="204"/>
        <v>20120622</v>
      </c>
      <c r="E885" s="20" t="str">
        <f t="shared" si="199"/>
        <v>20120622050</v>
      </c>
      <c r="F885" s="19">
        <v>28</v>
      </c>
      <c r="G885" s="19">
        <v>36</v>
      </c>
      <c r="H885" s="19">
        <v>24</v>
      </c>
      <c r="I885" s="19">
        <v>6</v>
      </c>
      <c r="J885" s="19">
        <v>44</v>
      </c>
      <c r="K885" s="19">
        <v>38</v>
      </c>
      <c r="L885" s="19">
        <v>8</v>
      </c>
      <c r="M885" s="19">
        <f t="shared" si="202"/>
        <v>184</v>
      </c>
      <c r="N885" s="27">
        <f t="shared" si="203"/>
        <v>41082</v>
      </c>
    </row>
    <row r="886" spans="1:14" x14ac:dyDescent="0.25">
      <c r="A886" s="15">
        <f t="shared" si="201"/>
        <v>2</v>
      </c>
      <c r="B886" s="20">
        <f t="shared" si="205"/>
        <v>885</v>
      </c>
      <c r="C886" s="17">
        <f t="shared" si="206"/>
        <v>51</v>
      </c>
      <c r="D886" s="17" t="str">
        <f t="shared" si="204"/>
        <v>20120626</v>
      </c>
      <c r="E886" s="20" t="str">
        <f t="shared" si="199"/>
        <v>20120626051</v>
      </c>
      <c r="F886" s="19">
        <v>1</v>
      </c>
      <c r="G886" s="19">
        <v>7</v>
      </c>
      <c r="H886" s="19">
        <v>16</v>
      </c>
      <c r="I886" s="19">
        <v>41</v>
      </c>
      <c r="J886" s="19">
        <v>6</v>
      </c>
      <c r="K886" s="19">
        <v>12</v>
      </c>
      <c r="L886" s="19">
        <v>49</v>
      </c>
      <c r="M886" s="19">
        <f t="shared" si="202"/>
        <v>132</v>
      </c>
      <c r="N886" s="27">
        <f t="shared" si="200"/>
        <v>41086</v>
      </c>
    </row>
    <row r="887" spans="1:14" x14ac:dyDescent="0.25">
      <c r="A887" s="15">
        <f t="shared" si="201"/>
        <v>5</v>
      </c>
      <c r="B887" s="20">
        <f t="shared" si="205"/>
        <v>886</v>
      </c>
      <c r="C887" s="17">
        <f t="shared" si="206"/>
        <v>52</v>
      </c>
      <c r="D887" s="17" t="str">
        <f t="shared" si="204"/>
        <v>20120629</v>
      </c>
      <c r="E887" s="20" t="str">
        <f t="shared" si="199"/>
        <v>20120629052</v>
      </c>
      <c r="F887" s="19">
        <v>9</v>
      </c>
      <c r="G887" s="19">
        <v>30</v>
      </c>
      <c r="H887" s="19">
        <v>36</v>
      </c>
      <c r="I887" s="19">
        <v>11</v>
      </c>
      <c r="J887" s="19">
        <v>39</v>
      </c>
      <c r="K887" s="19">
        <v>45</v>
      </c>
      <c r="L887" s="19">
        <v>26</v>
      </c>
      <c r="M887" s="19">
        <f t="shared" si="202"/>
        <v>196</v>
      </c>
      <c r="N887" s="27">
        <f t="shared" si="203"/>
        <v>41089</v>
      </c>
    </row>
    <row r="888" spans="1:14" x14ac:dyDescent="0.25">
      <c r="A888" s="15">
        <f t="shared" si="201"/>
        <v>2</v>
      </c>
      <c r="B888" s="20">
        <f t="shared" si="205"/>
        <v>887</v>
      </c>
      <c r="C888" s="17">
        <f t="shared" si="206"/>
        <v>53</v>
      </c>
      <c r="D888" s="17" t="str">
        <f t="shared" si="204"/>
        <v>20120703</v>
      </c>
      <c r="E888" s="20" t="str">
        <f t="shared" si="199"/>
        <v>20120703053</v>
      </c>
      <c r="F888" s="19">
        <v>49</v>
      </c>
      <c r="G888" s="19">
        <v>41</v>
      </c>
      <c r="H888" s="19">
        <v>34</v>
      </c>
      <c r="I888" s="19">
        <v>11</v>
      </c>
      <c r="J888" s="19">
        <v>18</v>
      </c>
      <c r="K888" s="19">
        <v>21</v>
      </c>
      <c r="L888" s="19">
        <v>47</v>
      </c>
      <c r="M888" s="19">
        <f t="shared" si="202"/>
        <v>221</v>
      </c>
      <c r="N888" s="27">
        <f t="shared" si="200"/>
        <v>41093</v>
      </c>
    </row>
    <row r="889" spans="1:14" x14ac:dyDescent="0.25">
      <c r="A889" s="15">
        <f t="shared" si="201"/>
        <v>5</v>
      </c>
      <c r="B889" s="20">
        <f t="shared" si="205"/>
        <v>888</v>
      </c>
      <c r="C889" s="17">
        <f t="shared" si="206"/>
        <v>54</v>
      </c>
      <c r="D889" s="17" t="str">
        <f t="shared" si="204"/>
        <v>20120706</v>
      </c>
      <c r="E889" s="20" t="str">
        <f t="shared" si="199"/>
        <v>20120706054</v>
      </c>
      <c r="F889" s="19">
        <v>18</v>
      </c>
      <c r="G889" s="19">
        <v>31</v>
      </c>
      <c r="H889" s="19">
        <v>4</v>
      </c>
      <c r="I889" s="19">
        <v>11</v>
      </c>
      <c r="J889" s="19">
        <v>27</v>
      </c>
      <c r="K889" s="19">
        <v>19</v>
      </c>
      <c r="L889" s="19">
        <v>24</v>
      </c>
      <c r="M889" s="19">
        <f t="shared" si="202"/>
        <v>134</v>
      </c>
      <c r="N889" s="27">
        <f t="shared" si="203"/>
        <v>41096</v>
      </c>
    </row>
    <row r="890" spans="1:14" x14ac:dyDescent="0.25">
      <c r="A890" s="15">
        <f t="shared" si="201"/>
        <v>2</v>
      </c>
      <c r="B890" s="20">
        <f t="shared" si="205"/>
        <v>889</v>
      </c>
      <c r="C890" s="17">
        <f t="shared" si="206"/>
        <v>55</v>
      </c>
      <c r="D890" s="17" t="str">
        <f t="shared" si="204"/>
        <v>20120710</v>
      </c>
      <c r="E890" s="20" t="str">
        <f t="shared" si="199"/>
        <v>20120710055</v>
      </c>
      <c r="F890" s="19">
        <v>16</v>
      </c>
      <c r="G890" s="19">
        <v>41</v>
      </c>
      <c r="H890" s="19">
        <v>3</v>
      </c>
      <c r="I890" s="19">
        <v>26</v>
      </c>
      <c r="J890" s="19">
        <v>31</v>
      </c>
      <c r="K890" s="19">
        <v>28</v>
      </c>
      <c r="L890" s="19">
        <v>45</v>
      </c>
      <c r="M890" s="19">
        <f t="shared" si="202"/>
        <v>190</v>
      </c>
      <c r="N890" s="27">
        <f t="shared" si="200"/>
        <v>41100</v>
      </c>
    </row>
    <row r="891" spans="1:14" x14ac:dyDescent="0.25">
      <c r="A891" s="15">
        <f t="shared" si="201"/>
        <v>5</v>
      </c>
      <c r="B891" s="20">
        <f t="shared" si="205"/>
        <v>890</v>
      </c>
      <c r="C891" s="17">
        <f t="shared" si="206"/>
        <v>56</v>
      </c>
      <c r="D891" s="17" t="str">
        <f t="shared" si="204"/>
        <v>20120713</v>
      </c>
      <c r="E891" s="20" t="str">
        <f t="shared" si="199"/>
        <v>20120713056</v>
      </c>
      <c r="F891" s="19">
        <v>46</v>
      </c>
      <c r="G891" s="19">
        <v>15</v>
      </c>
      <c r="H891" s="19">
        <v>28</v>
      </c>
      <c r="I891" s="19">
        <v>8</v>
      </c>
      <c r="J891" s="19">
        <v>35</v>
      </c>
      <c r="K891" s="19">
        <v>41</v>
      </c>
      <c r="L891" s="19">
        <v>11</v>
      </c>
      <c r="M891" s="19">
        <f t="shared" si="202"/>
        <v>184</v>
      </c>
      <c r="N891" s="27">
        <f t="shared" si="203"/>
        <v>41103</v>
      </c>
    </row>
    <row r="892" spans="1:14" x14ac:dyDescent="0.25">
      <c r="A892" s="15">
        <f t="shared" si="201"/>
        <v>2</v>
      </c>
      <c r="B892" s="20">
        <f t="shared" si="205"/>
        <v>891</v>
      </c>
      <c r="C892" s="17">
        <f t="shared" si="206"/>
        <v>57</v>
      </c>
      <c r="D892" s="17" t="str">
        <f t="shared" si="204"/>
        <v>20120717</v>
      </c>
      <c r="E892" s="20" t="str">
        <f t="shared" si="199"/>
        <v>20120717057</v>
      </c>
      <c r="F892" s="19">
        <v>25</v>
      </c>
      <c r="G892" s="19">
        <v>30</v>
      </c>
      <c r="H892" s="19">
        <v>37</v>
      </c>
      <c r="I892" s="19">
        <v>19</v>
      </c>
      <c r="J892" s="19">
        <v>17</v>
      </c>
      <c r="K892" s="19">
        <v>22</v>
      </c>
      <c r="L892" s="19">
        <v>31</v>
      </c>
      <c r="M892" s="19">
        <f t="shared" si="202"/>
        <v>181</v>
      </c>
      <c r="N892" s="27">
        <f t="shared" si="200"/>
        <v>41107</v>
      </c>
    </row>
    <row r="893" spans="1:14" x14ac:dyDescent="0.25">
      <c r="A893" s="15">
        <f t="shared" si="201"/>
        <v>5</v>
      </c>
      <c r="B893" s="20">
        <f t="shared" si="205"/>
        <v>892</v>
      </c>
      <c r="C893" s="17">
        <f t="shared" si="206"/>
        <v>58</v>
      </c>
      <c r="D893" s="17" t="str">
        <f t="shared" si="204"/>
        <v>20120720</v>
      </c>
      <c r="E893" s="20" t="str">
        <f t="shared" si="199"/>
        <v>20120720058</v>
      </c>
      <c r="F893" s="19">
        <v>11</v>
      </c>
      <c r="G893" s="19">
        <v>14</v>
      </c>
      <c r="H893" s="19">
        <v>22</v>
      </c>
      <c r="I893" s="19">
        <v>34</v>
      </c>
      <c r="J893" s="19">
        <v>41</v>
      </c>
      <c r="K893" s="19">
        <v>44</v>
      </c>
      <c r="L893" s="19">
        <v>27</v>
      </c>
      <c r="M893" s="19">
        <f t="shared" si="202"/>
        <v>193</v>
      </c>
      <c r="N893" s="27">
        <f t="shared" si="203"/>
        <v>41110</v>
      </c>
    </row>
    <row r="894" spans="1:14" x14ac:dyDescent="0.25">
      <c r="A894" s="15">
        <f t="shared" si="201"/>
        <v>2</v>
      </c>
      <c r="B894" s="20">
        <f t="shared" si="205"/>
        <v>893</v>
      </c>
      <c r="C894" s="17">
        <f t="shared" si="206"/>
        <v>59</v>
      </c>
      <c r="D894" s="17" t="str">
        <f t="shared" si="204"/>
        <v>20120724</v>
      </c>
      <c r="E894" s="20" t="str">
        <f t="shared" si="199"/>
        <v>20120724059</v>
      </c>
      <c r="F894" s="19">
        <v>24</v>
      </c>
      <c r="G894" s="19">
        <v>11</v>
      </c>
      <c r="H894" s="19">
        <v>39</v>
      </c>
      <c r="I894" s="19">
        <v>5</v>
      </c>
      <c r="J894" s="19">
        <v>21</v>
      </c>
      <c r="K894" s="19">
        <v>37</v>
      </c>
      <c r="L894" s="19">
        <v>13</v>
      </c>
      <c r="M894" s="19">
        <f t="shared" si="202"/>
        <v>150</v>
      </c>
      <c r="N894" s="27">
        <f t="shared" si="200"/>
        <v>41114</v>
      </c>
    </row>
    <row r="895" spans="1:14" x14ac:dyDescent="0.25">
      <c r="A895" s="15">
        <f t="shared" si="201"/>
        <v>5</v>
      </c>
      <c r="B895" s="20">
        <f t="shared" si="205"/>
        <v>894</v>
      </c>
      <c r="C895" s="17">
        <f t="shared" si="206"/>
        <v>60</v>
      </c>
      <c r="D895" s="17" t="str">
        <f t="shared" si="204"/>
        <v>20120727</v>
      </c>
      <c r="E895" s="20" t="str">
        <f t="shared" si="199"/>
        <v>20120727060</v>
      </c>
      <c r="F895" s="19">
        <v>22</v>
      </c>
      <c r="G895" s="19">
        <v>5</v>
      </c>
      <c r="H895" s="19">
        <v>27</v>
      </c>
      <c r="I895" s="19">
        <v>7</v>
      </c>
      <c r="J895" s="19">
        <v>34</v>
      </c>
      <c r="K895" s="19">
        <v>9</v>
      </c>
      <c r="L895" s="19">
        <v>45</v>
      </c>
      <c r="M895" s="19">
        <f t="shared" si="202"/>
        <v>149</v>
      </c>
      <c r="N895" s="27">
        <f t="shared" si="203"/>
        <v>41117</v>
      </c>
    </row>
    <row r="896" spans="1:14" x14ac:dyDescent="0.25">
      <c r="A896" s="15">
        <f t="shared" si="201"/>
        <v>2</v>
      </c>
      <c r="B896" s="20">
        <f t="shared" si="205"/>
        <v>895</v>
      </c>
      <c r="C896" s="17">
        <f t="shared" si="206"/>
        <v>61</v>
      </c>
      <c r="D896" s="17" t="str">
        <f t="shared" si="204"/>
        <v>20120731</v>
      </c>
      <c r="E896" s="20" t="str">
        <f t="shared" si="199"/>
        <v>20120731061</v>
      </c>
      <c r="F896" s="19">
        <v>24</v>
      </c>
      <c r="G896" s="19">
        <v>33</v>
      </c>
      <c r="H896" s="19">
        <v>44</v>
      </c>
      <c r="I896" s="19">
        <v>28</v>
      </c>
      <c r="J896" s="19">
        <v>1</v>
      </c>
      <c r="K896" s="19">
        <v>43</v>
      </c>
      <c r="L896" s="19">
        <v>31</v>
      </c>
      <c r="M896" s="19">
        <f t="shared" si="202"/>
        <v>204</v>
      </c>
      <c r="N896" s="27">
        <f t="shared" si="200"/>
        <v>41121</v>
      </c>
    </row>
    <row r="897" spans="1:14" x14ac:dyDescent="0.25">
      <c r="A897" s="15">
        <f t="shared" si="201"/>
        <v>5</v>
      </c>
      <c r="B897" s="20">
        <f t="shared" si="205"/>
        <v>896</v>
      </c>
      <c r="C897" s="17">
        <f t="shared" si="206"/>
        <v>62</v>
      </c>
      <c r="D897" s="17" t="str">
        <f t="shared" si="204"/>
        <v>20120803</v>
      </c>
      <c r="E897" s="20" t="str">
        <f t="shared" si="199"/>
        <v>20120803062</v>
      </c>
      <c r="F897" s="19">
        <v>14</v>
      </c>
      <c r="G897" s="19">
        <v>44</v>
      </c>
      <c r="H897" s="19">
        <v>27</v>
      </c>
      <c r="I897" s="19">
        <v>13</v>
      </c>
      <c r="J897" s="19">
        <v>18</v>
      </c>
      <c r="K897" s="19">
        <v>29</v>
      </c>
      <c r="L897" s="19">
        <v>21</v>
      </c>
      <c r="M897" s="19">
        <f t="shared" si="202"/>
        <v>166</v>
      </c>
      <c r="N897" s="27">
        <f t="shared" si="203"/>
        <v>41124</v>
      </c>
    </row>
    <row r="898" spans="1:14" x14ac:dyDescent="0.25">
      <c r="A898" s="15">
        <f t="shared" si="201"/>
        <v>2</v>
      </c>
      <c r="B898" s="20">
        <f t="shared" si="205"/>
        <v>897</v>
      </c>
      <c r="C898" s="17">
        <f t="shared" si="206"/>
        <v>63</v>
      </c>
      <c r="D898" s="17" t="str">
        <f t="shared" si="204"/>
        <v>20120807</v>
      </c>
      <c r="E898" s="20" t="str">
        <f t="shared" ref="E898:E961" si="207">CONCATENATE(D898,TEXT(C898,"000"))</f>
        <v>20120807063</v>
      </c>
      <c r="F898" s="19">
        <v>12</v>
      </c>
      <c r="G898" s="19">
        <v>29</v>
      </c>
      <c r="H898" s="19">
        <v>28</v>
      </c>
      <c r="I898" s="19">
        <v>43</v>
      </c>
      <c r="J898" s="19">
        <v>47</v>
      </c>
      <c r="K898" s="19">
        <v>23</v>
      </c>
      <c r="L898" s="19">
        <v>26</v>
      </c>
      <c r="M898" s="19">
        <f t="shared" si="202"/>
        <v>208</v>
      </c>
      <c r="N898" s="27">
        <f t="shared" ref="N898:N950" si="208">N897+4</f>
        <v>41128</v>
      </c>
    </row>
    <row r="899" spans="1:14" x14ac:dyDescent="0.25">
      <c r="A899" s="15">
        <f t="shared" ref="A899:A962" si="209">WEEKDAY(N899,2)</f>
        <v>5</v>
      </c>
      <c r="B899" s="20">
        <f t="shared" si="205"/>
        <v>898</v>
      </c>
      <c r="C899" s="17">
        <f t="shared" si="206"/>
        <v>64</v>
      </c>
      <c r="D899" s="17" t="str">
        <f t="shared" si="204"/>
        <v>20120810</v>
      </c>
      <c r="E899" s="20" t="str">
        <f t="shared" si="207"/>
        <v>20120810064</v>
      </c>
      <c r="F899" s="19">
        <v>1</v>
      </c>
      <c r="G899" s="19">
        <v>24</v>
      </c>
      <c r="H899" s="19">
        <v>26</v>
      </c>
      <c r="I899" s="19">
        <v>14</v>
      </c>
      <c r="J899" s="19">
        <v>3</v>
      </c>
      <c r="K899" s="19">
        <v>45</v>
      </c>
      <c r="L899" s="19">
        <v>38</v>
      </c>
      <c r="M899" s="19">
        <f t="shared" ref="M899:M962" si="210">SUM(F899:L899)</f>
        <v>151</v>
      </c>
      <c r="N899" s="27">
        <f t="shared" ref="N899:N951" si="211">N898+3</f>
        <v>41131</v>
      </c>
    </row>
    <row r="900" spans="1:14" x14ac:dyDescent="0.25">
      <c r="A900" s="15">
        <f t="shared" si="209"/>
        <v>2</v>
      </c>
      <c r="B900" s="20">
        <f t="shared" si="205"/>
        <v>899</v>
      </c>
      <c r="C900" s="17">
        <f t="shared" si="206"/>
        <v>65</v>
      </c>
      <c r="D900" s="17" t="str">
        <f t="shared" ref="D900:D963" si="212">CONCATENATE(TEXT(YEAR(N900),"0000"),TEXT(MONTH(N900),"00"),TEXT(DAY(N900),"00"))</f>
        <v>20120814</v>
      </c>
      <c r="E900" s="20" t="str">
        <f t="shared" si="207"/>
        <v>20120814065</v>
      </c>
      <c r="F900" s="19">
        <v>19</v>
      </c>
      <c r="G900" s="19">
        <v>27</v>
      </c>
      <c r="H900" s="19">
        <v>2</v>
      </c>
      <c r="I900" s="19">
        <v>38</v>
      </c>
      <c r="J900" s="19">
        <v>31</v>
      </c>
      <c r="K900" s="19">
        <v>49</v>
      </c>
      <c r="L900" s="19">
        <v>32</v>
      </c>
      <c r="M900" s="19">
        <f t="shared" si="210"/>
        <v>198</v>
      </c>
      <c r="N900" s="27">
        <f t="shared" si="208"/>
        <v>41135</v>
      </c>
    </row>
    <row r="901" spans="1:14" x14ac:dyDescent="0.25">
      <c r="A901" s="15">
        <f t="shared" si="209"/>
        <v>5</v>
      </c>
      <c r="B901" s="20">
        <f t="shared" ref="B901:B964" si="213">B900+1</f>
        <v>900</v>
      </c>
      <c r="C901" s="17">
        <f t="shared" si="206"/>
        <v>66</v>
      </c>
      <c r="D901" s="17" t="str">
        <f t="shared" si="212"/>
        <v>20120817</v>
      </c>
      <c r="E901" s="20" t="str">
        <f t="shared" si="207"/>
        <v>20120817066</v>
      </c>
      <c r="F901" s="19">
        <v>43</v>
      </c>
      <c r="G901" s="19">
        <v>38</v>
      </c>
      <c r="H901" s="19">
        <v>39</v>
      </c>
      <c r="I901" s="19">
        <v>48</v>
      </c>
      <c r="J901" s="19">
        <v>47</v>
      </c>
      <c r="K901" s="19">
        <v>7</v>
      </c>
      <c r="L901" s="19">
        <v>29</v>
      </c>
      <c r="M901" s="19">
        <f t="shared" si="210"/>
        <v>251</v>
      </c>
      <c r="N901" s="27">
        <f t="shared" si="211"/>
        <v>41138</v>
      </c>
    </row>
    <row r="902" spans="1:14" x14ac:dyDescent="0.25">
      <c r="A902" s="15">
        <f t="shared" si="209"/>
        <v>2</v>
      </c>
      <c r="B902" s="20">
        <f t="shared" si="213"/>
        <v>901</v>
      </c>
      <c r="C902" s="17">
        <f t="shared" si="206"/>
        <v>67</v>
      </c>
      <c r="D902" s="17" t="str">
        <f t="shared" si="212"/>
        <v>20120821</v>
      </c>
      <c r="E902" s="20" t="str">
        <f t="shared" si="207"/>
        <v>20120821067</v>
      </c>
      <c r="F902" s="19">
        <v>29</v>
      </c>
      <c r="G902" s="19">
        <v>40</v>
      </c>
      <c r="H902" s="19">
        <v>46</v>
      </c>
      <c r="I902" s="19">
        <v>44</v>
      </c>
      <c r="J902" s="19">
        <v>47</v>
      </c>
      <c r="K902" s="19">
        <v>6</v>
      </c>
      <c r="L902" s="19">
        <v>33</v>
      </c>
      <c r="M902" s="19">
        <f t="shared" si="210"/>
        <v>245</v>
      </c>
      <c r="N902" s="27">
        <f t="shared" si="208"/>
        <v>41142</v>
      </c>
    </row>
    <row r="903" spans="1:14" x14ac:dyDescent="0.25">
      <c r="A903" s="15">
        <f t="shared" si="209"/>
        <v>5</v>
      </c>
      <c r="B903" s="20">
        <f t="shared" si="213"/>
        <v>902</v>
      </c>
      <c r="C903" s="17">
        <f t="shared" ref="C903:C966" si="214">C902+1</f>
        <v>68</v>
      </c>
      <c r="D903" s="17" t="str">
        <f t="shared" si="212"/>
        <v>20120824</v>
      </c>
      <c r="E903" s="20" t="str">
        <f t="shared" si="207"/>
        <v>20120824068</v>
      </c>
      <c r="F903" s="19">
        <v>35</v>
      </c>
      <c r="G903" s="19">
        <v>43</v>
      </c>
      <c r="H903" s="19">
        <v>7</v>
      </c>
      <c r="I903" s="19">
        <v>42</v>
      </c>
      <c r="J903" s="19">
        <v>34</v>
      </c>
      <c r="K903" s="19">
        <v>47</v>
      </c>
      <c r="L903" s="19">
        <v>29</v>
      </c>
      <c r="M903" s="19">
        <f t="shared" si="210"/>
        <v>237</v>
      </c>
      <c r="N903" s="27">
        <f t="shared" si="211"/>
        <v>41145</v>
      </c>
    </row>
    <row r="904" spans="1:14" x14ac:dyDescent="0.25">
      <c r="A904" s="15">
        <f t="shared" si="209"/>
        <v>2</v>
      </c>
      <c r="B904" s="20">
        <f t="shared" si="213"/>
        <v>903</v>
      </c>
      <c r="C904" s="17">
        <f t="shared" si="214"/>
        <v>69</v>
      </c>
      <c r="D904" s="17" t="str">
        <f t="shared" si="212"/>
        <v>20120828</v>
      </c>
      <c r="E904" s="20" t="str">
        <f t="shared" si="207"/>
        <v>20120828069</v>
      </c>
      <c r="F904" s="19">
        <v>6</v>
      </c>
      <c r="G904" s="19">
        <v>30</v>
      </c>
      <c r="H904" s="19">
        <v>38</v>
      </c>
      <c r="I904" s="19">
        <v>3</v>
      </c>
      <c r="J904" s="19">
        <v>41</v>
      </c>
      <c r="K904" s="19">
        <v>1</v>
      </c>
      <c r="L904" s="19">
        <v>46</v>
      </c>
      <c r="M904" s="19">
        <f t="shared" si="210"/>
        <v>165</v>
      </c>
      <c r="N904" s="27">
        <f t="shared" si="208"/>
        <v>41149</v>
      </c>
    </row>
    <row r="905" spans="1:14" x14ac:dyDescent="0.25">
      <c r="A905" s="15">
        <f t="shared" si="209"/>
        <v>5</v>
      </c>
      <c r="B905" s="20">
        <f t="shared" si="213"/>
        <v>904</v>
      </c>
      <c r="C905" s="17">
        <f t="shared" si="214"/>
        <v>70</v>
      </c>
      <c r="D905" s="17" t="str">
        <f t="shared" si="212"/>
        <v>20120831</v>
      </c>
      <c r="E905" s="20" t="str">
        <f t="shared" si="207"/>
        <v>20120831070</v>
      </c>
      <c r="F905" s="19">
        <v>28</v>
      </c>
      <c r="G905" s="19">
        <v>36</v>
      </c>
      <c r="H905" s="19">
        <v>45</v>
      </c>
      <c r="I905" s="19">
        <v>34</v>
      </c>
      <c r="J905" s="19">
        <v>31</v>
      </c>
      <c r="K905" s="19">
        <v>18</v>
      </c>
      <c r="L905" s="19">
        <v>42</v>
      </c>
      <c r="M905" s="19">
        <f t="shared" si="210"/>
        <v>234</v>
      </c>
      <c r="N905" s="27">
        <f t="shared" si="211"/>
        <v>41152</v>
      </c>
    </row>
    <row r="906" spans="1:14" x14ac:dyDescent="0.25">
      <c r="A906" s="15">
        <f t="shared" si="209"/>
        <v>2</v>
      </c>
      <c r="B906" s="20">
        <f t="shared" si="213"/>
        <v>905</v>
      </c>
      <c r="C906" s="17">
        <f t="shared" si="214"/>
        <v>71</v>
      </c>
      <c r="D906" s="17" t="str">
        <f t="shared" si="212"/>
        <v>20120904</v>
      </c>
      <c r="E906" s="20" t="str">
        <f t="shared" si="207"/>
        <v>20120904071</v>
      </c>
      <c r="F906" s="19">
        <v>32</v>
      </c>
      <c r="G906" s="19">
        <v>48</v>
      </c>
      <c r="H906" s="19">
        <v>36</v>
      </c>
      <c r="I906" s="19">
        <v>40</v>
      </c>
      <c r="J906" s="19">
        <v>10</v>
      </c>
      <c r="K906" s="19">
        <v>21</v>
      </c>
      <c r="L906" s="19">
        <v>9</v>
      </c>
      <c r="M906" s="19">
        <f t="shared" si="210"/>
        <v>196</v>
      </c>
      <c r="N906" s="27">
        <f t="shared" si="208"/>
        <v>41156</v>
      </c>
    </row>
    <row r="907" spans="1:14" x14ac:dyDescent="0.25">
      <c r="A907" s="15">
        <f t="shared" si="209"/>
        <v>5</v>
      </c>
      <c r="B907" s="20">
        <f t="shared" si="213"/>
        <v>906</v>
      </c>
      <c r="C907" s="17">
        <f t="shared" si="214"/>
        <v>72</v>
      </c>
      <c r="D907" s="17" t="str">
        <f t="shared" si="212"/>
        <v>20120907</v>
      </c>
      <c r="E907" s="20" t="str">
        <f t="shared" si="207"/>
        <v>20120907072</v>
      </c>
      <c r="F907" s="19">
        <v>19</v>
      </c>
      <c r="G907" s="19">
        <v>44</v>
      </c>
      <c r="H907" s="19">
        <v>7</v>
      </c>
      <c r="I907" s="19">
        <v>17</v>
      </c>
      <c r="J907" s="19">
        <v>24</v>
      </c>
      <c r="K907" s="19">
        <v>30</v>
      </c>
      <c r="L907" s="19">
        <v>31</v>
      </c>
      <c r="M907" s="19">
        <f t="shared" si="210"/>
        <v>172</v>
      </c>
      <c r="N907" s="27">
        <f t="shared" si="211"/>
        <v>41159</v>
      </c>
    </row>
    <row r="908" spans="1:14" x14ac:dyDescent="0.25">
      <c r="A908" s="15">
        <f t="shared" si="209"/>
        <v>2</v>
      </c>
      <c r="B908" s="20">
        <f t="shared" si="213"/>
        <v>907</v>
      </c>
      <c r="C908" s="17">
        <f t="shared" si="214"/>
        <v>73</v>
      </c>
      <c r="D908" s="17" t="str">
        <f t="shared" si="212"/>
        <v>20120911</v>
      </c>
      <c r="E908" s="20" t="str">
        <f t="shared" si="207"/>
        <v>20120911073</v>
      </c>
      <c r="F908" s="19">
        <v>21</v>
      </c>
      <c r="G908" s="19">
        <v>3</v>
      </c>
      <c r="H908" s="19">
        <v>31</v>
      </c>
      <c r="I908" s="19">
        <v>30</v>
      </c>
      <c r="J908" s="19">
        <v>48</v>
      </c>
      <c r="K908" s="19">
        <v>4</v>
      </c>
      <c r="L908" s="19">
        <v>15</v>
      </c>
      <c r="M908" s="19">
        <f t="shared" si="210"/>
        <v>152</v>
      </c>
      <c r="N908" s="27">
        <f t="shared" si="208"/>
        <v>41163</v>
      </c>
    </row>
    <row r="909" spans="1:14" x14ac:dyDescent="0.25">
      <c r="A909" s="15">
        <f t="shared" si="209"/>
        <v>5</v>
      </c>
      <c r="B909" s="20">
        <f t="shared" si="213"/>
        <v>908</v>
      </c>
      <c r="C909" s="17">
        <f t="shared" si="214"/>
        <v>74</v>
      </c>
      <c r="D909" s="17" t="str">
        <f t="shared" si="212"/>
        <v>20120914</v>
      </c>
      <c r="E909" s="20" t="str">
        <f t="shared" si="207"/>
        <v>20120914074</v>
      </c>
      <c r="F909" s="19">
        <v>32</v>
      </c>
      <c r="G909" s="19">
        <v>33</v>
      </c>
      <c r="H909" s="19">
        <v>20</v>
      </c>
      <c r="I909" s="19">
        <v>37</v>
      </c>
      <c r="J909" s="19">
        <v>38</v>
      </c>
      <c r="K909" s="19">
        <v>31</v>
      </c>
      <c r="L909" s="19">
        <v>39</v>
      </c>
      <c r="M909" s="19">
        <f t="shared" si="210"/>
        <v>230</v>
      </c>
      <c r="N909" s="27">
        <f t="shared" si="211"/>
        <v>41166</v>
      </c>
    </row>
    <row r="910" spans="1:14" x14ac:dyDescent="0.25">
      <c r="A910" s="15">
        <f t="shared" si="209"/>
        <v>2</v>
      </c>
      <c r="B910" s="20">
        <f t="shared" si="213"/>
        <v>909</v>
      </c>
      <c r="C910" s="17">
        <f t="shared" si="214"/>
        <v>75</v>
      </c>
      <c r="D910" s="17" t="str">
        <f t="shared" si="212"/>
        <v>20120918</v>
      </c>
      <c r="E910" s="20" t="str">
        <f t="shared" si="207"/>
        <v>20120918075</v>
      </c>
      <c r="F910" s="19">
        <v>48</v>
      </c>
      <c r="G910" s="19">
        <v>39</v>
      </c>
      <c r="H910" s="19">
        <v>12</v>
      </c>
      <c r="I910" s="19">
        <v>13</v>
      </c>
      <c r="J910" s="19">
        <v>18</v>
      </c>
      <c r="K910" s="19">
        <v>44</v>
      </c>
      <c r="L910" s="19">
        <v>35</v>
      </c>
      <c r="M910" s="19">
        <f t="shared" si="210"/>
        <v>209</v>
      </c>
      <c r="N910" s="27">
        <f t="shared" si="208"/>
        <v>41170</v>
      </c>
    </row>
    <row r="911" spans="1:14" x14ac:dyDescent="0.25">
      <c r="A911" s="15">
        <f t="shared" si="209"/>
        <v>5</v>
      </c>
      <c r="B911" s="20">
        <f t="shared" si="213"/>
        <v>910</v>
      </c>
      <c r="C911" s="17">
        <f t="shared" si="214"/>
        <v>76</v>
      </c>
      <c r="D911" s="17" t="str">
        <f t="shared" si="212"/>
        <v>20120921</v>
      </c>
      <c r="E911" s="20" t="str">
        <f t="shared" si="207"/>
        <v>20120921076</v>
      </c>
      <c r="F911" s="19">
        <v>29</v>
      </c>
      <c r="G911" s="19">
        <v>37</v>
      </c>
      <c r="H911" s="19">
        <v>42</v>
      </c>
      <c r="I911" s="19">
        <v>36</v>
      </c>
      <c r="J911" s="19">
        <v>22</v>
      </c>
      <c r="K911" s="19">
        <v>30</v>
      </c>
      <c r="L911" s="19">
        <v>9</v>
      </c>
      <c r="M911" s="19">
        <f t="shared" si="210"/>
        <v>205</v>
      </c>
      <c r="N911" s="27">
        <f t="shared" si="211"/>
        <v>41173</v>
      </c>
    </row>
    <row r="912" spans="1:14" x14ac:dyDescent="0.25">
      <c r="A912" s="15">
        <f t="shared" si="209"/>
        <v>2</v>
      </c>
      <c r="B912" s="20">
        <f t="shared" si="213"/>
        <v>911</v>
      </c>
      <c r="C912" s="17">
        <f t="shared" si="214"/>
        <v>77</v>
      </c>
      <c r="D912" s="17" t="str">
        <f t="shared" si="212"/>
        <v>20120925</v>
      </c>
      <c r="E912" s="20" t="str">
        <f t="shared" si="207"/>
        <v>20120925077</v>
      </c>
      <c r="F912" s="19">
        <v>35</v>
      </c>
      <c r="G912" s="19">
        <v>19</v>
      </c>
      <c r="H912" s="19">
        <v>49</v>
      </c>
      <c r="I912" s="19">
        <v>18</v>
      </c>
      <c r="J912" s="19">
        <v>45</v>
      </c>
      <c r="K912" s="19">
        <v>34</v>
      </c>
      <c r="L912" s="19">
        <v>16</v>
      </c>
      <c r="M912" s="19">
        <f t="shared" si="210"/>
        <v>216</v>
      </c>
      <c r="N912" s="27">
        <f t="shared" si="208"/>
        <v>41177</v>
      </c>
    </row>
    <row r="913" spans="1:14" x14ac:dyDescent="0.25">
      <c r="A913" s="15">
        <f t="shared" si="209"/>
        <v>5</v>
      </c>
      <c r="B913" s="20">
        <f t="shared" si="213"/>
        <v>912</v>
      </c>
      <c r="C913" s="17">
        <f t="shared" si="214"/>
        <v>78</v>
      </c>
      <c r="D913" s="17" t="str">
        <f t="shared" si="212"/>
        <v>20120928</v>
      </c>
      <c r="E913" s="20" t="str">
        <f t="shared" si="207"/>
        <v>20120928078</v>
      </c>
      <c r="F913" s="19">
        <v>42</v>
      </c>
      <c r="G913" s="19">
        <v>22</v>
      </c>
      <c r="H913" s="19">
        <v>6</v>
      </c>
      <c r="I913" s="19">
        <v>47</v>
      </c>
      <c r="J913" s="19">
        <v>41</v>
      </c>
      <c r="K913" s="19">
        <v>4</v>
      </c>
      <c r="L913" s="19">
        <v>18</v>
      </c>
      <c r="M913" s="19">
        <f t="shared" si="210"/>
        <v>180</v>
      </c>
      <c r="N913" s="27">
        <f t="shared" si="211"/>
        <v>41180</v>
      </c>
    </row>
    <row r="914" spans="1:14" x14ac:dyDescent="0.25">
      <c r="A914" s="15">
        <f t="shared" si="209"/>
        <v>2</v>
      </c>
      <c r="B914" s="20">
        <f t="shared" si="213"/>
        <v>913</v>
      </c>
      <c r="C914" s="17">
        <f t="shared" si="214"/>
        <v>79</v>
      </c>
      <c r="D914" s="17" t="str">
        <f t="shared" si="212"/>
        <v>20121002</v>
      </c>
      <c r="E914" s="20" t="str">
        <f t="shared" si="207"/>
        <v>20121002079</v>
      </c>
      <c r="F914" s="19">
        <v>7</v>
      </c>
      <c r="G914" s="19">
        <v>1</v>
      </c>
      <c r="H914" s="19">
        <v>28</v>
      </c>
      <c r="I914" s="19">
        <v>3</v>
      </c>
      <c r="J914" s="19">
        <v>9</v>
      </c>
      <c r="K914" s="19">
        <v>40</v>
      </c>
      <c r="L914" s="19">
        <v>45</v>
      </c>
      <c r="M914" s="19">
        <f t="shared" si="210"/>
        <v>133</v>
      </c>
      <c r="N914" s="27">
        <f t="shared" si="208"/>
        <v>41184</v>
      </c>
    </row>
    <row r="915" spans="1:14" x14ac:dyDescent="0.25">
      <c r="A915" s="15">
        <f t="shared" si="209"/>
        <v>5</v>
      </c>
      <c r="B915" s="20">
        <f t="shared" si="213"/>
        <v>914</v>
      </c>
      <c r="C915" s="17">
        <f t="shared" si="214"/>
        <v>80</v>
      </c>
      <c r="D915" s="17" t="str">
        <f t="shared" si="212"/>
        <v>20121005</v>
      </c>
      <c r="E915" s="20" t="str">
        <f t="shared" si="207"/>
        <v>20121005080</v>
      </c>
      <c r="F915" s="19">
        <v>18</v>
      </c>
      <c r="G915" s="19">
        <v>9</v>
      </c>
      <c r="H915" s="19">
        <v>44</v>
      </c>
      <c r="I915" s="19">
        <v>17</v>
      </c>
      <c r="J915" s="19">
        <v>33</v>
      </c>
      <c r="K915" s="19">
        <v>47</v>
      </c>
      <c r="L915" s="19">
        <v>8</v>
      </c>
      <c r="M915" s="19">
        <f t="shared" si="210"/>
        <v>176</v>
      </c>
      <c r="N915" s="27">
        <f t="shared" si="211"/>
        <v>41187</v>
      </c>
    </row>
    <row r="916" spans="1:14" x14ac:dyDescent="0.25">
      <c r="A916" s="15">
        <f t="shared" si="209"/>
        <v>2</v>
      </c>
      <c r="B916" s="20">
        <f t="shared" si="213"/>
        <v>915</v>
      </c>
      <c r="C916" s="17">
        <f t="shared" si="214"/>
        <v>81</v>
      </c>
      <c r="D916" s="17" t="str">
        <f t="shared" si="212"/>
        <v>20121009</v>
      </c>
      <c r="E916" s="20" t="str">
        <f t="shared" si="207"/>
        <v>20121009081</v>
      </c>
      <c r="F916" s="19">
        <v>30</v>
      </c>
      <c r="G916" s="19">
        <v>8</v>
      </c>
      <c r="H916" s="19">
        <v>41</v>
      </c>
      <c r="I916" s="19">
        <v>18</v>
      </c>
      <c r="J916" s="19">
        <v>31</v>
      </c>
      <c r="K916" s="19">
        <v>15</v>
      </c>
      <c r="L916" s="19">
        <v>45</v>
      </c>
      <c r="M916" s="19">
        <f t="shared" si="210"/>
        <v>188</v>
      </c>
      <c r="N916" s="27">
        <f t="shared" si="208"/>
        <v>41191</v>
      </c>
    </row>
    <row r="917" spans="1:14" x14ac:dyDescent="0.25">
      <c r="A917" s="15">
        <f t="shared" si="209"/>
        <v>5</v>
      </c>
      <c r="B917" s="20">
        <f t="shared" si="213"/>
        <v>916</v>
      </c>
      <c r="C917" s="17">
        <f t="shared" si="214"/>
        <v>82</v>
      </c>
      <c r="D917" s="17" t="str">
        <f t="shared" si="212"/>
        <v>20121012</v>
      </c>
      <c r="E917" s="20" t="str">
        <f t="shared" si="207"/>
        <v>20121012082</v>
      </c>
      <c r="F917" s="19">
        <v>11</v>
      </c>
      <c r="G917" s="19">
        <v>48</v>
      </c>
      <c r="H917" s="19">
        <v>43</v>
      </c>
      <c r="I917" s="19">
        <v>5</v>
      </c>
      <c r="J917" s="19">
        <v>30</v>
      </c>
      <c r="K917" s="19">
        <v>12</v>
      </c>
      <c r="L917" s="19">
        <v>15</v>
      </c>
      <c r="M917" s="19">
        <f t="shared" si="210"/>
        <v>164</v>
      </c>
      <c r="N917" s="27">
        <f t="shared" si="211"/>
        <v>41194</v>
      </c>
    </row>
    <row r="918" spans="1:14" x14ac:dyDescent="0.25">
      <c r="A918" s="15">
        <f t="shared" si="209"/>
        <v>2</v>
      </c>
      <c r="B918" s="20">
        <f t="shared" si="213"/>
        <v>917</v>
      </c>
      <c r="C918" s="17">
        <f t="shared" si="214"/>
        <v>83</v>
      </c>
      <c r="D918" s="17" t="str">
        <f t="shared" si="212"/>
        <v>20121016</v>
      </c>
      <c r="E918" s="20" t="str">
        <f t="shared" si="207"/>
        <v>20121016083</v>
      </c>
      <c r="F918" s="19">
        <v>35</v>
      </c>
      <c r="G918" s="19">
        <v>3</v>
      </c>
      <c r="H918" s="19">
        <v>28</v>
      </c>
      <c r="I918" s="19">
        <v>45</v>
      </c>
      <c r="J918" s="19">
        <v>2</v>
      </c>
      <c r="K918" s="19">
        <v>44</v>
      </c>
      <c r="L918" s="19">
        <v>36</v>
      </c>
      <c r="M918" s="19">
        <f t="shared" si="210"/>
        <v>193</v>
      </c>
      <c r="N918" s="27">
        <f t="shared" si="208"/>
        <v>41198</v>
      </c>
    </row>
    <row r="919" spans="1:14" x14ac:dyDescent="0.25">
      <c r="A919" s="15">
        <f t="shared" si="209"/>
        <v>5</v>
      </c>
      <c r="B919" s="20">
        <f t="shared" si="213"/>
        <v>918</v>
      </c>
      <c r="C919" s="17">
        <f t="shared" si="214"/>
        <v>84</v>
      </c>
      <c r="D919" s="17" t="str">
        <f t="shared" si="212"/>
        <v>20121019</v>
      </c>
      <c r="E919" s="20" t="str">
        <f t="shared" si="207"/>
        <v>20121019084</v>
      </c>
      <c r="F919" s="19">
        <v>39</v>
      </c>
      <c r="G919" s="19">
        <v>45</v>
      </c>
      <c r="H919" s="19">
        <v>25</v>
      </c>
      <c r="I919" s="19">
        <v>13</v>
      </c>
      <c r="J919" s="19">
        <v>49</v>
      </c>
      <c r="K919" s="19">
        <v>27</v>
      </c>
      <c r="L919" s="19">
        <v>11</v>
      </c>
      <c r="M919" s="19">
        <f t="shared" si="210"/>
        <v>209</v>
      </c>
      <c r="N919" s="27">
        <f t="shared" si="211"/>
        <v>41201</v>
      </c>
    </row>
    <row r="920" spans="1:14" x14ac:dyDescent="0.25">
      <c r="A920" s="15">
        <f t="shared" si="209"/>
        <v>2</v>
      </c>
      <c r="B920" s="20">
        <f t="shared" si="213"/>
        <v>919</v>
      </c>
      <c r="C920" s="17">
        <f t="shared" si="214"/>
        <v>85</v>
      </c>
      <c r="D920" s="17" t="str">
        <f t="shared" si="212"/>
        <v>20121023</v>
      </c>
      <c r="E920" s="20" t="str">
        <f t="shared" si="207"/>
        <v>20121023085</v>
      </c>
      <c r="F920" s="19">
        <v>46</v>
      </c>
      <c r="G920" s="19">
        <v>25</v>
      </c>
      <c r="H920" s="19">
        <v>20</v>
      </c>
      <c r="I920" s="19">
        <v>2</v>
      </c>
      <c r="J920" s="19">
        <v>19</v>
      </c>
      <c r="K920" s="19">
        <v>7</v>
      </c>
      <c r="L920" s="19">
        <v>43</v>
      </c>
      <c r="M920" s="19">
        <f t="shared" si="210"/>
        <v>162</v>
      </c>
      <c r="N920" s="27">
        <f t="shared" si="208"/>
        <v>41205</v>
      </c>
    </row>
    <row r="921" spans="1:14" x14ac:dyDescent="0.25">
      <c r="A921" s="15">
        <f t="shared" si="209"/>
        <v>5</v>
      </c>
      <c r="B921" s="20">
        <f t="shared" si="213"/>
        <v>920</v>
      </c>
      <c r="C921" s="17">
        <f t="shared" si="214"/>
        <v>86</v>
      </c>
      <c r="D921" s="17" t="str">
        <f t="shared" si="212"/>
        <v>20121026</v>
      </c>
      <c r="E921" s="20" t="str">
        <f t="shared" si="207"/>
        <v>20121026086</v>
      </c>
      <c r="F921" s="19">
        <v>20</v>
      </c>
      <c r="G921" s="19">
        <v>41</v>
      </c>
      <c r="H921" s="19">
        <v>32</v>
      </c>
      <c r="I921" s="19">
        <v>17</v>
      </c>
      <c r="J921" s="19">
        <v>28</v>
      </c>
      <c r="K921" s="19">
        <v>1</v>
      </c>
      <c r="L921" s="19">
        <v>13</v>
      </c>
      <c r="M921" s="19">
        <f t="shared" si="210"/>
        <v>152</v>
      </c>
      <c r="N921" s="27">
        <f t="shared" si="211"/>
        <v>41208</v>
      </c>
    </row>
    <row r="922" spans="1:14" x14ac:dyDescent="0.25">
      <c r="A922" s="15">
        <f t="shared" si="209"/>
        <v>2</v>
      </c>
      <c r="B922" s="20">
        <f t="shared" si="213"/>
        <v>921</v>
      </c>
      <c r="C922" s="17">
        <f t="shared" si="214"/>
        <v>87</v>
      </c>
      <c r="D922" s="17" t="str">
        <f t="shared" si="212"/>
        <v>20121030</v>
      </c>
      <c r="E922" s="20" t="str">
        <f t="shared" si="207"/>
        <v>20121030087</v>
      </c>
      <c r="F922" s="19">
        <v>20</v>
      </c>
      <c r="G922" s="19">
        <v>25</v>
      </c>
      <c r="H922" s="19">
        <v>14</v>
      </c>
      <c r="I922" s="19">
        <v>36</v>
      </c>
      <c r="J922" s="19">
        <v>46</v>
      </c>
      <c r="K922" s="19">
        <v>10</v>
      </c>
      <c r="L922" s="19">
        <v>2</v>
      </c>
      <c r="M922" s="19">
        <f t="shared" si="210"/>
        <v>153</v>
      </c>
      <c r="N922" s="27">
        <f t="shared" si="208"/>
        <v>41212</v>
      </c>
    </row>
    <row r="923" spans="1:14" x14ac:dyDescent="0.25">
      <c r="A923" s="15">
        <f t="shared" si="209"/>
        <v>5</v>
      </c>
      <c r="B923" s="20">
        <f t="shared" si="213"/>
        <v>922</v>
      </c>
      <c r="C923" s="17">
        <f t="shared" si="214"/>
        <v>88</v>
      </c>
      <c r="D923" s="17" t="str">
        <f t="shared" si="212"/>
        <v>20121102</v>
      </c>
      <c r="E923" s="20" t="str">
        <f t="shared" si="207"/>
        <v>20121102088</v>
      </c>
      <c r="F923" s="19">
        <v>24</v>
      </c>
      <c r="G923" s="19">
        <v>38</v>
      </c>
      <c r="H923" s="19">
        <v>36</v>
      </c>
      <c r="I923" s="19">
        <v>4</v>
      </c>
      <c r="J923" s="19">
        <v>37</v>
      </c>
      <c r="K923" s="19">
        <v>18</v>
      </c>
      <c r="L923" s="19">
        <v>31</v>
      </c>
      <c r="M923" s="19">
        <f t="shared" si="210"/>
        <v>188</v>
      </c>
      <c r="N923" s="27">
        <f t="shared" si="211"/>
        <v>41215</v>
      </c>
    </row>
    <row r="924" spans="1:14" x14ac:dyDescent="0.25">
      <c r="A924" s="15">
        <f t="shared" si="209"/>
        <v>2</v>
      </c>
      <c r="B924" s="20">
        <f t="shared" si="213"/>
        <v>923</v>
      </c>
      <c r="C924" s="17">
        <f t="shared" si="214"/>
        <v>89</v>
      </c>
      <c r="D924" s="17" t="str">
        <f t="shared" si="212"/>
        <v>20121106</v>
      </c>
      <c r="E924" s="20" t="str">
        <f t="shared" si="207"/>
        <v>20121106089</v>
      </c>
      <c r="F924" s="19">
        <v>8</v>
      </c>
      <c r="G924" s="19">
        <v>47</v>
      </c>
      <c r="H924" s="19">
        <v>13</v>
      </c>
      <c r="I924" s="19">
        <v>42</v>
      </c>
      <c r="J924" s="19">
        <v>48</v>
      </c>
      <c r="K924" s="19">
        <v>41</v>
      </c>
      <c r="L924" s="19">
        <v>29</v>
      </c>
      <c r="M924" s="19">
        <f t="shared" si="210"/>
        <v>228</v>
      </c>
      <c r="N924" s="27">
        <f t="shared" si="208"/>
        <v>41219</v>
      </c>
    </row>
    <row r="925" spans="1:14" x14ac:dyDescent="0.25">
      <c r="A925" s="15">
        <f t="shared" si="209"/>
        <v>5</v>
      </c>
      <c r="B925" s="20">
        <f t="shared" si="213"/>
        <v>924</v>
      </c>
      <c r="C925" s="17">
        <f t="shared" si="214"/>
        <v>90</v>
      </c>
      <c r="D925" s="17" t="str">
        <f t="shared" si="212"/>
        <v>20121109</v>
      </c>
      <c r="E925" s="20" t="str">
        <f t="shared" si="207"/>
        <v>20121109090</v>
      </c>
      <c r="F925" s="19">
        <v>37</v>
      </c>
      <c r="G925" s="19">
        <v>31</v>
      </c>
      <c r="H925" s="19">
        <v>45</v>
      </c>
      <c r="I925" s="19">
        <v>38</v>
      </c>
      <c r="J925" s="19">
        <v>9</v>
      </c>
      <c r="K925" s="19">
        <v>25</v>
      </c>
      <c r="L925" s="19">
        <v>21</v>
      </c>
      <c r="M925" s="19">
        <f t="shared" si="210"/>
        <v>206</v>
      </c>
      <c r="N925" s="27">
        <f t="shared" si="211"/>
        <v>41222</v>
      </c>
    </row>
    <row r="926" spans="1:14" x14ac:dyDescent="0.25">
      <c r="A926" s="15">
        <f t="shared" si="209"/>
        <v>2</v>
      </c>
      <c r="B926" s="20">
        <f t="shared" si="213"/>
        <v>925</v>
      </c>
      <c r="C926" s="17">
        <f t="shared" si="214"/>
        <v>91</v>
      </c>
      <c r="D926" s="17" t="str">
        <f t="shared" si="212"/>
        <v>20121113</v>
      </c>
      <c r="E926" s="20" t="str">
        <f t="shared" si="207"/>
        <v>20121113091</v>
      </c>
      <c r="F926" s="19">
        <v>2</v>
      </c>
      <c r="G926" s="19">
        <v>11</v>
      </c>
      <c r="H926" s="19">
        <v>22</v>
      </c>
      <c r="I926" s="19">
        <v>31</v>
      </c>
      <c r="J926" s="19">
        <v>25</v>
      </c>
      <c r="K926" s="19">
        <v>14</v>
      </c>
      <c r="L926" s="19">
        <v>26</v>
      </c>
      <c r="M926" s="19">
        <f t="shared" si="210"/>
        <v>131</v>
      </c>
      <c r="N926" s="27">
        <f t="shared" si="208"/>
        <v>41226</v>
      </c>
    </row>
    <row r="927" spans="1:14" x14ac:dyDescent="0.25">
      <c r="A927" s="15">
        <f t="shared" si="209"/>
        <v>5</v>
      </c>
      <c r="B927" s="20">
        <f t="shared" si="213"/>
        <v>926</v>
      </c>
      <c r="C927" s="17">
        <f t="shared" si="214"/>
        <v>92</v>
      </c>
      <c r="D927" s="17" t="str">
        <f t="shared" si="212"/>
        <v>20121116</v>
      </c>
      <c r="E927" s="20" t="str">
        <f t="shared" si="207"/>
        <v>20121116092</v>
      </c>
      <c r="F927" s="19">
        <v>42</v>
      </c>
      <c r="G927" s="19">
        <v>33</v>
      </c>
      <c r="H927" s="19">
        <v>32</v>
      </c>
      <c r="I927" s="19">
        <v>18</v>
      </c>
      <c r="J927" s="19">
        <v>17</v>
      </c>
      <c r="K927" s="19">
        <v>41</v>
      </c>
      <c r="L927" s="19">
        <v>12</v>
      </c>
      <c r="M927" s="19">
        <f t="shared" si="210"/>
        <v>195</v>
      </c>
      <c r="N927" s="27">
        <f t="shared" si="211"/>
        <v>41229</v>
      </c>
    </row>
    <row r="928" spans="1:14" x14ac:dyDescent="0.25">
      <c r="A928" s="15">
        <f t="shared" si="209"/>
        <v>2</v>
      </c>
      <c r="B928" s="20">
        <f t="shared" si="213"/>
        <v>927</v>
      </c>
      <c r="C928" s="17">
        <f t="shared" si="214"/>
        <v>93</v>
      </c>
      <c r="D928" s="17" t="str">
        <f t="shared" si="212"/>
        <v>20121120</v>
      </c>
      <c r="E928" s="20" t="str">
        <f t="shared" si="207"/>
        <v>20121120093</v>
      </c>
      <c r="F928" s="19">
        <v>23</v>
      </c>
      <c r="G928" s="19">
        <v>24</v>
      </c>
      <c r="H928" s="19">
        <v>27</v>
      </c>
      <c r="I928" s="19">
        <v>6</v>
      </c>
      <c r="J928" s="19">
        <v>34</v>
      </c>
      <c r="K928" s="19">
        <v>20</v>
      </c>
      <c r="L928" s="19">
        <v>16</v>
      </c>
      <c r="M928" s="19">
        <f t="shared" si="210"/>
        <v>150</v>
      </c>
      <c r="N928" s="27">
        <f t="shared" si="208"/>
        <v>41233</v>
      </c>
    </row>
    <row r="929" spans="1:14" x14ac:dyDescent="0.25">
      <c r="A929" s="15">
        <f t="shared" si="209"/>
        <v>5</v>
      </c>
      <c r="B929" s="20">
        <f t="shared" si="213"/>
        <v>928</v>
      </c>
      <c r="C929" s="17">
        <f t="shared" si="214"/>
        <v>94</v>
      </c>
      <c r="D929" s="17" t="str">
        <f t="shared" si="212"/>
        <v>20121123</v>
      </c>
      <c r="E929" s="20" t="str">
        <f t="shared" si="207"/>
        <v>20121123094</v>
      </c>
      <c r="F929" s="19">
        <v>4</v>
      </c>
      <c r="G929" s="19">
        <v>3</v>
      </c>
      <c r="H929" s="19">
        <v>46</v>
      </c>
      <c r="I929" s="19">
        <v>18</v>
      </c>
      <c r="J929" s="19">
        <v>14</v>
      </c>
      <c r="K929" s="19">
        <v>2</v>
      </c>
      <c r="L929" s="19">
        <v>25</v>
      </c>
      <c r="M929" s="19">
        <f t="shared" si="210"/>
        <v>112</v>
      </c>
      <c r="N929" s="27">
        <f t="shared" si="211"/>
        <v>41236</v>
      </c>
    </row>
    <row r="930" spans="1:14" x14ac:dyDescent="0.25">
      <c r="A930" s="15">
        <f t="shared" si="209"/>
        <v>2</v>
      </c>
      <c r="B930" s="20">
        <f t="shared" si="213"/>
        <v>929</v>
      </c>
      <c r="C930" s="17">
        <f t="shared" si="214"/>
        <v>95</v>
      </c>
      <c r="D930" s="17" t="str">
        <f t="shared" si="212"/>
        <v>20121127</v>
      </c>
      <c r="E930" s="20" t="str">
        <f t="shared" si="207"/>
        <v>20121127095</v>
      </c>
      <c r="F930" s="19">
        <v>31</v>
      </c>
      <c r="G930" s="19">
        <v>13</v>
      </c>
      <c r="H930" s="19">
        <v>9</v>
      </c>
      <c r="I930" s="19">
        <v>18</v>
      </c>
      <c r="J930" s="19">
        <v>19</v>
      </c>
      <c r="K930" s="19">
        <v>5</v>
      </c>
      <c r="L930" s="19">
        <v>32</v>
      </c>
      <c r="M930" s="19">
        <f t="shared" si="210"/>
        <v>127</v>
      </c>
      <c r="N930" s="27">
        <f t="shared" si="208"/>
        <v>41240</v>
      </c>
    </row>
    <row r="931" spans="1:14" x14ac:dyDescent="0.25">
      <c r="A931" s="15">
        <f t="shared" si="209"/>
        <v>5</v>
      </c>
      <c r="B931" s="20">
        <f t="shared" si="213"/>
        <v>930</v>
      </c>
      <c r="C931" s="17">
        <f t="shared" si="214"/>
        <v>96</v>
      </c>
      <c r="D931" s="17" t="str">
        <f t="shared" si="212"/>
        <v>20121130</v>
      </c>
      <c r="E931" s="20" t="str">
        <f t="shared" si="207"/>
        <v>20121130096</v>
      </c>
      <c r="F931" s="19">
        <v>37</v>
      </c>
      <c r="G931" s="19">
        <v>31</v>
      </c>
      <c r="H931" s="19">
        <v>18</v>
      </c>
      <c r="I931" s="19">
        <v>26</v>
      </c>
      <c r="J931" s="19">
        <v>43</v>
      </c>
      <c r="K931" s="19">
        <v>5</v>
      </c>
      <c r="L931" s="19">
        <v>8</v>
      </c>
      <c r="M931" s="19">
        <f t="shared" si="210"/>
        <v>168</v>
      </c>
      <c r="N931" s="27">
        <f t="shared" si="211"/>
        <v>41243</v>
      </c>
    </row>
    <row r="932" spans="1:14" x14ac:dyDescent="0.25">
      <c r="A932" s="15">
        <f t="shared" si="209"/>
        <v>2</v>
      </c>
      <c r="B932" s="20">
        <f t="shared" si="213"/>
        <v>931</v>
      </c>
      <c r="C932" s="17">
        <f t="shared" si="214"/>
        <v>97</v>
      </c>
      <c r="D932" s="17" t="str">
        <f t="shared" si="212"/>
        <v>20121204</v>
      </c>
      <c r="E932" s="20" t="str">
        <f t="shared" si="207"/>
        <v>20121204097</v>
      </c>
      <c r="F932" s="19">
        <v>43</v>
      </c>
      <c r="G932" s="19">
        <v>29</v>
      </c>
      <c r="H932" s="19">
        <v>23</v>
      </c>
      <c r="I932" s="19">
        <v>2</v>
      </c>
      <c r="J932" s="19">
        <v>41</v>
      </c>
      <c r="K932" s="19">
        <v>30</v>
      </c>
      <c r="L932" s="19">
        <v>4</v>
      </c>
      <c r="M932" s="19">
        <f t="shared" si="210"/>
        <v>172</v>
      </c>
      <c r="N932" s="27">
        <f t="shared" si="208"/>
        <v>41247</v>
      </c>
    </row>
    <row r="933" spans="1:14" x14ac:dyDescent="0.25">
      <c r="A933" s="15">
        <f t="shared" si="209"/>
        <v>5</v>
      </c>
      <c r="B933" s="20">
        <f t="shared" si="213"/>
        <v>932</v>
      </c>
      <c r="C933" s="17">
        <f t="shared" si="214"/>
        <v>98</v>
      </c>
      <c r="D933" s="17" t="str">
        <f t="shared" si="212"/>
        <v>20121207</v>
      </c>
      <c r="E933" s="20" t="str">
        <f t="shared" si="207"/>
        <v>20121207098</v>
      </c>
      <c r="F933" s="19">
        <v>23</v>
      </c>
      <c r="G933" s="19">
        <v>8</v>
      </c>
      <c r="H933" s="19">
        <v>28</v>
      </c>
      <c r="I933" s="19">
        <v>11</v>
      </c>
      <c r="J933" s="19">
        <v>19</v>
      </c>
      <c r="K933" s="19">
        <v>13</v>
      </c>
      <c r="L933" s="19">
        <v>49</v>
      </c>
      <c r="M933" s="19">
        <f t="shared" si="210"/>
        <v>151</v>
      </c>
      <c r="N933" s="27">
        <f t="shared" si="211"/>
        <v>41250</v>
      </c>
    </row>
    <row r="934" spans="1:14" x14ac:dyDescent="0.25">
      <c r="A934" s="15">
        <f t="shared" si="209"/>
        <v>2</v>
      </c>
      <c r="B934" s="20">
        <f t="shared" si="213"/>
        <v>933</v>
      </c>
      <c r="C934" s="17">
        <f t="shared" si="214"/>
        <v>99</v>
      </c>
      <c r="D934" s="17" t="str">
        <f t="shared" si="212"/>
        <v>20121211</v>
      </c>
      <c r="E934" s="20" t="str">
        <f t="shared" si="207"/>
        <v>20121211099</v>
      </c>
      <c r="F934" s="19">
        <v>44</v>
      </c>
      <c r="G934" s="19">
        <v>5</v>
      </c>
      <c r="H934" s="19">
        <v>12</v>
      </c>
      <c r="I934" s="19">
        <v>38</v>
      </c>
      <c r="J934" s="19">
        <v>22</v>
      </c>
      <c r="K934" s="19">
        <v>14</v>
      </c>
      <c r="L934" s="19">
        <v>25</v>
      </c>
      <c r="M934" s="19">
        <f t="shared" si="210"/>
        <v>160</v>
      </c>
      <c r="N934" s="27">
        <f t="shared" si="208"/>
        <v>41254</v>
      </c>
    </row>
    <row r="935" spans="1:14" x14ac:dyDescent="0.25">
      <c r="A935" s="15">
        <f t="shared" si="209"/>
        <v>5</v>
      </c>
      <c r="B935" s="20">
        <f t="shared" si="213"/>
        <v>934</v>
      </c>
      <c r="C935" s="17">
        <f t="shared" si="214"/>
        <v>100</v>
      </c>
      <c r="D935" s="17" t="str">
        <f t="shared" si="212"/>
        <v>20121214</v>
      </c>
      <c r="E935" s="20" t="str">
        <f t="shared" si="207"/>
        <v>20121214100</v>
      </c>
      <c r="F935" s="19">
        <v>8</v>
      </c>
      <c r="G935" s="19">
        <v>49</v>
      </c>
      <c r="H935" s="19">
        <v>28</v>
      </c>
      <c r="I935" s="19">
        <v>11</v>
      </c>
      <c r="J935" s="19">
        <v>17</v>
      </c>
      <c r="K935" s="19">
        <v>21</v>
      </c>
      <c r="L935" s="19">
        <v>37</v>
      </c>
      <c r="M935" s="19">
        <f t="shared" si="210"/>
        <v>171</v>
      </c>
      <c r="N935" s="27">
        <f t="shared" si="211"/>
        <v>41257</v>
      </c>
    </row>
    <row r="936" spans="1:14" x14ac:dyDescent="0.25">
      <c r="A936" s="15">
        <f t="shared" si="209"/>
        <v>2</v>
      </c>
      <c r="B936" s="20">
        <f t="shared" si="213"/>
        <v>935</v>
      </c>
      <c r="C936" s="17">
        <f t="shared" si="214"/>
        <v>101</v>
      </c>
      <c r="D936" s="17" t="str">
        <f t="shared" si="212"/>
        <v>20121218</v>
      </c>
      <c r="E936" s="20" t="str">
        <f t="shared" si="207"/>
        <v>20121218101</v>
      </c>
      <c r="F936" s="19">
        <v>7</v>
      </c>
      <c r="G936" s="19">
        <v>15</v>
      </c>
      <c r="H936" s="19">
        <v>10</v>
      </c>
      <c r="I936" s="19">
        <v>44</v>
      </c>
      <c r="J936" s="19">
        <v>19</v>
      </c>
      <c r="K936" s="19">
        <v>5</v>
      </c>
      <c r="L936" s="19">
        <v>49</v>
      </c>
      <c r="M936" s="19">
        <f t="shared" si="210"/>
        <v>149</v>
      </c>
      <c r="N936" s="27">
        <f t="shared" si="208"/>
        <v>41261</v>
      </c>
    </row>
    <row r="937" spans="1:14" x14ac:dyDescent="0.25">
      <c r="A937" s="15">
        <f t="shared" si="209"/>
        <v>5</v>
      </c>
      <c r="B937" s="20">
        <f t="shared" si="213"/>
        <v>936</v>
      </c>
      <c r="C937" s="17">
        <f t="shared" si="214"/>
        <v>102</v>
      </c>
      <c r="D937" s="17" t="str">
        <f t="shared" si="212"/>
        <v>20121221</v>
      </c>
      <c r="E937" s="20" t="str">
        <f t="shared" si="207"/>
        <v>20121221102</v>
      </c>
      <c r="F937" s="19">
        <v>13</v>
      </c>
      <c r="G937" s="19">
        <v>25</v>
      </c>
      <c r="H937" s="19">
        <v>31</v>
      </c>
      <c r="I937" s="19">
        <v>48</v>
      </c>
      <c r="J937" s="19">
        <v>22</v>
      </c>
      <c r="K937" s="19">
        <v>17</v>
      </c>
      <c r="L937" s="19">
        <v>26</v>
      </c>
      <c r="M937" s="19">
        <f t="shared" si="210"/>
        <v>182</v>
      </c>
      <c r="N937" s="27">
        <f t="shared" si="211"/>
        <v>41264</v>
      </c>
    </row>
    <row r="938" spans="1:14" x14ac:dyDescent="0.25">
      <c r="A938" s="15">
        <f t="shared" si="209"/>
        <v>2</v>
      </c>
      <c r="B938" s="20">
        <f t="shared" si="213"/>
        <v>937</v>
      </c>
      <c r="C938" s="17">
        <f t="shared" si="214"/>
        <v>103</v>
      </c>
      <c r="D938" s="17" t="str">
        <f t="shared" si="212"/>
        <v>20121225</v>
      </c>
      <c r="E938" s="20" t="str">
        <f t="shared" si="207"/>
        <v>20121225103</v>
      </c>
      <c r="F938" s="19">
        <v>41</v>
      </c>
      <c r="G938" s="19">
        <v>18</v>
      </c>
      <c r="H938" s="19">
        <v>25</v>
      </c>
      <c r="I938" s="19">
        <v>32</v>
      </c>
      <c r="J938" s="19">
        <v>47</v>
      </c>
      <c r="K938" s="19">
        <v>12</v>
      </c>
      <c r="L938" s="19">
        <v>7</v>
      </c>
      <c r="M938" s="19">
        <f t="shared" si="210"/>
        <v>182</v>
      </c>
      <c r="N938" s="27">
        <f t="shared" si="208"/>
        <v>41268</v>
      </c>
    </row>
    <row r="939" spans="1:14" x14ac:dyDescent="0.25">
      <c r="A939" s="15">
        <f t="shared" si="209"/>
        <v>5</v>
      </c>
      <c r="B939" s="20">
        <f t="shared" si="213"/>
        <v>938</v>
      </c>
      <c r="C939" s="17">
        <f t="shared" si="214"/>
        <v>104</v>
      </c>
      <c r="D939" s="17" t="str">
        <f t="shared" si="212"/>
        <v>20121228</v>
      </c>
      <c r="E939" s="20" t="str">
        <f t="shared" si="207"/>
        <v>20121228104</v>
      </c>
      <c r="F939" s="19">
        <v>28</v>
      </c>
      <c r="G939" s="19">
        <v>37</v>
      </c>
      <c r="H939" s="19">
        <v>18</v>
      </c>
      <c r="I939" s="19">
        <v>14</v>
      </c>
      <c r="J939" s="19">
        <v>42</v>
      </c>
      <c r="K939" s="19">
        <v>5</v>
      </c>
      <c r="L939" s="19">
        <v>19</v>
      </c>
      <c r="M939" s="19">
        <f t="shared" si="210"/>
        <v>163</v>
      </c>
      <c r="N939" s="27">
        <f t="shared" si="211"/>
        <v>41271</v>
      </c>
    </row>
    <row r="940" spans="1:14" x14ac:dyDescent="0.25">
      <c r="A940" s="15">
        <f t="shared" si="209"/>
        <v>2</v>
      </c>
      <c r="B940" s="20">
        <f t="shared" si="213"/>
        <v>939</v>
      </c>
      <c r="C940" s="17">
        <f t="shared" si="214"/>
        <v>105</v>
      </c>
      <c r="D940" s="17" t="str">
        <f t="shared" si="212"/>
        <v>20130101</v>
      </c>
      <c r="E940" s="20" t="str">
        <f t="shared" si="207"/>
        <v>20130101105</v>
      </c>
      <c r="F940" s="19">
        <v>4</v>
      </c>
      <c r="G940" s="19">
        <v>3</v>
      </c>
      <c r="H940" s="19">
        <v>32</v>
      </c>
      <c r="I940" s="19">
        <v>33</v>
      </c>
      <c r="J940" s="19">
        <v>22</v>
      </c>
      <c r="K940" s="19">
        <v>49</v>
      </c>
      <c r="L940" s="19">
        <v>21</v>
      </c>
      <c r="M940" s="19">
        <f t="shared" si="210"/>
        <v>164</v>
      </c>
      <c r="N940" s="27">
        <f t="shared" si="208"/>
        <v>41275</v>
      </c>
    </row>
    <row r="941" spans="1:14" x14ac:dyDescent="0.25">
      <c r="A941" s="15">
        <f t="shared" si="209"/>
        <v>5</v>
      </c>
      <c r="B941" s="20">
        <f t="shared" si="213"/>
        <v>940</v>
      </c>
      <c r="C941" s="17">
        <f t="shared" si="214"/>
        <v>106</v>
      </c>
      <c r="D941" s="17" t="str">
        <f t="shared" si="212"/>
        <v>20130104</v>
      </c>
      <c r="E941" s="20" t="str">
        <f t="shared" si="207"/>
        <v>20130104106</v>
      </c>
      <c r="F941" s="19">
        <v>35</v>
      </c>
      <c r="G941" s="19">
        <v>7</v>
      </c>
      <c r="H941" s="19">
        <v>24</v>
      </c>
      <c r="I941" s="19">
        <v>1</v>
      </c>
      <c r="J941" s="19">
        <v>31</v>
      </c>
      <c r="K941" s="19">
        <v>47</v>
      </c>
      <c r="L941" s="19">
        <v>21</v>
      </c>
      <c r="M941" s="19">
        <f t="shared" si="210"/>
        <v>166</v>
      </c>
      <c r="N941" s="27">
        <f t="shared" si="211"/>
        <v>41278</v>
      </c>
    </row>
    <row r="942" spans="1:14" x14ac:dyDescent="0.25">
      <c r="A942" s="15">
        <f t="shared" si="209"/>
        <v>2</v>
      </c>
      <c r="B942" s="20">
        <f t="shared" si="213"/>
        <v>941</v>
      </c>
      <c r="C942" s="17">
        <f t="shared" si="214"/>
        <v>107</v>
      </c>
      <c r="D942" s="17" t="str">
        <f t="shared" si="212"/>
        <v>20130108</v>
      </c>
      <c r="E942" s="20" t="str">
        <f t="shared" si="207"/>
        <v>20130108107</v>
      </c>
      <c r="F942" s="19">
        <v>19</v>
      </c>
      <c r="G942" s="19">
        <v>14</v>
      </c>
      <c r="H942" s="19">
        <v>33</v>
      </c>
      <c r="I942" s="19">
        <v>6</v>
      </c>
      <c r="J942" s="19">
        <v>5</v>
      </c>
      <c r="K942" s="19">
        <v>27</v>
      </c>
      <c r="L942" s="19">
        <v>31</v>
      </c>
      <c r="M942" s="19">
        <f t="shared" si="210"/>
        <v>135</v>
      </c>
      <c r="N942" s="27">
        <f t="shared" si="208"/>
        <v>41282</v>
      </c>
    </row>
    <row r="943" spans="1:14" x14ac:dyDescent="0.25">
      <c r="A943" s="15">
        <f t="shared" si="209"/>
        <v>5</v>
      </c>
      <c r="B943" s="20">
        <f t="shared" si="213"/>
        <v>942</v>
      </c>
      <c r="C943" s="17">
        <f t="shared" si="214"/>
        <v>108</v>
      </c>
      <c r="D943" s="17" t="str">
        <f t="shared" si="212"/>
        <v>20130111</v>
      </c>
      <c r="E943" s="20" t="str">
        <f t="shared" si="207"/>
        <v>20130111108</v>
      </c>
      <c r="F943" s="19">
        <v>48</v>
      </c>
      <c r="G943" s="19">
        <v>44</v>
      </c>
      <c r="H943" s="19">
        <v>33</v>
      </c>
      <c r="I943" s="19">
        <v>10</v>
      </c>
      <c r="J943" s="19">
        <v>1</v>
      </c>
      <c r="K943" s="19">
        <v>24</v>
      </c>
      <c r="L943" s="19">
        <v>37</v>
      </c>
      <c r="M943" s="19">
        <f t="shared" si="210"/>
        <v>197</v>
      </c>
      <c r="N943" s="27">
        <f t="shared" si="211"/>
        <v>41285</v>
      </c>
    </row>
    <row r="944" spans="1:14" x14ac:dyDescent="0.25">
      <c r="A944" s="15">
        <f t="shared" si="209"/>
        <v>2</v>
      </c>
      <c r="B944" s="20">
        <f t="shared" si="213"/>
        <v>943</v>
      </c>
      <c r="C944" s="17">
        <f t="shared" si="214"/>
        <v>109</v>
      </c>
      <c r="D944" s="17" t="str">
        <f t="shared" si="212"/>
        <v>20130115</v>
      </c>
      <c r="E944" s="20" t="str">
        <f t="shared" si="207"/>
        <v>20130115109</v>
      </c>
      <c r="F944" s="19">
        <v>32</v>
      </c>
      <c r="G944" s="19">
        <v>8</v>
      </c>
      <c r="H944" s="19">
        <v>34</v>
      </c>
      <c r="I944" s="19">
        <v>2</v>
      </c>
      <c r="J944" s="19">
        <v>44</v>
      </c>
      <c r="K944" s="19">
        <v>46</v>
      </c>
      <c r="L944" s="19">
        <v>14</v>
      </c>
      <c r="M944" s="19">
        <f t="shared" si="210"/>
        <v>180</v>
      </c>
      <c r="N944" s="27">
        <f t="shared" si="208"/>
        <v>41289</v>
      </c>
    </row>
    <row r="945" spans="1:14" x14ac:dyDescent="0.25">
      <c r="A945" s="15">
        <f t="shared" si="209"/>
        <v>5</v>
      </c>
      <c r="B945" s="20">
        <f t="shared" si="213"/>
        <v>944</v>
      </c>
      <c r="C945" s="17">
        <f t="shared" si="214"/>
        <v>110</v>
      </c>
      <c r="D945" s="17" t="str">
        <f t="shared" si="212"/>
        <v>20130118</v>
      </c>
      <c r="E945" s="20" t="str">
        <f t="shared" si="207"/>
        <v>20130118110</v>
      </c>
      <c r="F945" s="19">
        <v>33</v>
      </c>
      <c r="G945" s="19">
        <v>46</v>
      </c>
      <c r="H945" s="19">
        <v>30</v>
      </c>
      <c r="I945" s="19">
        <v>27</v>
      </c>
      <c r="J945" s="19">
        <v>22</v>
      </c>
      <c r="K945" s="19">
        <v>37</v>
      </c>
      <c r="L945" s="19">
        <v>24</v>
      </c>
      <c r="M945" s="19">
        <f t="shared" si="210"/>
        <v>219</v>
      </c>
      <c r="N945" s="27">
        <f t="shared" si="211"/>
        <v>41292</v>
      </c>
    </row>
    <row r="946" spans="1:14" x14ac:dyDescent="0.25">
      <c r="A946" s="15">
        <f t="shared" si="209"/>
        <v>2</v>
      </c>
      <c r="B946" s="20">
        <f t="shared" si="213"/>
        <v>945</v>
      </c>
      <c r="C946" s="17">
        <f t="shared" si="214"/>
        <v>111</v>
      </c>
      <c r="D946" s="17" t="str">
        <f t="shared" si="212"/>
        <v>20130122</v>
      </c>
      <c r="E946" s="20" t="str">
        <f t="shared" si="207"/>
        <v>20130122111</v>
      </c>
      <c r="F946" s="19">
        <v>31</v>
      </c>
      <c r="G946" s="19">
        <v>14</v>
      </c>
      <c r="H946" s="19">
        <v>47</v>
      </c>
      <c r="I946" s="19">
        <v>2</v>
      </c>
      <c r="J946" s="19">
        <v>23</v>
      </c>
      <c r="K946" s="19">
        <v>25</v>
      </c>
      <c r="L946" s="19">
        <v>48</v>
      </c>
      <c r="M946" s="19">
        <f t="shared" si="210"/>
        <v>190</v>
      </c>
      <c r="N946" s="27">
        <f t="shared" si="208"/>
        <v>41296</v>
      </c>
    </row>
    <row r="947" spans="1:14" x14ac:dyDescent="0.25">
      <c r="A947" s="15">
        <f t="shared" si="209"/>
        <v>5</v>
      </c>
      <c r="B947" s="20">
        <f t="shared" si="213"/>
        <v>946</v>
      </c>
      <c r="C947" s="17">
        <f t="shared" si="214"/>
        <v>112</v>
      </c>
      <c r="D947" s="17" t="str">
        <f t="shared" si="212"/>
        <v>20130125</v>
      </c>
      <c r="E947" s="20" t="str">
        <f t="shared" si="207"/>
        <v>20130125112</v>
      </c>
      <c r="F947" s="19">
        <v>18</v>
      </c>
      <c r="G947" s="19">
        <v>2</v>
      </c>
      <c r="H947" s="19">
        <v>48</v>
      </c>
      <c r="I947" s="19">
        <v>11</v>
      </c>
      <c r="J947" s="19">
        <v>49</v>
      </c>
      <c r="K947" s="19">
        <v>4</v>
      </c>
      <c r="L947" s="19">
        <v>38</v>
      </c>
      <c r="M947" s="19">
        <f t="shared" si="210"/>
        <v>170</v>
      </c>
      <c r="N947" s="27">
        <f t="shared" si="211"/>
        <v>41299</v>
      </c>
    </row>
    <row r="948" spans="1:14" x14ac:dyDescent="0.25">
      <c r="A948" s="15">
        <f t="shared" si="209"/>
        <v>2</v>
      </c>
      <c r="B948" s="20">
        <f t="shared" si="213"/>
        <v>947</v>
      </c>
      <c r="C948" s="17">
        <f t="shared" si="214"/>
        <v>113</v>
      </c>
      <c r="D948" s="17" t="str">
        <f t="shared" si="212"/>
        <v>20130129</v>
      </c>
      <c r="E948" s="20" t="str">
        <f t="shared" si="207"/>
        <v>20130129113</v>
      </c>
      <c r="F948" s="19">
        <v>3</v>
      </c>
      <c r="G948" s="19">
        <v>31</v>
      </c>
      <c r="H948" s="19">
        <v>43</v>
      </c>
      <c r="I948" s="19">
        <v>7</v>
      </c>
      <c r="J948" s="19">
        <v>34</v>
      </c>
      <c r="K948" s="19">
        <v>32</v>
      </c>
      <c r="L948" s="19">
        <v>41</v>
      </c>
      <c r="M948" s="19">
        <f t="shared" si="210"/>
        <v>191</v>
      </c>
      <c r="N948" s="27">
        <f t="shared" si="208"/>
        <v>41303</v>
      </c>
    </row>
    <row r="949" spans="1:14" x14ac:dyDescent="0.25">
      <c r="A949" s="15">
        <f t="shared" si="209"/>
        <v>5</v>
      </c>
      <c r="B949" s="20">
        <f t="shared" si="213"/>
        <v>948</v>
      </c>
      <c r="C949" s="17">
        <f t="shared" si="214"/>
        <v>114</v>
      </c>
      <c r="D949" s="17" t="str">
        <f t="shared" si="212"/>
        <v>20130201</v>
      </c>
      <c r="E949" s="20" t="str">
        <f t="shared" si="207"/>
        <v>20130201114</v>
      </c>
      <c r="F949" s="19">
        <v>46</v>
      </c>
      <c r="G949" s="19">
        <v>39</v>
      </c>
      <c r="H949" s="19">
        <v>28</v>
      </c>
      <c r="I949" s="19">
        <v>1</v>
      </c>
      <c r="J949" s="19">
        <v>26</v>
      </c>
      <c r="K949" s="19">
        <v>37</v>
      </c>
      <c r="L949" s="19">
        <v>3</v>
      </c>
      <c r="M949" s="19">
        <f t="shared" si="210"/>
        <v>180</v>
      </c>
      <c r="N949" s="27">
        <f t="shared" si="211"/>
        <v>41306</v>
      </c>
    </row>
    <row r="950" spans="1:14" x14ac:dyDescent="0.25">
      <c r="A950" s="15">
        <f t="shared" si="209"/>
        <v>2</v>
      </c>
      <c r="B950" s="20">
        <f t="shared" si="213"/>
        <v>949</v>
      </c>
      <c r="C950" s="17">
        <f t="shared" si="214"/>
        <v>115</v>
      </c>
      <c r="D950" s="17" t="str">
        <f t="shared" si="212"/>
        <v>20130205</v>
      </c>
      <c r="E950" s="20" t="str">
        <f t="shared" si="207"/>
        <v>20130205115</v>
      </c>
      <c r="F950" s="19">
        <v>25</v>
      </c>
      <c r="G950" s="19">
        <v>19</v>
      </c>
      <c r="H950" s="19">
        <v>38</v>
      </c>
      <c r="I950" s="19">
        <v>8</v>
      </c>
      <c r="J950" s="19">
        <v>15</v>
      </c>
      <c r="K950" s="19">
        <v>34</v>
      </c>
      <c r="L950" s="19">
        <v>6</v>
      </c>
      <c r="M950" s="19">
        <f t="shared" si="210"/>
        <v>145</v>
      </c>
      <c r="N950" s="27">
        <f t="shared" si="208"/>
        <v>41310</v>
      </c>
    </row>
    <row r="951" spans="1:14" x14ac:dyDescent="0.25">
      <c r="A951" s="15">
        <f t="shared" si="209"/>
        <v>5</v>
      </c>
      <c r="B951" s="20">
        <f t="shared" si="213"/>
        <v>950</v>
      </c>
      <c r="C951" s="17">
        <f t="shared" si="214"/>
        <v>116</v>
      </c>
      <c r="D951" s="17" t="str">
        <f t="shared" si="212"/>
        <v>20130208</v>
      </c>
      <c r="E951" s="20" t="str">
        <f t="shared" si="207"/>
        <v>20130208116</v>
      </c>
      <c r="F951" s="19">
        <v>22</v>
      </c>
      <c r="G951" s="19">
        <v>26</v>
      </c>
      <c r="H951" s="19">
        <v>47</v>
      </c>
      <c r="I951" s="19">
        <v>38</v>
      </c>
      <c r="J951" s="19">
        <v>4</v>
      </c>
      <c r="K951" s="19">
        <v>11</v>
      </c>
      <c r="L951" s="19">
        <v>13</v>
      </c>
      <c r="M951" s="19">
        <f t="shared" si="210"/>
        <v>161</v>
      </c>
      <c r="N951" s="27">
        <f t="shared" si="211"/>
        <v>41313</v>
      </c>
    </row>
    <row r="952" spans="1:14" x14ac:dyDescent="0.25">
      <c r="A952" s="15">
        <f t="shared" si="209"/>
        <v>6</v>
      </c>
      <c r="B952" s="20">
        <f t="shared" si="213"/>
        <v>951</v>
      </c>
      <c r="C952" s="17">
        <f t="shared" si="214"/>
        <v>117</v>
      </c>
      <c r="D952" s="17" t="str">
        <f t="shared" si="212"/>
        <v>20130209</v>
      </c>
      <c r="E952" s="20" t="str">
        <f t="shared" si="207"/>
        <v>20130209117</v>
      </c>
      <c r="F952" s="19">
        <v>22</v>
      </c>
      <c r="G952" s="19">
        <v>11</v>
      </c>
      <c r="H952" s="19">
        <v>5</v>
      </c>
      <c r="I952" s="19">
        <v>17</v>
      </c>
      <c r="J952" s="19">
        <v>30</v>
      </c>
      <c r="K952" s="19">
        <v>34</v>
      </c>
      <c r="L952" s="19">
        <v>10</v>
      </c>
      <c r="M952" s="19">
        <f t="shared" si="210"/>
        <v>129</v>
      </c>
      <c r="N952" s="27">
        <v>41314</v>
      </c>
    </row>
    <row r="953" spans="1:14" x14ac:dyDescent="0.25">
      <c r="A953" s="15">
        <f t="shared" si="209"/>
        <v>7</v>
      </c>
      <c r="B953" s="20">
        <f t="shared" si="213"/>
        <v>952</v>
      </c>
      <c r="C953" s="17">
        <f t="shared" si="214"/>
        <v>118</v>
      </c>
      <c r="D953" s="17" t="str">
        <f t="shared" si="212"/>
        <v>20130210</v>
      </c>
      <c r="E953" s="20" t="str">
        <f t="shared" si="207"/>
        <v>20130210118</v>
      </c>
      <c r="F953" s="19">
        <v>12</v>
      </c>
      <c r="G953" s="19">
        <v>10</v>
      </c>
      <c r="H953" s="19">
        <v>21</v>
      </c>
      <c r="I953" s="19">
        <v>35</v>
      </c>
      <c r="J953" s="19">
        <v>9</v>
      </c>
      <c r="K953" s="19">
        <v>31</v>
      </c>
      <c r="L953" s="19">
        <v>19</v>
      </c>
      <c r="M953" s="19">
        <f t="shared" si="210"/>
        <v>137</v>
      </c>
      <c r="N953" s="27">
        <v>41315</v>
      </c>
    </row>
    <row r="954" spans="1:14" x14ac:dyDescent="0.25">
      <c r="A954" s="15">
        <f t="shared" si="209"/>
        <v>1</v>
      </c>
      <c r="B954" s="20">
        <f t="shared" si="213"/>
        <v>953</v>
      </c>
      <c r="C954" s="17">
        <f t="shared" si="214"/>
        <v>119</v>
      </c>
      <c r="D954" s="17" t="str">
        <f t="shared" si="212"/>
        <v>20130211</v>
      </c>
      <c r="E954" s="20" t="str">
        <f t="shared" si="207"/>
        <v>20130211119</v>
      </c>
      <c r="F954" s="19">
        <v>16</v>
      </c>
      <c r="G954" s="19">
        <v>46</v>
      </c>
      <c r="H954" s="19">
        <v>40</v>
      </c>
      <c r="I954" s="19">
        <v>45</v>
      </c>
      <c r="J954" s="19">
        <v>48</v>
      </c>
      <c r="K954" s="19">
        <v>6</v>
      </c>
      <c r="L954" s="19">
        <v>31</v>
      </c>
      <c r="M954" s="19">
        <f t="shared" si="210"/>
        <v>232</v>
      </c>
      <c r="N954" s="27">
        <v>41316</v>
      </c>
    </row>
    <row r="955" spans="1:14" x14ac:dyDescent="0.25">
      <c r="A955" s="15">
        <f t="shared" si="209"/>
        <v>2</v>
      </c>
      <c r="B955" s="20">
        <f t="shared" si="213"/>
        <v>954</v>
      </c>
      <c r="C955" s="17">
        <f t="shared" si="214"/>
        <v>120</v>
      </c>
      <c r="D955" s="17" t="str">
        <f t="shared" si="212"/>
        <v>20130212</v>
      </c>
      <c r="E955" s="20" t="str">
        <f t="shared" si="207"/>
        <v>20130212120</v>
      </c>
      <c r="F955" s="19">
        <v>27</v>
      </c>
      <c r="G955" s="19">
        <v>38</v>
      </c>
      <c r="H955" s="19">
        <v>13</v>
      </c>
      <c r="I955" s="19">
        <v>3</v>
      </c>
      <c r="J955" s="19">
        <v>19</v>
      </c>
      <c r="K955" s="19">
        <v>24</v>
      </c>
      <c r="L955" s="19">
        <v>40</v>
      </c>
      <c r="M955" s="19">
        <f t="shared" si="210"/>
        <v>164</v>
      </c>
      <c r="N955" s="27">
        <v>41317</v>
      </c>
    </row>
    <row r="956" spans="1:14" x14ac:dyDescent="0.25">
      <c r="A956" s="15">
        <f t="shared" si="209"/>
        <v>5</v>
      </c>
      <c r="B956" s="20">
        <f t="shared" si="213"/>
        <v>955</v>
      </c>
      <c r="C956" s="17">
        <f t="shared" si="214"/>
        <v>121</v>
      </c>
      <c r="D956" s="17" t="str">
        <f t="shared" si="212"/>
        <v>20130215</v>
      </c>
      <c r="E956" s="20" t="str">
        <f t="shared" si="207"/>
        <v>20130215121</v>
      </c>
      <c r="F956" s="19">
        <v>8</v>
      </c>
      <c r="G956" s="19">
        <v>30</v>
      </c>
      <c r="H956" s="19">
        <v>34</v>
      </c>
      <c r="I956" s="19">
        <v>17</v>
      </c>
      <c r="J956" s="19">
        <v>2</v>
      </c>
      <c r="K956" s="19">
        <v>40</v>
      </c>
      <c r="L956" s="19">
        <v>26</v>
      </c>
      <c r="M956" s="19">
        <f t="shared" si="210"/>
        <v>157</v>
      </c>
      <c r="N956" s="27">
        <v>41320</v>
      </c>
    </row>
    <row r="957" spans="1:14" x14ac:dyDescent="0.25">
      <c r="A957" s="15">
        <f t="shared" si="209"/>
        <v>2</v>
      </c>
      <c r="B957" s="20">
        <f t="shared" si="213"/>
        <v>956</v>
      </c>
      <c r="C957" s="17">
        <f t="shared" si="214"/>
        <v>122</v>
      </c>
      <c r="D957" s="17" t="str">
        <f t="shared" si="212"/>
        <v>20130219</v>
      </c>
      <c r="E957" s="20" t="str">
        <f t="shared" si="207"/>
        <v>20130219122</v>
      </c>
      <c r="F957" s="19">
        <v>40</v>
      </c>
      <c r="G957" s="19">
        <v>28</v>
      </c>
      <c r="H957" s="19">
        <v>24</v>
      </c>
      <c r="I957" s="19">
        <v>7</v>
      </c>
      <c r="J957" s="19">
        <v>23</v>
      </c>
      <c r="K957" s="19">
        <v>32</v>
      </c>
      <c r="L957" s="19">
        <v>8</v>
      </c>
      <c r="M957" s="19">
        <f t="shared" si="210"/>
        <v>162</v>
      </c>
      <c r="N957" s="27">
        <v>41324</v>
      </c>
    </row>
    <row r="958" spans="1:14" x14ac:dyDescent="0.25">
      <c r="A958" s="15">
        <f t="shared" si="209"/>
        <v>5</v>
      </c>
      <c r="B958" s="20">
        <f t="shared" si="213"/>
        <v>957</v>
      </c>
      <c r="C958" s="17">
        <f t="shared" si="214"/>
        <v>123</v>
      </c>
      <c r="D958" s="17" t="str">
        <f t="shared" si="212"/>
        <v>20130222</v>
      </c>
      <c r="E958" s="20" t="str">
        <f t="shared" si="207"/>
        <v>20130222123</v>
      </c>
      <c r="F958" s="19">
        <v>28</v>
      </c>
      <c r="G958" s="19">
        <v>9</v>
      </c>
      <c r="H958" s="19">
        <v>7</v>
      </c>
      <c r="I958" s="19">
        <v>35</v>
      </c>
      <c r="J958" s="19">
        <v>17</v>
      </c>
      <c r="K958" s="19">
        <v>25</v>
      </c>
      <c r="L958" s="19">
        <v>36</v>
      </c>
      <c r="M958" s="19">
        <f t="shared" si="210"/>
        <v>157</v>
      </c>
      <c r="N958" s="27">
        <f>N957+3</f>
        <v>41327</v>
      </c>
    </row>
    <row r="959" spans="1:14" x14ac:dyDescent="0.25">
      <c r="A959" s="15">
        <f t="shared" si="209"/>
        <v>2</v>
      </c>
      <c r="B959" s="20">
        <f t="shared" si="213"/>
        <v>958</v>
      </c>
      <c r="C959" s="17">
        <f t="shared" si="214"/>
        <v>124</v>
      </c>
      <c r="D959" s="17" t="str">
        <f t="shared" si="212"/>
        <v>20130226</v>
      </c>
      <c r="E959" s="20" t="str">
        <f t="shared" si="207"/>
        <v>20130226124</v>
      </c>
      <c r="F959" s="19">
        <v>30</v>
      </c>
      <c r="G959" s="19">
        <v>36</v>
      </c>
      <c r="H959" s="19">
        <v>39</v>
      </c>
      <c r="I959" s="19">
        <v>21</v>
      </c>
      <c r="J959" s="19">
        <v>8</v>
      </c>
      <c r="K959" s="19">
        <v>15</v>
      </c>
      <c r="L959" s="19">
        <v>17</v>
      </c>
      <c r="M959" s="19">
        <f t="shared" si="210"/>
        <v>166</v>
      </c>
      <c r="N959" s="27">
        <f>N958+4</f>
        <v>41331</v>
      </c>
    </row>
    <row r="960" spans="1:14" x14ac:dyDescent="0.25">
      <c r="A960" s="15">
        <f t="shared" si="209"/>
        <v>5</v>
      </c>
      <c r="B960" s="20">
        <f t="shared" si="213"/>
        <v>959</v>
      </c>
      <c r="C960" s="17">
        <f t="shared" si="214"/>
        <v>125</v>
      </c>
      <c r="D960" s="17" t="str">
        <f t="shared" si="212"/>
        <v>20130301</v>
      </c>
      <c r="E960" s="20" t="str">
        <f t="shared" si="207"/>
        <v>20130301125</v>
      </c>
      <c r="F960" s="19">
        <v>36</v>
      </c>
      <c r="G960" s="19">
        <v>34</v>
      </c>
      <c r="H960" s="19">
        <v>1</v>
      </c>
      <c r="I960" s="19">
        <v>26</v>
      </c>
      <c r="J960" s="19">
        <v>37</v>
      </c>
      <c r="K960" s="19">
        <v>35</v>
      </c>
      <c r="L960" s="19">
        <v>7</v>
      </c>
      <c r="M960" s="19">
        <f t="shared" si="210"/>
        <v>176</v>
      </c>
      <c r="N960" s="27">
        <f>N959+3</f>
        <v>41334</v>
      </c>
    </row>
    <row r="961" spans="1:14" x14ac:dyDescent="0.25">
      <c r="A961" s="15">
        <f t="shared" si="209"/>
        <v>2</v>
      </c>
      <c r="B961" s="20">
        <f t="shared" si="213"/>
        <v>960</v>
      </c>
      <c r="C961" s="17">
        <f t="shared" si="214"/>
        <v>126</v>
      </c>
      <c r="D961" s="17" t="str">
        <f t="shared" si="212"/>
        <v>20130305</v>
      </c>
      <c r="E961" s="20" t="str">
        <f t="shared" si="207"/>
        <v>20130305126</v>
      </c>
      <c r="F961" s="19">
        <v>36</v>
      </c>
      <c r="G961" s="19">
        <v>5</v>
      </c>
      <c r="H961" s="19">
        <v>38</v>
      </c>
      <c r="I961" s="19">
        <v>24</v>
      </c>
      <c r="J961" s="19">
        <v>35</v>
      </c>
      <c r="K961" s="19">
        <v>30</v>
      </c>
      <c r="L961" s="19">
        <v>11</v>
      </c>
      <c r="M961" s="19">
        <f t="shared" si="210"/>
        <v>179</v>
      </c>
      <c r="N961" s="27">
        <f>N960+4</f>
        <v>41338</v>
      </c>
    </row>
    <row r="962" spans="1:14" x14ac:dyDescent="0.25">
      <c r="A962" s="15">
        <f t="shared" si="209"/>
        <v>5</v>
      </c>
      <c r="B962" s="20">
        <f t="shared" si="213"/>
        <v>961</v>
      </c>
      <c r="C962" s="17">
        <f t="shared" si="214"/>
        <v>127</v>
      </c>
      <c r="D962" s="17" t="str">
        <f t="shared" si="212"/>
        <v>20130308</v>
      </c>
      <c r="E962" s="20" t="str">
        <f t="shared" ref="E962:E1025" si="215">CONCATENATE(D962,TEXT(C962,"000"))</f>
        <v>20130308127</v>
      </c>
      <c r="F962" s="19">
        <v>16</v>
      </c>
      <c r="G962" s="19">
        <v>12</v>
      </c>
      <c r="H962" s="19">
        <v>29</v>
      </c>
      <c r="I962" s="19">
        <v>45</v>
      </c>
      <c r="J962" s="19">
        <v>44</v>
      </c>
      <c r="K962" s="19">
        <v>13</v>
      </c>
      <c r="L962" s="19">
        <v>30</v>
      </c>
      <c r="M962" s="19">
        <f t="shared" si="210"/>
        <v>189</v>
      </c>
      <c r="N962" s="27">
        <f>N961+3</f>
        <v>41341</v>
      </c>
    </row>
    <row r="963" spans="1:14" x14ac:dyDescent="0.25">
      <c r="A963" s="15">
        <f t="shared" ref="A963:A982" si="216">WEEKDAY(N963,2)</f>
        <v>2</v>
      </c>
      <c r="B963" s="20">
        <f t="shared" si="213"/>
        <v>962</v>
      </c>
      <c r="C963" s="17">
        <f t="shared" si="214"/>
        <v>128</v>
      </c>
      <c r="D963" s="17" t="str">
        <f t="shared" si="212"/>
        <v>20130312</v>
      </c>
      <c r="E963" s="20" t="str">
        <f t="shared" si="215"/>
        <v>20130312128</v>
      </c>
      <c r="F963" s="19">
        <v>20</v>
      </c>
      <c r="G963" s="19">
        <v>47</v>
      </c>
      <c r="H963" s="19">
        <v>49</v>
      </c>
      <c r="I963" s="19">
        <v>46</v>
      </c>
      <c r="J963" s="19">
        <v>35</v>
      </c>
      <c r="K963" s="19">
        <v>16</v>
      </c>
      <c r="L963" s="19">
        <v>31</v>
      </c>
      <c r="M963" s="19">
        <f t="shared" ref="M963:M1026" si="217">SUM(F963:L963)</f>
        <v>244</v>
      </c>
      <c r="N963" s="27">
        <f>N962+4</f>
        <v>41345</v>
      </c>
    </row>
    <row r="964" spans="1:14" x14ac:dyDescent="0.25">
      <c r="A964" s="15">
        <f t="shared" si="216"/>
        <v>5</v>
      </c>
      <c r="B964" s="20">
        <f t="shared" si="213"/>
        <v>963</v>
      </c>
      <c r="C964" s="17">
        <f t="shared" si="214"/>
        <v>129</v>
      </c>
      <c r="D964" s="17" t="str">
        <f t="shared" ref="D964:D1027" si="218">CONCATENATE(TEXT(YEAR(N964),"0000"),TEXT(MONTH(N964),"00"),TEXT(DAY(N964),"00"))</f>
        <v>20130315</v>
      </c>
      <c r="E964" s="20" t="str">
        <f t="shared" si="215"/>
        <v>20130315129</v>
      </c>
      <c r="F964" s="19">
        <v>23</v>
      </c>
      <c r="G964" s="19">
        <v>5</v>
      </c>
      <c r="H964" s="19">
        <v>37</v>
      </c>
      <c r="I964" s="19">
        <v>13</v>
      </c>
      <c r="J964" s="19">
        <v>43</v>
      </c>
      <c r="K964" s="19">
        <v>44</v>
      </c>
      <c r="L964" s="19">
        <v>26</v>
      </c>
      <c r="M964" s="19">
        <f t="shared" si="217"/>
        <v>191</v>
      </c>
      <c r="N964" s="27">
        <f>N963+3</f>
        <v>41348</v>
      </c>
    </row>
    <row r="965" spans="1:14" x14ac:dyDescent="0.25">
      <c r="A965" s="15">
        <f t="shared" si="216"/>
        <v>2</v>
      </c>
      <c r="B965" s="20">
        <f t="shared" ref="B965:B1028" si="219">B964+1</f>
        <v>964</v>
      </c>
      <c r="C965" s="17">
        <f t="shared" si="214"/>
        <v>130</v>
      </c>
      <c r="D965" s="17" t="str">
        <f t="shared" si="218"/>
        <v>20130319</v>
      </c>
      <c r="E965" s="20" t="str">
        <f t="shared" si="215"/>
        <v>20130319130</v>
      </c>
      <c r="F965" s="19">
        <v>40</v>
      </c>
      <c r="G965" s="19">
        <v>25</v>
      </c>
      <c r="H965" s="19">
        <v>1</v>
      </c>
      <c r="I965" s="19">
        <v>12</v>
      </c>
      <c r="J965" s="19">
        <v>37</v>
      </c>
      <c r="K965" s="19">
        <v>39</v>
      </c>
      <c r="L965" s="19">
        <v>18</v>
      </c>
      <c r="M965" s="19">
        <f t="shared" si="217"/>
        <v>172</v>
      </c>
      <c r="N965" s="27">
        <f>N964+4</f>
        <v>41352</v>
      </c>
    </row>
    <row r="966" spans="1:14" x14ac:dyDescent="0.25">
      <c r="A966" s="15">
        <f t="shared" si="216"/>
        <v>5</v>
      </c>
      <c r="B966" s="20">
        <f t="shared" si="219"/>
        <v>965</v>
      </c>
      <c r="C966" s="17">
        <f t="shared" si="214"/>
        <v>131</v>
      </c>
      <c r="D966" s="17" t="str">
        <f t="shared" si="218"/>
        <v>20130322</v>
      </c>
      <c r="E966" s="20" t="str">
        <f t="shared" si="215"/>
        <v>20130322131</v>
      </c>
      <c r="F966" s="19">
        <v>30</v>
      </c>
      <c r="G966" s="19">
        <v>23</v>
      </c>
      <c r="H966" s="19">
        <v>24</v>
      </c>
      <c r="I966" s="19">
        <v>5</v>
      </c>
      <c r="J966" s="19">
        <v>13</v>
      </c>
      <c r="K966" s="19">
        <v>7</v>
      </c>
      <c r="L966" s="19">
        <v>1</v>
      </c>
      <c r="M966" s="19">
        <f t="shared" si="217"/>
        <v>103</v>
      </c>
      <c r="N966" s="27">
        <f>N965+3</f>
        <v>41355</v>
      </c>
    </row>
    <row r="967" spans="1:14" x14ac:dyDescent="0.25">
      <c r="A967" s="15">
        <f t="shared" si="216"/>
        <v>2</v>
      </c>
      <c r="B967" s="20">
        <f t="shared" si="219"/>
        <v>966</v>
      </c>
      <c r="C967" s="17">
        <f t="shared" ref="C967:C1030" si="220">C966+1</f>
        <v>132</v>
      </c>
      <c r="D967" s="17" t="str">
        <f t="shared" si="218"/>
        <v>20130326</v>
      </c>
      <c r="E967" s="20" t="str">
        <f t="shared" si="215"/>
        <v>20130326132</v>
      </c>
      <c r="F967" s="19">
        <v>39</v>
      </c>
      <c r="G967" s="19">
        <v>28</v>
      </c>
      <c r="H967" s="19">
        <v>1</v>
      </c>
      <c r="I967" s="19">
        <v>42</v>
      </c>
      <c r="J967" s="19">
        <v>20</v>
      </c>
      <c r="K967" s="19">
        <v>9</v>
      </c>
      <c r="L967" s="19">
        <v>47</v>
      </c>
      <c r="M967" s="19">
        <f t="shared" si="217"/>
        <v>186</v>
      </c>
      <c r="N967" s="27">
        <f>N966+4</f>
        <v>41359</v>
      </c>
    </row>
    <row r="968" spans="1:14" x14ac:dyDescent="0.25">
      <c r="A968" s="15">
        <f t="shared" si="216"/>
        <v>5</v>
      </c>
      <c r="B968" s="20">
        <f t="shared" si="219"/>
        <v>967</v>
      </c>
      <c r="C968" s="17">
        <f t="shared" si="220"/>
        <v>133</v>
      </c>
      <c r="D968" s="17" t="str">
        <f t="shared" si="218"/>
        <v>20130329</v>
      </c>
      <c r="E968" s="20" t="str">
        <f t="shared" si="215"/>
        <v>20130329133</v>
      </c>
      <c r="F968" s="19">
        <v>3</v>
      </c>
      <c r="G968" s="19">
        <v>46</v>
      </c>
      <c r="H968" s="19">
        <v>2</v>
      </c>
      <c r="I968" s="19">
        <v>8</v>
      </c>
      <c r="J968" s="19">
        <v>24</v>
      </c>
      <c r="K968" s="19">
        <v>15</v>
      </c>
      <c r="L968" s="19">
        <v>36</v>
      </c>
      <c r="M968" s="19">
        <f t="shared" si="217"/>
        <v>134</v>
      </c>
      <c r="N968" s="27">
        <f>N967+3</f>
        <v>41362</v>
      </c>
    </row>
    <row r="969" spans="1:14" x14ac:dyDescent="0.25">
      <c r="A969" s="15">
        <f t="shared" si="216"/>
        <v>2</v>
      </c>
      <c r="B969" s="20">
        <f t="shared" si="219"/>
        <v>968</v>
      </c>
      <c r="C969" s="17">
        <f t="shared" si="220"/>
        <v>134</v>
      </c>
      <c r="D969" s="17" t="str">
        <f t="shared" si="218"/>
        <v>20130402</v>
      </c>
      <c r="E969" s="20" t="str">
        <f t="shared" si="215"/>
        <v>20130402134</v>
      </c>
      <c r="F969" s="19">
        <v>11</v>
      </c>
      <c r="G969" s="19">
        <v>20</v>
      </c>
      <c r="H969" s="19">
        <v>35</v>
      </c>
      <c r="I969" s="19">
        <v>26</v>
      </c>
      <c r="J969" s="19">
        <v>23</v>
      </c>
      <c r="K969" s="19">
        <v>15</v>
      </c>
      <c r="L969" s="19">
        <v>31</v>
      </c>
      <c r="M969" s="19">
        <f t="shared" si="217"/>
        <v>161</v>
      </c>
      <c r="N969" s="27">
        <f>N968+4</f>
        <v>41366</v>
      </c>
    </row>
    <row r="970" spans="1:14" x14ac:dyDescent="0.25">
      <c r="A970" s="15">
        <f t="shared" si="216"/>
        <v>5</v>
      </c>
      <c r="B970" s="20">
        <f t="shared" si="219"/>
        <v>969</v>
      </c>
      <c r="C970" s="17">
        <f t="shared" si="220"/>
        <v>135</v>
      </c>
      <c r="D970" s="17" t="str">
        <f t="shared" si="218"/>
        <v>20130405</v>
      </c>
      <c r="E970" s="20" t="str">
        <f t="shared" si="215"/>
        <v>20130405135</v>
      </c>
      <c r="F970" s="19">
        <v>21</v>
      </c>
      <c r="G970" s="19">
        <v>17</v>
      </c>
      <c r="H970" s="19">
        <v>4</v>
      </c>
      <c r="I970" s="19">
        <v>35</v>
      </c>
      <c r="J970" s="19">
        <v>7</v>
      </c>
      <c r="K970" s="19">
        <v>13</v>
      </c>
      <c r="L970" s="19">
        <v>33</v>
      </c>
      <c r="M970" s="19">
        <f t="shared" si="217"/>
        <v>130</v>
      </c>
      <c r="N970" s="27">
        <f>N969+3</f>
        <v>41369</v>
      </c>
    </row>
    <row r="971" spans="1:14" x14ac:dyDescent="0.25">
      <c r="A971" s="15">
        <f t="shared" si="216"/>
        <v>2</v>
      </c>
      <c r="B971" s="20">
        <f t="shared" si="219"/>
        <v>970</v>
      </c>
      <c r="C971" s="17">
        <f t="shared" si="220"/>
        <v>136</v>
      </c>
      <c r="D971" s="17" t="str">
        <f t="shared" si="218"/>
        <v>20130409</v>
      </c>
      <c r="E971" s="20" t="str">
        <f t="shared" si="215"/>
        <v>20130409136</v>
      </c>
      <c r="F971" s="19">
        <v>45</v>
      </c>
      <c r="G971" s="19">
        <v>35</v>
      </c>
      <c r="H971" s="19">
        <v>48</v>
      </c>
      <c r="I971" s="19">
        <v>7</v>
      </c>
      <c r="J971" s="19">
        <v>47</v>
      </c>
      <c r="K971" s="19">
        <v>16</v>
      </c>
      <c r="L971" s="19">
        <v>39</v>
      </c>
      <c r="M971" s="19">
        <f t="shared" si="217"/>
        <v>237</v>
      </c>
      <c r="N971" s="27">
        <f t="shared" ref="N971:N977" si="221">N970+4</f>
        <v>41373</v>
      </c>
    </row>
    <row r="972" spans="1:14" x14ac:dyDescent="0.25">
      <c r="A972" s="15">
        <f t="shared" si="216"/>
        <v>5</v>
      </c>
      <c r="B972" s="20">
        <f t="shared" si="219"/>
        <v>971</v>
      </c>
      <c r="C972" s="17">
        <f t="shared" si="220"/>
        <v>137</v>
      </c>
      <c r="D972" s="17" t="str">
        <f t="shared" si="218"/>
        <v>20130412</v>
      </c>
      <c r="E972" s="20" t="str">
        <f t="shared" si="215"/>
        <v>20130412137</v>
      </c>
      <c r="F972" s="19">
        <v>32</v>
      </c>
      <c r="G972" s="19">
        <v>22</v>
      </c>
      <c r="H972" s="19">
        <v>1</v>
      </c>
      <c r="I972" s="19">
        <v>29</v>
      </c>
      <c r="J972" s="19">
        <v>3</v>
      </c>
      <c r="K972" s="19">
        <v>18</v>
      </c>
      <c r="L972" s="19">
        <v>21</v>
      </c>
      <c r="M972" s="19">
        <f t="shared" si="217"/>
        <v>126</v>
      </c>
      <c r="N972" s="27">
        <f t="shared" ref="N972:N978" si="222">N971+3</f>
        <v>41376</v>
      </c>
    </row>
    <row r="973" spans="1:14" x14ac:dyDescent="0.25">
      <c r="A973" s="15">
        <f t="shared" si="216"/>
        <v>2</v>
      </c>
      <c r="B973" s="20">
        <f t="shared" si="219"/>
        <v>972</v>
      </c>
      <c r="C973" s="17">
        <f t="shared" si="220"/>
        <v>138</v>
      </c>
      <c r="D973" s="17" t="str">
        <f t="shared" si="218"/>
        <v>20130416</v>
      </c>
      <c r="E973" s="20" t="str">
        <f t="shared" si="215"/>
        <v>20130416138</v>
      </c>
      <c r="F973" s="19">
        <v>18</v>
      </c>
      <c r="G973" s="19">
        <v>45</v>
      </c>
      <c r="H973" s="19">
        <v>6</v>
      </c>
      <c r="I973" s="19">
        <v>48</v>
      </c>
      <c r="J973" s="19">
        <v>40</v>
      </c>
      <c r="K973" s="19">
        <v>43</v>
      </c>
      <c r="L973" s="19">
        <v>24</v>
      </c>
      <c r="M973" s="19">
        <f t="shared" si="217"/>
        <v>224</v>
      </c>
      <c r="N973" s="27">
        <f t="shared" ref="N973" si="223">N972+4</f>
        <v>41380</v>
      </c>
    </row>
    <row r="974" spans="1:14" x14ac:dyDescent="0.25">
      <c r="A974" s="15">
        <f t="shared" si="216"/>
        <v>5</v>
      </c>
      <c r="B974" s="20">
        <f t="shared" si="219"/>
        <v>973</v>
      </c>
      <c r="C974" s="17">
        <f t="shared" si="220"/>
        <v>139</v>
      </c>
      <c r="D974" s="17" t="str">
        <f t="shared" si="218"/>
        <v>20130419</v>
      </c>
      <c r="E974" s="20" t="str">
        <f t="shared" si="215"/>
        <v>20130419139</v>
      </c>
      <c r="F974" s="19">
        <v>48</v>
      </c>
      <c r="G974" s="19">
        <v>37</v>
      </c>
      <c r="H974" s="19">
        <v>42</v>
      </c>
      <c r="I974" s="19">
        <v>36</v>
      </c>
      <c r="J974" s="19">
        <v>40</v>
      </c>
      <c r="K974" s="19">
        <v>3</v>
      </c>
      <c r="L974" s="19">
        <v>17</v>
      </c>
      <c r="M974" s="19">
        <f t="shared" si="217"/>
        <v>223</v>
      </c>
      <c r="N974" s="27">
        <f t="shared" ref="N974" si="224">N973+3</f>
        <v>41383</v>
      </c>
    </row>
    <row r="975" spans="1:14" x14ac:dyDescent="0.25">
      <c r="A975" s="15">
        <f t="shared" si="216"/>
        <v>2</v>
      </c>
      <c r="B975" s="20">
        <f t="shared" si="219"/>
        <v>974</v>
      </c>
      <c r="C975" s="17">
        <f t="shared" si="220"/>
        <v>140</v>
      </c>
      <c r="D975" s="17" t="str">
        <f t="shared" si="218"/>
        <v>20130423</v>
      </c>
      <c r="E975" s="20" t="str">
        <f t="shared" si="215"/>
        <v>20130423140</v>
      </c>
      <c r="F975" s="19">
        <v>45</v>
      </c>
      <c r="G975" s="19">
        <v>36</v>
      </c>
      <c r="H975" s="19">
        <v>29</v>
      </c>
      <c r="I975" s="19">
        <v>12</v>
      </c>
      <c r="J975" s="19">
        <v>15</v>
      </c>
      <c r="K975" s="19">
        <v>31</v>
      </c>
      <c r="L975" s="19">
        <v>40</v>
      </c>
      <c r="M975" s="19">
        <f t="shared" si="217"/>
        <v>208</v>
      </c>
      <c r="N975" s="27">
        <f t="shared" ref="N975" si="225">N974+4</f>
        <v>41387</v>
      </c>
    </row>
    <row r="976" spans="1:14" x14ac:dyDescent="0.25">
      <c r="A976" s="15">
        <f t="shared" si="216"/>
        <v>5</v>
      </c>
      <c r="B976" s="20">
        <f t="shared" si="219"/>
        <v>975</v>
      </c>
      <c r="C976" s="17">
        <f t="shared" si="220"/>
        <v>141</v>
      </c>
      <c r="D976" s="17" t="str">
        <f t="shared" si="218"/>
        <v>20130426</v>
      </c>
      <c r="E976" s="20" t="str">
        <f t="shared" si="215"/>
        <v>20130426141</v>
      </c>
      <c r="F976" s="19">
        <v>17</v>
      </c>
      <c r="G976" s="19">
        <v>40</v>
      </c>
      <c r="H976" s="19">
        <v>19</v>
      </c>
      <c r="I976" s="19">
        <v>30</v>
      </c>
      <c r="J976" s="19">
        <v>15</v>
      </c>
      <c r="K976" s="19">
        <v>47</v>
      </c>
      <c r="L976" s="19">
        <v>25</v>
      </c>
      <c r="M976" s="19">
        <f t="shared" si="217"/>
        <v>193</v>
      </c>
      <c r="N976" s="27">
        <f t="shared" ref="N976" si="226">N975+3</f>
        <v>41390</v>
      </c>
    </row>
    <row r="977" spans="1:14" x14ac:dyDescent="0.25">
      <c r="A977" s="15">
        <f t="shared" si="216"/>
        <v>2</v>
      </c>
      <c r="B977" s="20">
        <f t="shared" si="219"/>
        <v>976</v>
      </c>
      <c r="C977" s="17">
        <f t="shared" si="220"/>
        <v>142</v>
      </c>
      <c r="D977" s="17" t="str">
        <f t="shared" si="218"/>
        <v>20130430</v>
      </c>
      <c r="E977" s="20" t="str">
        <f t="shared" si="215"/>
        <v>20130430142</v>
      </c>
      <c r="F977" s="19">
        <v>32</v>
      </c>
      <c r="G977" s="19">
        <v>46</v>
      </c>
      <c r="H977" s="19">
        <v>37</v>
      </c>
      <c r="I977" s="19">
        <v>30</v>
      </c>
      <c r="J977" s="19">
        <v>47</v>
      </c>
      <c r="K977" s="19">
        <v>10</v>
      </c>
      <c r="L977" s="19">
        <v>16</v>
      </c>
      <c r="M977" s="19">
        <f t="shared" si="217"/>
        <v>218</v>
      </c>
      <c r="N977" s="27">
        <f t="shared" si="221"/>
        <v>41394</v>
      </c>
    </row>
    <row r="978" spans="1:14" x14ac:dyDescent="0.25">
      <c r="A978" s="15">
        <f t="shared" si="216"/>
        <v>5</v>
      </c>
      <c r="B978" s="20">
        <f t="shared" si="219"/>
        <v>977</v>
      </c>
      <c r="C978" s="17">
        <f t="shared" si="220"/>
        <v>143</v>
      </c>
      <c r="D978" s="17" t="str">
        <f t="shared" si="218"/>
        <v>20130503</v>
      </c>
      <c r="E978" s="20" t="str">
        <f t="shared" si="215"/>
        <v>20130503143</v>
      </c>
      <c r="F978" s="19">
        <v>45</v>
      </c>
      <c r="G978" s="19">
        <v>32</v>
      </c>
      <c r="H978" s="19">
        <v>4</v>
      </c>
      <c r="I978" s="19">
        <v>22</v>
      </c>
      <c r="J978" s="19">
        <v>1</v>
      </c>
      <c r="K978" s="19">
        <v>8</v>
      </c>
      <c r="L978" s="19">
        <v>2</v>
      </c>
      <c r="M978" s="19">
        <f t="shared" si="217"/>
        <v>114</v>
      </c>
      <c r="N978" s="27">
        <f t="shared" si="222"/>
        <v>41397</v>
      </c>
    </row>
    <row r="979" spans="1:14" x14ac:dyDescent="0.25">
      <c r="A979" s="15">
        <f t="shared" si="216"/>
        <v>2</v>
      </c>
      <c r="B979" s="20">
        <f t="shared" si="219"/>
        <v>978</v>
      </c>
      <c r="C979" s="17">
        <f t="shared" si="220"/>
        <v>144</v>
      </c>
      <c r="D979" s="17" t="str">
        <f t="shared" si="218"/>
        <v>20130507</v>
      </c>
      <c r="E979" s="20" t="str">
        <f t="shared" si="215"/>
        <v>20130507144</v>
      </c>
      <c r="F979" s="19">
        <v>35</v>
      </c>
      <c r="G979" s="19">
        <v>14</v>
      </c>
      <c r="H979" s="19">
        <v>11</v>
      </c>
      <c r="I979" s="19">
        <v>25</v>
      </c>
      <c r="J979" s="19">
        <v>33</v>
      </c>
      <c r="K979" s="19">
        <v>9</v>
      </c>
      <c r="L979" s="19">
        <v>2</v>
      </c>
      <c r="M979" s="19">
        <f t="shared" si="217"/>
        <v>129</v>
      </c>
      <c r="N979" s="27">
        <f t="shared" ref="N979" si="227">N978+4</f>
        <v>41401</v>
      </c>
    </row>
    <row r="980" spans="1:14" x14ac:dyDescent="0.25">
      <c r="A980" s="15">
        <f t="shared" si="216"/>
        <v>5</v>
      </c>
      <c r="B980" s="20">
        <f t="shared" si="219"/>
        <v>979</v>
      </c>
      <c r="C980" s="17">
        <f t="shared" si="220"/>
        <v>145</v>
      </c>
      <c r="D980" s="17" t="str">
        <f t="shared" si="218"/>
        <v>20130510</v>
      </c>
      <c r="E980" s="20" t="str">
        <f t="shared" si="215"/>
        <v>20130510145</v>
      </c>
      <c r="F980" s="19">
        <v>43</v>
      </c>
      <c r="G980" s="19">
        <v>39</v>
      </c>
      <c r="H980" s="19">
        <v>25</v>
      </c>
      <c r="I980" s="19">
        <v>2</v>
      </c>
      <c r="J980" s="19">
        <v>32</v>
      </c>
      <c r="K980" s="19">
        <v>17</v>
      </c>
      <c r="L980" s="19">
        <v>34</v>
      </c>
      <c r="M980" s="19">
        <f t="shared" si="217"/>
        <v>192</v>
      </c>
      <c r="N980" s="27">
        <f t="shared" ref="N980" si="228">N979+3</f>
        <v>41404</v>
      </c>
    </row>
    <row r="981" spans="1:14" x14ac:dyDescent="0.25">
      <c r="A981" s="15">
        <f t="shared" si="216"/>
        <v>2</v>
      </c>
      <c r="B981" s="20">
        <f t="shared" si="219"/>
        <v>980</v>
      </c>
      <c r="C981" s="17">
        <f t="shared" si="220"/>
        <v>146</v>
      </c>
      <c r="D981" s="17" t="str">
        <f t="shared" si="218"/>
        <v>20130514</v>
      </c>
      <c r="E981" s="20" t="str">
        <f t="shared" si="215"/>
        <v>20130514146</v>
      </c>
      <c r="F981" s="19">
        <v>1</v>
      </c>
      <c r="G981" s="19">
        <v>30</v>
      </c>
      <c r="H981" s="19">
        <v>27</v>
      </c>
      <c r="I981" s="19">
        <v>39</v>
      </c>
      <c r="J981" s="19">
        <v>7</v>
      </c>
      <c r="K981" s="19">
        <v>6</v>
      </c>
      <c r="L981" s="19">
        <v>21</v>
      </c>
      <c r="M981" s="19">
        <f t="shared" si="217"/>
        <v>131</v>
      </c>
      <c r="N981" s="27">
        <f t="shared" ref="N981:N1043" si="229">N980+4</f>
        <v>41408</v>
      </c>
    </row>
    <row r="982" spans="1:14" x14ac:dyDescent="0.25">
      <c r="A982" s="15">
        <f t="shared" si="216"/>
        <v>5</v>
      </c>
      <c r="B982" s="20">
        <f t="shared" si="219"/>
        <v>981</v>
      </c>
      <c r="C982" s="17">
        <f t="shared" si="220"/>
        <v>147</v>
      </c>
      <c r="D982" s="17" t="str">
        <f t="shared" si="218"/>
        <v>20130517</v>
      </c>
      <c r="E982" s="20" t="str">
        <f t="shared" si="215"/>
        <v>20130517147</v>
      </c>
      <c r="F982" s="19">
        <v>24</v>
      </c>
      <c r="G982" s="19">
        <v>22</v>
      </c>
      <c r="H982" s="19">
        <v>16</v>
      </c>
      <c r="I982" s="19">
        <v>23</v>
      </c>
      <c r="J982" s="19">
        <v>10</v>
      </c>
      <c r="K982" s="19">
        <v>5</v>
      </c>
      <c r="L982" s="19">
        <v>31</v>
      </c>
      <c r="M982" s="19">
        <f t="shared" si="217"/>
        <v>131</v>
      </c>
      <c r="N982" s="27">
        <f t="shared" ref="N982:N1044" si="230">N981+3</f>
        <v>41411</v>
      </c>
    </row>
    <row r="983" spans="1:14" x14ac:dyDescent="0.25">
      <c r="A983" s="15">
        <f t="shared" ref="A983:A1033" si="231">WEEKDAY(N983,2)</f>
        <v>2</v>
      </c>
      <c r="B983" s="20">
        <f t="shared" si="219"/>
        <v>982</v>
      </c>
      <c r="C983" s="17">
        <f t="shared" si="220"/>
        <v>148</v>
      </c>
      <c r="D983" s="17" t="str">
        <f t="shared" si="218"/>
        <v>20130521</v>
      </c>
      <c r="E983" s="20" t="str">
        <f t="shared" si="215"/>
        <v>20130521148</v>
      </c>
      <c r="F983" s="19">
        <v>39</v>
      </c>
      <c r="G983" s="19">
        <v>35</v>
      </c>
      <c r="H983" s="19">
        <v>42</v>
      </c>
      <c r="I983" s="19">
        <v>49</v>
      </c>
      <c r="J983" s="19">
        <v>29</v>
      </c>
      <c r="K983" s="19">
        <v>24</v>
      </c>
      <c r="L983" s="19">
        <v>48</v>
      </c>
      <c r="M983" s="19">
        <f t="shared" si="217"/>
        <v>266</v>
      </c>
      <c r="N983" s="27">
        <f t="shared" si="229"/>
        <v>41415</v>
      </c>
    </row>
    <row r="984" spans="1:14" x14ac:dyDescent="0.25">
      <c r="A984" s="15">
        <f t="shared" si="231"/>
        <v>5</v>
      </c>
      <c r="B984" s="20">
        <f t="shared" si="219"/>
        <v>983</v>
      </c>
      <c r="C984" s="17">
        <f t="shared" si="220"/>
        <v>149</v>
      </c>
      <c r="D984" s="17" t="str">
        <f t="shared" si="218"/>
        <v>20130524</v>
      </c>
      <c r="E984" s="20" t="str">
        <f t="shared" si="215"/>
        <v>20130524149</v>
      </c>
      <c r="F984" s="19">
        <v>28</v>
      </c>
      <c r="G984" s="19">
        <v>10</v>
      </c>
      <c r="H984" s="19">
        <v>41</v>
      </c>
      <c r="I984" s="19">
        <v>27</v>
      </c>
      <c r="J984" s="19">
        <v>31</v>
      </c>
      <c r="K984" s="19">
        <v>37</v>
      </c>
      <c r="L984" s="19">
        <v>34</v>
      </c>
      <c r="M984" s="19">
        <f t="shared" si="217"/>
        <v>208</v>
      </c>
      <c r="N984" s="27">
        <f t="shared" si="230"/>
        <v>41418</v>
      </c>
    </row>
    <row r="985" spans="1:14" x14ac:dyDescent="0.25">
      <c r="A985" s="15">
        <f t="shared" si="231"/>
        <v>2</v>
      </c>
      <c r="B985" s="20">
        <f t="shared" si="219"/>
        <v>984</v>
      </c>
      <c r="C985" s="17">
        <f t="shared" si="220"/>
        <v>150</v>
      </c>
      <c r="D985" s="17" t="str">
        <f t="shared" si="218"/>
        <v>20130528</v>
      </c>
      <c r="E985" s="20" t="str">
        <f t="shared" si="215"/>
        <v>20130528150</v>
      </c>
      <c r="F985" s="19">
        <v>17</v>
      </c>
      <c r="G985" s="19">
        <v>43</v>
      </c>
      <c r="H985" s="19">
        <v>16</v>
      </c>
      <c r="I985" s="19">
        <v>30</v>
      </c>
      <c r="J985" s="19">
        <v>7</v>
      </c>
      <c r="K985" s="19">
        <v>10</v>
      </c>
      <c r="L985" s="19">
        <v>23</v>
      </c>
      <c r="M985" s="19">
        <f t="shared" si="217"/>
        <v>146</v>
      </c>
      <c r="N985" s="27">
        <f t="shared" si="229"/>
        <v>41422</v>
      </c>
    </row>
    <row r="986" spans="1:14" x14ac:dyDescent="0.25">
      <c r="A986" s="15">
        <f t="shared" si="231"/>
        <v>5</v>
      </c>
      <c r="B986" s="20">
        <f t="shared" si="219"/>
        <v>985</v>
      </c>
      <c r="C986" s="17">
        <f t="shared" si="220"/>
        <v>151</v>
      </c>
      <c r="D986" s="17" t="str">
        <f t="shared" si="218"/>
        <v>20130531</v>
      </c>
      <c r="E986" s="20" t="str">
        <f t="shared" si="215"/>
        <v>20130531151</v>
      </c>
      <c r="F986" s="19">
        <v>44</v>
      </c>
      <c r="G986" s="19">
        <v>3</v>
      </c>
      <c r="H986" s="19">
        <v>33</v>
      </c>
      <c r="I986" s="19">
        <v>39</v>
      </c>
      <c r="J986" s="19">
        <v>6</v>
      </c>
      <c r="K986" s="19">
        <v>10</v>
      </c>
      <c r="L986" s="19">
        <v>37</v>
      </c>
      <c r="M986" s="19">
        <f t="shared" si="217"/>
        <v>172</v>
      </c>
      <c r="N986" s="27">
        <f t="shared" si="230"/>
        <v>41425</v>
      </c>
    </row>
    <row r="987" spans="1:14" x14ac:dyDescent="0.25">
      <c r="A987" s="15">
        <f t="shared" si="231"/>
        <v>2</v>
      </c>
      <c r="B987" s="20">
        <f t="shared" si="219"/>
        <v>986</v>
      </c>
      <c r="C987" s="17">
        <f t="shared" si="220"/>
        <v>152</v>
      </c>
      <c r="D987" s="17" t="str">
        <f t="shared" si="218"/>
        <v>20130604</v>
      </c>
      <c r="E987" s="20" t="str">
        <f t="shared" si="215"/>
        <v>20130604152</v>
      </c>
      <c r="F987" s="19">
        <v>14</v>
      </c>
      <c r="G987" s="19">
        <v>46</v>
      </c>
      <c r="H987" s="19">
        <v>43</v>
      </c>
      <c r="I987" s="19">
        <v>19</v>
      </c>
      <c r="J987" s="19">
        <v>34</v>
      </c>
      <c r="K987" s="19">
        <v>47</v>
      </c>
      <c r="L987" s="19">
        <v>42</v>
      </c>
      <c r="M987" s="19">
        <f t="shared" si="217"/>
        <v>245</v>
      </c>
      <c r="N987" s="27">
        <f t="shared" si="229"/>
        <v>41429</v>
      </c>
    </row>
    <row r="988" spans="1:14" x14ac:dyDescent="0.25">
      <c r="A988" s="15">
        <f t="shared" si="231"/>
        <v>5</v>
      </c>
      <c r="B988" s="20">
        <f t="shared" si="219"/>
        <v>987</v>
      </c>
      <c r="C988" s="17">
        <f t="shared" si="220"/>
        <v>153</v>
      </c>
      <c r="D988" s="17" t="str">
        <f t="shared" si="218"/>
        <v>20130607</v>
      </c>
      <c r="E988" s="20" t="str">
        <f t="shared" si="215"/>
        <v>20130607153</v>
      </c>
      <c r="F988" s="19">
        <v>39</v>
      </c>
      <c r="G988" s="19">
        <v>14</v>
      </c>
      <c r="H988" s="19">
        <v>29</v>
      </c>
      <c r="I988" s="19">
        <v>33</v>
      </c>
      <c r="J988" s="19">
        <v>3</v>
      </c>
      <c r="K988" s="19">
        <v>48</v>
      </c>
      <c r="L988" s="19">
        <v>22</v>
      </c>
      <c r="M988" s="19">
        <f t="shared" si="217"/>
        <v>188</v>
      </c>
      <c r="N988" s="27">
        <f t="shared" si="230"/>
        <v>41432</v>
      </c>
    </row>
    <row r="989" spans="1:14" x14ac:dyDescent="0.25">
      <c r="A989" s="15">
        <f t="shared" si="231"/>
        <v>2</v>
      </c>
      <c r="B989" s="20">
        <f t="shared" si="219"/>
        <v>988</v>
      </c>
      <c r="C989" s="17">
        <f t="shared" si="220"/>
        <v>154</v>
      </c>
      <c r="D989" s="17" t="str">
        <f t="shared" si="218"/>
        <v>20130611</v>
      </c>
      <c r="E989" s="20" t="str">
        <f t="shared" si="215"/>
        <v>20130611154</v>
      </c>
      <c r="F989" s="19">
        <v>46</v>
      </c>
      <c r="G989" s="19">
        <v>34</v>
      </c>
      <c r="H989" s="19">
        <v>49</v>
      </c>
      <c r="I989" s="19">
        <v>20</v>
      </c>
      <c r="J989" s="19">
        <v>16</v>
      </c>
      <c r="K989" s="19">
        <v>42</v>
      </c>
      <c r="L989" s="19">
        <v>4</v>
      </c>
      <c r="M989" s="19">
        <f t="shared" si="217"/>
        <v>211</v>
      </c>
      <c r="N989" s="27">
        <f t="shared" si="229"/>
        <v>41436</v>
      </c>
    </row>
    <row r="990" spans="1:14" x14ac:dyDescent="0.25">
      <c r="A990" s="15">
        <f t="shared" si="231"/>
        <v>5</v>
      </c>
      <c r="B990" s="20">
        <f t="shared" si="219"/>
        <v>989</v>
      </c>
      <c r="C990" s="17">
        <f t="shared" si="220"/>
        <v>155</v>
      </c>
      <c r="D990" s="17" t="str">
        <f t="shared" si="218"/>
        <v>20130614</v>
      </c>
      <c r="E990" s="20" t="str">
        <f t="shared" si="215"/>
        <v>20130614155</v>
      </c>
      <c r="F990" s="19">
        <v>35</v>
      </c>
      <c r="G990" s="19">
        <v>47</v>
      </c>
      <c r="H990" s="19">
        <v>22</v>
      </c>
      <c r="I990" s="19">
        <v>4</v>
      </c>
      <c r="J990" s="19">
        <v>16</v>
      </c>
      <c r="K990" s="19">
        <v>32</v>
      </c>
      <c r="L990" s="19">
        <v>43</v>
      </c>
      <c r="M990" s="19">
        <f t="shared" si="217"/>
        <v>199</v>
      </c>
      <c r="N990" s="27">
        <f t="shared" si="230"/>
        <v>41439</v>
      </c>
    </row>
    <row r="991" spans="1:14" x14ac:dyDescent="0.25">
      <c r="A991" s="15">
        <f t="shared" si="231"/>
        <v>2</v>
      </c>
      <c r="B991" s="20">
        <f t="shared" si="219"/>
        <v>990</v>
      </c>
      <c r="C991" s="17">
        <f t="shared" si="220"/>
        <v>156</v>
      </c>
      <c r="D991" s="17" t="str">
        <f t="shared" si="218"/>
        <v>20130618</v>
      </c>
      <c r="E991" s="20" t="str">
        <f t="shared" si="215"/>
        <v>20130618156</v>
      </c>
      <c r="F991" s="19">
        <v>41</v>
      </c>
      <c r="G991" s="19">
        <v>36</v>
      </c>
      <c r="H991" s="19">
        <v>11</v>
      </c>
      <c r="I991" s="19">
        <v>4</v>
      </c>
      <c r="J991" s="19">
        <v>43</v>
      </c>
      <c r="K991" s="19">
        <v>25</v>
      </c>
      <c r="L991" s="19">
        <v>27</v>
      </c>
      <c r="M991" s="19">
        <f t="shared" si="217"/>
        <v>187</v>
      </c>
      <c r="N991" s="27">
        <f t="shared" si="229"/>
        <v>41443</v>
      </c>
    </row>
    <row r="992" spans="1:14" x14ac:dyDescent="0.25">
      <c r="A992" s="15">
        <f t="shared" si="231"/>
        <v>5</v>
      </c>
      <c r="B992" s="20">
        <f t="shared" si="219"/>
        <v>991</v>
      </c>
      <c r="C992" s="17">
        <f t="shared" si="220"/>
        <v>157</v>
      </c>
      <c r="D992" s="17" t="str">
        <f t="shared" si="218"/>
        <v>20130621</v>
      </c>
      <c r="E992" s="20" t="str">
        <f t="shared" si="215"/>
        <v>20130621157</v>
      </c>
      <c r="F992" s="19">
        <v>41</v>
      </c>
      <c r="G992" s="19">
        <v>35</v>
      </c>
      <c r="H992" s="19">
        <v>39</v>
      </c>
      <c r="I992" s="19">
        <v>29</v>
      </c>
      <c r="J992" s="19">
        <v>10</v>
      </c>
      <c r="K992" s="19">
        <v>44</v>
      </c>
      <c r="L992" s="19">
        <v>7</v>
      </c>
      <c r="M992" s="19">
        <f t="shared" si="217"/>
        <v>205</v>
      </c>
      <c r="N992" s="27">
        <f t="shared" si="230"/>
        <v>41446</v>
      </c>
    </row>
    <row r="993" spans="1:14" x14ac:dyDescent="0.25">
      <c r="A993" s="15">
        <f t="shared" si="231"/>
        <v>2</v>
      </c>
      <c r="B993" s="20">
        <f t="shared" si="219"/>
        <v>992</v>
      </c>
      <c r="C993" s="17">
        <f t="shared" si="220"/>
        <v>158</v>
      </c>
      <c r="D993" s="17" t="str">
        <f t="shared" si="218"/>
        <v>20130625</v>
      </c>
      <c r="E993" s="20" t="str">
        <f t="shared" si="215"/>
        <v>20130625158</v>
      </c>
      <c r="F993" s="19">
        <v>34</v>
      </c>
      <c r="G993" s="19">
        <v>18</v>
      </c>
      <c r="H993" s="19">
        <v>26</v>
      </c>
      <c r="I993" s="19">
        <v>28</v>
      </c>
      <c r="J993" s="19">
        <v>38</v>
      </c>
      <c r="K993" s="19">
        <v>7</v>
      </c>
      <c r="L993" s="19">
        <v>5</v>
      </c>
      <c r="M993" s="19">
        <f t="shared" si="217"/>
        <v>156</v>
      </c>
      <c r="N993" s="27">
        <f t="shared" si="229"/>
        <v>41450</v>
      </c>
    </row>
    <row r="994" spans="1:14" x14ac:dyDescent="0.25">
      <c r="A994" s="15">
        <f t="shared" si="231"/>
        <v>5</v>
      </c>
      <c r="B994" s="20">
        <f t="shared" si="219"/>
        <v>993</v>
      </c>
      <c r="C994" s="17">
        <f t="shared" si="220"/>
        <v>159</v>
      </c>
      <c r="D994" s="17" t="str">
        <f t="shared" si="218"/>
        <v>20130628</v>
      </c>
      <c r="E994" s="20" t="str">
        <f t="shared" si="215"/>
        <v>20130628159</v>
      </c>
      <c r="F994" s="19">
        <v>26</v>
      </c>
      <c r="G994" s="19">
        <v>31</v>
      </c>
      <c r="H994" s="19">
        <v>49</v>
      </c>
      <c r="I994" s="19">
        <v>22</v>
      </c>
      <c r="J994" s="19">
        <v>44</v>
      </c>
      <c r="K994" s="19">
        <v>42</v>
      </c>
      <c r="L994" s="19">
        <v>29</v>
      </c>
      <c r="M994" s="19">
        <f t="shared" si="217"/>
        <v>243</v>
      </c>
      <c r="N994" s="27">
        <f t="shared" si="230"/>
        <v>41453</v>
      </c>
    </row>
    <row r="995" spans="1:14" x14ac:dyDescent="0.25">
      <c r="A995" s="15">
        <f t="shared" si="231"/>
        <v>2</v>
      </c>
      <c r="B995" s="20">
        <f t="shared" si="219"/>
        <v>994</v>
      </c>
      <c r="C995" s="17">
        <f t="shared" si="220"/>
        <v>160</v>
      </c>
      <c r="D995" s="17" t="str">
        <f t="shared" si="218"/>
        <v>20130702</v>
      </c>
      <c r="E995" s="20" t="str">
        <f t="shared" si="215"/>
        <v>20130702160</v>
      </c>
      <c r="F995" s="19">
        <v>5</v>
      </c>
      <c r="G995" s="19">
        <v>44</v>
      </c>
      <c r="H995" s="19">
        <v>1</v>
      </c>
      <c r="I995" s="19">
        <v>21</v>
      </c>
      <c r="J995" s="19">
        <v>18</v>
      </c>
      <c r="K995" s="19">
        <v>40</v>
      </c>
      <c r="L995" s="19">
        <v>22</v>
      </c>
      <c r="M995" s="19">
        <f t="shared" si="217"/>
        <v>151</v>
      </c>
      <c r="N995" s="27">
        <f t="shared" si="229"/>
        <v>41457</v>
      </c>
    </row>
    <row r="996" spans="1:14" x14ac:dyDescent="0.25">
      <c r="A996" s="15">
        <f t="shared" si="231"/>
        <v>5</v>
      </c>
      <c r="B996" s="20">
        <f t="shared" si="219"/>
        <v>995</v>
      </c>
      <c r="C996" s="17">
        <f t="shared" si="220"/>
        <v>161</v>
      </c>
      <c r="D996" s="17" t="str">
        <f t="shared" si="218"/>
        <v>20130705</v>
      </c>
      <c r="E996" s="20" t="str">
        <f t="shared" si="215"/>
        <v>20130705161</v>
      </c>
      <c r="F996" s="19">
        <v>45</v>
      </c>
      <c r="G996" s="19">
        <v>40</v>
      </c>
      <c r="H996" s="19">
        <v>28</v>
      </c>
      <c r="I996" s="19">
        <v>39</v>
      </c>
      <c r="J996" s="19">
        <v>11</v>
      </c>
      <c r="K996" s="19">
        <v>14</v>
      </c>
      <c r="L996" s="19">
        <v>42</v>
      </c>
      <c r="M996" s="19">
        <f t="shared" si="217"/>
        <v>219</v>
      </c>
      <c r="N996" s="27">
        <f t="shared" si="230"/>
        <v>41460</v>
      </c>
    </row>
    <row r="997" spans="1:14" x14ac:dyDescent="0.25">
      <c r="A997" s="15">
        <f t="shared" si="231"/>
        <v>2</v>
      </c>
      <c r="B997" s="20">
        <f t="shared" si="219"/>
        <v>996</v>
      </c>
      <c r="C997" s="17">
        <f t="shared" si="220"/>
        <v>162</v>
      </c>
      <c r="D997" s="17" t="str">
        <f t="shared" si="218"/>
        <v>20130709</v>
      </c>
      <c r="E997" s="20" t="str">
        <f t="shared" si="215"/>
        <v>20130709162</v>
      </c>
      <c r="F997" s="19">
        <v>43</v>
      </c>
      <c r="G997" s="19">
        <v>41</v>
      </c>
      <c r="H997" s="19">
        <v>29</v>
      </c>
      <c r="I997" s="19">
        <v>28</v>
      </c>
      <c r="J997" s="19">
        <v>19</v>
      </c>
      <c r="K997" s="19">
        <v>24</v>
      </c>
      <c r="L997" s="19">
        <v>37</v>
      </c>
      <c r="M997" s="19">
        <f t="shared" si="217"/>
        <v>221</v>
      </c>
      <c r="N997" s="27">
        <f t="shared" si="229"/>
        <v>41464</v>
      </c>
    </row>
    <row r="998" spans="1:14" x14ac:dyDescent="0.25">
      <c r="A998" s="15">
        <f t="shared" si="231"/>
        <v>5</v>
      </c>
      <c r="B998" s="20">
        <f t="shared" si="219"/>
        <v>997</v>
      </c>
      <c r="C998" s="17">
        <f t="shared" si="220"/>
        <v>163</v>
      </c>
      <c r="D998" s="17" t="str">
        <f t="shared" si="218"/>
        <v>20130712</v>
      </c>
      <c r="E998" s="20" t="str">
        <f t="shared" si="215"/>
        <v>20130712163</v>
      </c>
      <c r="F998" s="19">
        <v>48</v>
      </c>
      <c r="G998" s="19">
        <v>47</v>
      </c>
      <c r="H998" s="19">
        <v>29</v>
      </c>
      <c r="I998" s="19">
        <v>34</v>
      </c>
      <c r="J998" s="19">
        <v>24</v>
      </c>
      <c r="K998" s="19">
        <v>15</v>
      </c>
      <c r="L998" s="19">
        <v>31</v>
      </c>
      <c r="M998" s="19">
        <f t="shared" si="217"/>
        <v>228</v>
      </c>
      <c r="N998" s="27">
        <f t="shared" si="230"/>
        <v>41467</v>
      </c>
    </row>
    <row r="999" spans="1:14" x14ac:dyDescent="0.25">
      <c r="A999" s="15">
        <f t="shared" si="231"/>
        <v>2</v>
      </c>
      <c r="B999" s="20">
        <f t="shared" si="219"/>
        <v>998</v>
      </c>
      <c r="C999" s="17">
        <f t="shared" si="220"/>
        <v>164</v>
      </c>
      <c r="D999" s="17" t="str">
        <f t="shared" si="218"/>
        <v>20130716</v>
      </c>
      <c r="E999" s="20" t="str">
        <f t="shared" si="215"/>
        <v>20130716164</v>
      </c>
      <c r="F999" s="19">
        <v>13</v>
      </c>
      <c r="G999" s="19">
        <v>31</v>
      </c>
      <c r="H999" s="19">
        <v>16</v>
      </c>
      <c r="I999" s="19">
        <v>29</v>
      </c>
      <c r="J999" s="19">
        <v>10</v>
      </c>
      <c r="K999" s="19">
        <v>37</v>
      </c>
      <c r="L999" s="19">
        <v>32</v>
      </c>
      <c r="M999" s="19">
        <f t="shared" si="217"/>
        <v>168</v>
      </c>
      <c r="N999" s="27">
        <f t="shared" si="229"/>
        <v>41471</v>
      </c>
    </row>
    <row r="1000" spans="1:14" x14ac:dyDescent="0.25">
      <c r="A1000" s="15">
        <f t="shared" si="231"/>
        <v>5</v>
      </c>
      <c r="B1000" s="20">
        <f t="shared" si="219"/>
        <v>999</v>
      </c>
      <c r="C1000" s="17">
        <f t="shared" si="220"/>
        <v>165</v>
      </c>
      <c r="D1000" s="17" t="str">
        <f t="shared" si="218"/>
        <v>20130719</v>
      </c>
      <c r="E1000" s="20" t="str">
        <f t="shared" si="215"/>
        <v>20130719165</v>
      </c>
      <c r="F1000" s="19">
        <v>5</v>
      </c>
      <c r="G1000" s="19">
        <v>3</v>
      </c>
      <c r="H1000" s="19">
        <v>15</v>
      </c>
      <c r="I1000" s="19">
        <v>9</v>
      </c>
      <c r="J1000" s="19">
        <v>49</v>
      </c>
      <c r="K1000" s="19">
        <v>30</v>
      </c>
      <c r="L1000" s="19">
        <v>48</v>
      </c>
      <c r="M1000" s="19">
        <f t="shared" si="217"/>
        <v>159</v>
      </c>
      <c r="N1000" s="27">
        <f t="shared" si="230"/>
        <v>41474</v>
      </c>
    </row>
    <row r="1001" spans="1:14" x14ac:dyDescent="0.25">
      <c r="A1001" s="15">
        <f t="shared" si="231"/>
        <v>2</v>
      </c>
      <c r="B1001" s="20">
        <f t="shared" si="219"/>
        <v>1000</v>
      </c>
      <c r="C1001" s="17">
        <f t="shared" si="220"/>
        <v>166</v>
      </c>
      <c r="D1001" s="17" t="str">
        <f t="shared" si="218"/>
        <v>20130723</v>
      </c>
      <c r="E1001" s="20" t="str">
        <f t="shared" si="215"/>
        <v>20130723166</v>
      </c>
      <c r="F1001" s="19">
        <v>17</v>
      </c>
      <c r="G1001" s="19">
        <v>35</v>
      </c>
      <c r="H1001" s="19">
        <v>24</v>
      </c>
      <c r="I1001" s="19">
        <v>27</v>
      </c>
      <c r="J1001" s="19">
        <v>49</v>
      </c>
      <c r="K1001" s="19">
        <v>4</v>
      </c>
      <c r="L1001" s="19">
        <v>39</v>
      </c>
      <c r="M1001" s="19">
        <f t="shared" si="217"/>
        <v>195</v>
      </c>
      <c r="N1001" s="27">
        <f t="shared" si="229"/>
        <v>41478</v>
      </c>
    </row>
    <row r="1002" spans="1:14" x14ac:dyDescent="0.25">
      <c r="A1002" s="15">
        <f t="shared" si="231"/>
        <v>5</v>
      </c>
      <c r="B1002" s="20">
        <f t="shared" si="219"/>
        <v>1001</v>
      </c>
      <c r="C1002" s="17">
        <f t="shared" si="220"/>
        <v>167</v>
      </c>
      <c r="D1002" s="17" t="str">
        <f t="shared" si="218"/>
        <v>20130726</v>
      </c>
      <c r="E1002" s="20" t="str">
        <f t="shared" si="215"/>
        <v>20130726167</v>
      </c>
      <c r="F1002" s="19">
        <v>34</v>
      </c>
      <c r="G1002" s="19">
        <v>17</v>
      </c>
      <c r="H1002" s="19">
        <v>8</v>
      </c>
      <c r="I1002" s="19">
        <v>39</v>
      </c>
      <c r="J1002" s="19">
        <v>21</v>
      </c>
      <c r="K1002" s="19">
        <v>45</v>
      </c>
      <c r="L1002" s="19">
        <v>44</v>
      </c>
      <c r="M1002" s="19">
        <f t="shared" si="217"/>
        <v>208</v>
      </c>
      <c r="N1002" s="27">
        <f t="shared" si="230"/>
        <v>41481</v>
      </c>
    </row>
    <row r="1003" spans="1:14" x14ac:dyDescent="0.25">
      <c r="A1003" s="15">
        <f t="shared" si="231"/>
        <v>2</v>
      </c>
      <c r="B1003" s="20">
        <f t="shared" si="219"/>
        <v>1002</v>
      </c>
      <c r="C1003" s="17">
        <f t="shared" si="220"/>
        <v>168</v>
      </c>
      <c r="D1003" s="17" t="str">
        <f t="shared" si="218"/>
        <v>20130730</v>
      </c>
      <c r="E1003" s="20" t="str">
        <f t="shared" si="215"/>
        <v>20130730168</v>
      </c>
      <c r="F1003" s="19">
        <v>43</v>
      </c>
      <c r="G1003" s="19">
        <v>6</v>
      </c>
      <c r="H1003" s="19">
        <v>22</v>
      </c>
      <c r="I1003" s="19">
        <v>15</v>
      </c>
      <c r="J1003" s="19">
        <v>45</v>
      </c>
      <c r="K1003" s="19">
        <v>16</v>
      </c>
      <c r="L1003" s="19">
        <v>48</v>
      </c>
      <c r="M1003" s="19">
        <f t="shared" si="217"/>
        <v>195</v>
      </c>
      <c r="N1003" s="27">
        <f t="shared" si="229"/>
        <v>41485</v>
      </c>
    </row>
    <row r="1004" spans="1:14" x14ac:dyDescent="0.25">
      <c r="A1004" s="15">
        <f t="shared" si="231"/>
        <v>5</v>
      </c>
      <c r="B1004" s="20">
        <f t="shared" si="219"/>
        <v>1003</v>
      </c>
      <c r="C1004" s="17">
        <f t="shared" si="220"/>
        <v>169</v>
      </c>
      <c r="D1004" s="17" t="str">
        <f t="shared" si="218"/>
        <v>20130802</v>
      </c>
      <c r="E1004" s="20" t="str">
        <f t="shared" si="215"/>
        <v>20130802169</v>
      </c>
      <c r="F1004" s="19">
        <v>43</v>
      </c>
      <c r="G1004" s="19">
        <v>7</v>
      </c>
      <c r="H1004" s="19">
        <v>44</v>
      </c>
      <c r="I1004" s="19">
        <v>45</v>
      </c>
      <c r="J1004" s="19">
        <v>46</v>
      </c>
      <c r="K1004" s="19">
        <v>27</v>
      </c>
      <c r="L1004" s="19">
        <v>35</v>
      </c>
      <c r="M1004" s="19">
        <f t="shared" si="217"/>
        <v>247</v>
      </c>
      <c r="N1004" s="27">
        <f t="shared" si="230"/>
        <v>41488</v>
      </c>
    </row>
    <row r="1005" spans="1:14" x14ac:dyDescent="0.25">
      <c r="A1005" s="15">
        <f t="shared" si="231"/>
        <v>2</v>
      </c>
      <c r="B1005" s="20">
        <f t="shared" si="219"/>
        <v>1004</v>
      </c>
      <c r="C1005" s="17">
        <f t="shared" si="220"/>
        <v>170</v>
      </c>
      <c r="D1005" s="17" t="str">
        <f t="shared" si="218"/>
        <v>20130806</v>
      </c>
      <c r="E1005" s="20" t="str">
        <f t="shared" si="215"/>
        <v>20130806170</v>
      </c>
      <c r="F1005" s="19">
        <v>27</v>
      </c>
      <c r="G1005" s="19">
        <v>17</v>
      </c>
      <c r="H1005" s="19">
        <v>48</v>
      </c>
      <c r="I1005" s="19">
        <v>32</v>
      </c>
      <c r="J1005" s="19">
        <v>4</v>
      </c>
      <c r="K1005" s="19">
        <v>1</v>
      </c>
      <c r="L1005" s="19">
        <v>6</v>
      </c>
      <c r="M1005" s="19">
        <f t="shared" si="217"/>
        <v>135</v>
      </c>
      <c r="N1005" s="27">
        <f t="shared" si="229"/>
        <v>41492</v>
      </c>
    </row>
    <row r="1006" spans="1:14" x14ac:dyDescent="0.25">
      <c r="A1006" s="15">
        <f t="shared" si="231"/>
        <v>5</v>
      </c>
      <c r="B1006" s="20">
        <f t="shared" si="219"/>
        <v>1005</v>
      </c>
      <c r="C1006" s="17">
        <f t="shared" si="220"/>
        <v>171</v>
      </c>
      <c r="D1006" s="17" t="str">
        <f t="shared" si="218"/>
        <v>20130809</v>
      </c>
      <c r="E1006" s="20" t="str">
        <f t="shared" si="215"/>
        <v>20130809171</v>
      </c>
      <c r="F1006" s="19">
        <v>12</v>
      </c>
      <c r="G1006" s="19">
        <v>13</v>
      </c>
      <c r="H1006" s="19">
        <v>4</v>
      </c>
      <c r="I1006" s="19">
        <v>3</v>
      </c>
      <c r="J1006" s="19">
        <v>24</v>
      </c>
      <c r="K1006" s="19">
        <v>30</v>
      </c>
      <c r="L1006" s="19">
        <v>9</v>
      </c>
      <c r="M1006" s="19">
        <f t="shared" si="217"/>
        <v>95</v>
      </c>
      <c r="N1006" s="27">
        <f t="shared" si="230"/>
        <v>41495</v>
      </c>
    </row>
    <row r="1007" spans="1:14" x14ac:dyDescent="0.25">
      <c r="A1007" s="15">
        <f t="shared" si="231"/>
        <v>2</v>
      </c>
      <c r="B1007" s="20">
        <f t="shared" si="219"/>
        <v>1006</v>
      </c>
      <c r="C1007" s="17">
        <f t="shared" si="220"/>
        <v>172</v>
      </c>
      <c r="D1007" s="17" t="str">
        <f t="shared" si="218"/>
        <v>20130813</v>
      </c>
      <c r="E1007" s="20" t="str">
        <f t="shared" si="215"/>
        <v>20130813172</v>
      </c>
      <c r="F1007" s="19">
        <v>14</v>
      </c>
      <c r="G1007" s="19">
        <v>48</v>
      </c>
      <c r="H1007" s="19">
        <v>37</v>
      </c>
      <c r="I1007" s="19">
        <v>34</v>
      </c>
      <c r="J1007" s="19">
        <v>16</v>
      </c>
      <c r="K1007" s="19">
        <v>12</v>
      </c>
      <c r="L1007" s="19">
        <v>7</v>
      </c>
      <c r="M1007" s="19">
        <f t="shared" si="217"/>
        <v>168</v>
      </c>
      <c r="N1007" s="27">
        <f t="shared" si="229"/>
        <v>41499</v>
      </c>
    </row>
    <row r="1008" spans="1:14" x14ac:dyDescent="0.25">
      <c r="A1008" s="15">
        <f t="shared" si="231"/>
        <v>5</v>
      </c>
      <c r="B1008" s="20">
        <f t="shared" si="219"/>
        <v>1007</v>
      </c>
      <c r="C1008" s="17">
        <f t="shared" si="220"/>
        <v>173</v>
      </c>
      <c r="D1008" s="17" t="str">
        <f t="shared" si="218"/>
        <v>20130816</v>
      </c>
      <c r="E1008" s="20" t="str">
        <f t="shared" si="215"/>
        <v>20130816173</v>
      </c>
      <c r="F1008" s="19">
        <v>24</v>
      </c>
      <c r="G1008" s="19">
        <v>40</v>
      </c>
      <c r="H1008" s="19">
        <v>29</v>
      </c>
      <c r="I1008" s="19">
        <v>17</v>
      </c>
      <c r="J1008" s="19">
        <v>27</v>
      </c>
      <c r="K1008" s="19">
        <v>4</v>
      </c>
      <c r="L1008" s="19">
        <v>9</v>
      </c>
      <c r="M1008" s="19">
        <f t="shared" si="217"/>
        <v>150</v>
      </c>
      <c r="N1008" s="27">
        <f t="shared" si="230"/>
        <v>41502</v>
      </c>
    </row>
    <row r="1009" spans="1:14" x14ac:dyDescent="0.25">
      <c r="A1009" s="15">
        <f t="shared" si="231"/>
        <v>2</v>
      </c>
      <c r="B1009" s="20">
        <f t="shared" si="219"/>
        <v>1008</v>
      </c>
      <c r="C1009" s="17">
        <f t="shared" si="220"/>
        <v>174</v>
      </c>
      <c r="D1009" s="17" t="str">
        <f t="shared" si="218"/>
        <v>20130820</v>
      </c>
      <c r="E1009" s="20" t="str">
        <f t="shared" si="215"/>
        <v>20130820174</v>
      </c>
      <c r="F1009" s="19">
        <v>49</v>
      </c>
      <c r="G1009" s="19">
        <v>31</v>
      </c>
      <c r="H1009" s="19">
        <v>16</v>
      </c>
      <c r="I1009" s="19">
        <v>28</v>
      </c>
      <c r="J1009" s="19">
        <v>7</v>
      </c>
      <c r="K1009" s="19">
        <v>5</v>
      </c>
      <c r="L1009" s="19">
        <v>34</v>
      </c>
      <c r="M1009" s="19">
        <f t="shared" si="217"/>
        <v>170</v>
      </c>
      <c r="N1009" s="27">
        <f t="shared" si="229"/>
        <v>41506</v>
      </c>
    </row>
    <row r="1010" spans="1:14" x14ac:dyDescent="0.25">
      <c r="A1010" s="15">
        <f t="shared" si="231"/>
        <v>5</v>
      </c>
      <c r="B1010" s="20">
        <f t="shared" si="219"/>
        <v>1009</v>
      </c>
      <c r="C1010" s="17">
        <f t="shared" si="220"/>
        <v>175</v>
      </c>
      <c r="D1010" s="17" t="str">
        <f t="shared" si="218"/>
        <v>20130823</v>
      </c>
      <c r="E1010" s="20" t="str">
        <f t="shared" si="215"/>
        <v>20130823175</v>
      </c>
      <c r="F1010" s="19">
        <v>12</v>
      </c>
      <c r="G1010" s="19">
        <v>11</v>
      </c>
      <c r="H1010" s="19">
        <v>5</v>
      </c>
      <c r="I1010" s="19">
        <v>14</v>
      </c>
      <c r="J1010" s="19">
        <v>31</v>
      </c>
      <c r="K1010" s="19">
        <v>35</v>
      </c>
      <c r="L1010" s="19">
        <v>26</v>
      </c>
      <c r="M1010" s="19">
        <f t="shared" si="217"/>
        <v>134</v>
      </c>
      <c r="N1010" s="27">
        <f t="shared" si="230"/>
        <v>41509</v>
      </c>
    </row>
    <row r="1011" spans="1:14" x14ac:dyDescent="0.25">
      <c r="A1011" s="15">
        <f t="shared" si="231"/>
        <v>2</v>
      </c>
      <c r="B1011" s="20">
        <f t="shared" si="219"/>
        <v>1010</v>
      </c>
      <c r="C1011" s="17">
        <f t="shared" si="220"/>
        <v>176</v>
      </c>
      <c r="D1011" s="17" t="str">
        <f t="shared" si="218"/>
        <v>20130827</v>
      </c>
      <c r="E1011" s="20" t="str">
        <f t="shared" si="215"/>
        <v>20130827176</v>
      </c>
      <c r="F1011" s="19">
        <v>11</v>
      </c>
      <c r="G1011" s="19">
        <v>8</v>
      </c>
      <c r="H1011" s="19">
        <v>15</v>
      </c>
      <c r="I1011" s="19">
        <v>5</v>
      </c>
      <c r="J1011" s="19">
        <v>36</v>
      </c>
      <c r="K1011" s="19">
        <v>14</v>
      </c>
      <c r="L1011" s="19">
        <v>46</v>
      </c>
      <c r="M1011" s="19">
        <f t="shared" si="217"/>
        <v>135</v>
      </c>
      <c r="N1011" s="27">
        <f t="shared" si="229"/>
        <v>41513</v>
      </c>
    </row>
    <row r="1012" spans="1:14" x14ac:dyDescent="0.25">
      <c r="A1012" s="15">
        <f t="shared" si="231"/>
        <v>5</v>
      </c>
      <c r="B1012" s="20">
        <f t="shared" si="219"/>
        <v>1011</v>
      </c>
      <c r="C1012" s="17">
        <f t="shared" si="220"/>
        <v>177</v>
      </c>
      <c r="D1012" s="17" t="str">
        <f t="shared" si="218"/>
        <v>20130830</v>
      </c>
      <c r="E1012" s="20" t="str">
        <f t="shared" si="215"/>
        <v>20130830177</v>
      </c>
      <c r="F1012" s="19">
        <v>21</v>
      </c>
      <c r="G1012" s="19">
        <v>36</v>
      </c>
      <c r="H1012" s="19">
        <v>2</v>
      </c>
      <c r="I1012" s="19">
        <v>46</v>
      </c>
      <c r="J1012" s="19">
        <v>27</v>
      </c>
      <c r="K1012" s="19">
        <v>24</v>
      </c>
      <c r="L1012" s="19">
        <v>5</v>
      </c>
      <c r="M1012" s="19">
        <f t="shared" si="217"/>
        <v>161</v>
      </c>
      <c r="N1012" s="27">
        <f t="shared" si="230"/>
        <v>41516</v>
      </c>
    </row>
    <row r="1013" spans="1:14" x14ac:dyDescent="0.25">
      <c r="A1013" s="15">
        <f t="shared" si="231"/>
        <v>2</v>
      </c>
      <c r="B1013" s="20">
        <f t="shared" si="219"/>
        <v>1012</v>
      </c>
      <c r="C1013" s="17">
        <f t="shared" si="220"/>
        <v>178</v>
      </c>
      <c r="D1013" s="17" t="str">
        <f t="shared" si="218"/>
        <v>20130903</v>
      </c>
      <c r="E1013" s="20" t="str">
        <f t="shared" si="215"/>
        <v>20130903178</v>
      </c>
      <c r="F1013" s="19">
        <v>39</v>
      </c>
      <c r="G1013" s="19">
        <v>29</v>
      </c>
      <c r="H1013" s="19">
        <v>48</v>
      </c>
      <c r="I1013" s="19">
        <v>22</v>
      </c>
      <c r="J1013" s="19">
        <v>13</v>
      </c>
      <c r="K1013" s="19">
        <v>11</v>
      </c>
      <c r="L1013" s="19">
        <v>45</v>
      </c>
      <c r="M1013" s="19">
        <f t="shared" si="217"/>
        <v>207</v>
      </c>
      <c r="N1013" s="27">
        <f t="shared" si="229"/>
        <v>41520</v>
      </c>
    </row>
    <row r="1014" spans="1:14" x14ac:dyDescent="0.25">
      <c r="A1014" s="15">
        <f t="shared" si="231"/>
        <v>5</v>
      </c>
      <c r="B1014" s="20">
        <f t="shared" si="219"/>
        <v>1013</v>
      </c>
      <c r="C1014" s="17">
        <f t="shared" si="220"/>
        <v>179</v>
      </c>
      <c r="D1014" s="17" t="str">
        <f t="shared" si="218"/>
        <v>20130906</v>
      </c>
      <c r="E1014" s="20" t="str">
        <f t="shared" si="215"/>
        <v>20130906179</v>
      </c>
      <c r="F1014" s="19">
        <v>14</v>
      </c>
      <c r="G1014" s="19">
        <v>7</v>
      </c>
      <c r="H1014" s="19">
        <v>48</v>
      </c>
      <c r="I1014" s="19">
        <v>33</v>
      </c>
      <c r="J1014" s="19">
        <v>6</v>
      </c>
      <c r="K1014" s="19">
        <v>36</v>
      </c>
      <c r="L1014" s="19">
        <v>18</v>
      </c>
      <c r="M1014" s="19">
        <f t="shared" si="217"/>
        <v>162</v>
      </c>
      <c r="N1014" s="27">
        <f t="shared" si="230"/>
        <v>41523</v>
      </c>
    </row>
    <row r="1015" spans="1:14" x14ac:dyDescent="0.25">
      <c r="A1015" s="15">
        <f t="shared" si="231"/>
        <v>2</v>
      </c>
      <c r="B1015" s="20">
        <f t="shared" si="219"/>
        <v>1014</v>
      </c>
      <c r="C1015" s="17">
        <f t="shared" si="220"/>
        <v>180</v>
      </c>
      <c r="D1015" s="17" t="str">
        <f t="shared" si="218"/>
        <v>20130910</v>
      </c>
      <c r="E1015" s="20" t="str">
        <f t="shared" si="215"/>
        <v>20130910180</v>
      </c>
      <c r="F1015" s="19">
        <v>42</v>
      </c>
      <c r="G1015" s="19">
        <v>14</v>
      </c>
      <c r="H1015" s="19">
        <v>34</v>
      </c>
      <c r="I1015" s="19">
        <v>1</v>
      </c>
      <c r="J1015" s="19">
        <v>10</v>
      </c>
      <c r="K1015" s="19">
        <v>47</v>
      </c>
      <c r="L1015" s="19">
        <v>9</v>
      </c>
      <c r="M1015" s="19">
        <f t="shared" si="217"/>
        <v>157</v>
      </c>
      <c r="N1015" s="27">
        <f t="shared" si="229"/>
        <v>41527</v>
      </c>
    </row>
    <row r="1016" spans="1:14" x14ac:dyDescent="0.25">
      <c r="A1016" s="15">
        <f t="shared" si="231"/>
        <v>5</v>
      </c>
      <c r="B1016" s="20">
        <f t="shared" si="219"/>
        <v>1015</v>
      </c>
      <c r="C1016" s="17">
        <f t="shared" si="220"/>
        <v>181</v>
      </c>
      <c r="D1016" s="17" t="str">
        <f t="shared" si="218"/>
        <v>20130913</v>
      </c>
      <c r="E1016" s="20" t="str">
        <f t="shared" si="215"/>
        <v>20130913181</v>
      </c>
      <c r="F1016" s="19">
        <v>16</v>
      </c>
      <c r="G1016" s="19">
        <v>28</v>
      </c>
      <c r="H1016" s="19">
        <v>26</v>
      </c>
      <c r="I1016" s="19">
        <v>27</v>
      </c>
      <c r="J1016" s="19">
        <v>45</v>
      </c>
      <c r="K1016" s="19">
        <v>12</v>
      </c>
      <c r="L1016" s="19">
        <v>6</v>
      </c>
      <c r="M1016" s="19">
        <f t="shared" si="217"/>
        <v>160</v>
      </c>
      <c r="N1016" s="27">
        <f t="shared" si="230"/>
        <v>41530</v>
      </c>
    </row>
    <row r="1017" spans="1:14" x14ac:dyDescent="0.25">
      <c r="A1017" s="15">
        <f t="shared" si="231"/>
        <v>2</v>
      </c>
      <c r="B1017" s="20">
        <f t="shared" si="219"/>
        <v>1016</v>
      </c>
      <c r="C1017" s="17">
        <f t="shared" si="220"/>
        <v>182</v>
      </c>
      <c r="D1017" s="17" t="str">
        <f t="shared" si="218"/>
        <v>20130917</v>
      </c>
      <c r="E1017" s="20" t="str">
        <f t="shared" si="215"/>
        <v>20130917182</v>
      </c>
      <c r="F1017" s="19">
        <v>46</v>
      </c>
      <c r="G1017" s="19">
        <v>40</v>
      </c>
      <c r="H1017" s="19">
        <v>8</v>
      </c>
      <c r="I1017" s="19">
        <v>1</v>
      </c>
      <c r="J1017" s="19">
        <v>17</v>
      </c>
      <c r="K1017" s="19">
        <v>19</v>
      </c>
      <c r="L1017" s="19">
        <v>15</v>
      </c>
      <c r="M1017" s="19">
        <f t="shared" si="217"/>
        <v>146</v>
      </c>
      <c r="N1017" s="27">
        <f t="shared" si="229"/>
        <v>41534</v>
      </c>
    </row>
    <row r="1018" spans="1:14" x14ac:dyDescent="0.25">
      <c r="A1018" s="15">
        <f t="shared" si="231"/>
        <v>5</v>
      </c>
      <c r="B1018" s="20">
        <f t="shared" si="219"/>
        <v>1017</v>
      </c>
      <c r="C1018" s="17">
        <f t="shared" si="220"/>
        <v>183</v>
      </c>
      <c r="D1018" s="17" t="str">
        <f t="shared" si="218"/>
        <v>20130920</v>
      </c>
      <c r="E1018" s="20" t="str">
        <f t="shared" si="215"/>
        <v>20130920183</v>
      </c>
      <c r="F1018" s="19">
        <v>47</v>
      </c>
      <c r="G1018" s="19">
        <v>12</v>
      </c>
      <c r="H1018" s="19">
        <v>6</v>
      </c>
      <c r="I1018" s="19">
        <v>39</v>
      </c>
      <c r="J1018" s="19">
        <v>28</v>
      </c>
      <c r="K1018" s="19">
        <v>19</v>
      </c>
      <c r="L1018" s="19">
        <v>36</v>
      </c>
      <c r="M1018" s="19">
        <f t="shared" si="217"/>
        <v>187</v>
      </c>
      <c r="N1018" s="27">
        <f t="shared" si="230"/>
        <v>41537</v>
      </c>
    </row>
    <row r="1019" spans="1:14" x14ac:dyDescent="0.25">
      <c r="A1019" s="15">
        <f t="shared" si="231"/>
        <v>2</v>
      </c>
      <c r="B1019" s="20">
        <f t="shared" si="219"/>
        <v>1018</v>
      </c>
      <c r="C1019" s="17">
        <f t="shared" si="220"/>
        <v>184</v>
      </c>
      <c r="D1019" s="17" t="str">
        <f t="shared" si="218"/>
        <v>20130924</v>
      </c>
      <c r="E1019" s="20" t="str">
        <f t="shared" si="215"/>
        <v>20130924184</v>
      </c>
      <c r="F1019" s="19">
        <v>15</v>
      </c>
      <c r="G1019" s="19">
        <v>23</v>
      </c>
      <c r="H1019" s="19">
        <v>7</v>
      </c>
      <c r="I1019" s="19">
        <v>35</v>
      </c>
      <c r="J1019" s="19">
        <v>9</v>
      </c>
      <c r="K1019" s="19">
        <v>34</v>
      </c>
      <c r="L1019" s="19">
        <v>41</v>
      </c>
      <c r="M1019" s="19">
        <f t="shared" si="217"/>
        <v>164</v>
      </c>
      <c r="N1019" s="27">
        <f t="shared" si="229"/>
        <v>41541</v>
      </c>
    </row>
    <row r="1020" spans="1:14" x14ac:dyDescent="0.25">
      <c r="A1020" s="15">
        <f t="shared" si="231"/>
        <v>5</v>
      </c>
      <c r="B1020" s="20">
        <f t="shared" si="219"/>
        <v>1019</v>
      </c>
      <c r="C1020" s="17">
        <f t="shared" si="220"/>
        <v>185</v>
      </c>
      <c r="D1020" s="17" t="str">
        <f t="shared" si="218"/>
        <v>20130927</v>
      </c>
      <c r="E1020" s="20" t="str">
        <f t="shared" si="215"/>
        <v>20130927185</v>
      </c>
      <c r="F1020" s="19">
        <v>1</v>
      </c>
      <c r="G1020" s="19">
        <v>18</v>
      </c>
      <c r="H1020" s="19">
        <v>38</v>
      </c>
      <c r="I1020" s="19">
        <v>46</v>
      </c>
      <c r="J1020" s="19">
        <v>12</v>
      </c>
      <c r="K1020" s="19">
        <v>19</v>
      </c>
      <c r="L1020" s="19">
        <v>2</v>
      </c>
      <c r="M1020" s="19">
        <f t="shared" si="217"/>
        <v>136</v>
      </c>
      <c r="N1020" s="27">
        <f t="shared" si="230"/>
        <v>41544</v>
      </c>
    </row>
    <row r="1021" spans="1:14" x14ac:dyDescent="0.25">
      <c r="A1021" s="15">
        <f t="shared" si="231"/>
        <v>2</v>
      </c>
      <c r="B1021" s="20">
        <f t="shared" si="219"/>
        <v>1020</v>
      </c>
      <c r="C1021" s="17">
        <f t="shared" si="220"/>
        <v>186</v>
      </c>
      <c r="D1021" s="17" t="str">
        <f t="shared" si="218"/>
        <v>20131001</v>
      </c>
      <c r="E1021" s="20" t="str">
        <f t="shared" si="215"/>
        <v>20131001186</v>
      </c>
      <c r="F1021" s="19">
        <v>46</v>
      </c>
      <c r="G1021" s="19">
        <v>1</v>
      </c>
      <c r="H1021" s="19">
        <v>17</v>
      </c>
      <c r="I1021" s="19">
        <v>23</v>
      </c>
      <c r="J1021" s="19">
        <v>14</v>
      </c>
      <c r="K1021" s="19">
        <v>4</v>
      </c>
      <c r="L1021" s="19">
        <v>41</v>
      </c>
      <c r="M1021" s="19">
        <f t="shared" si="217"/>
        <v>146</v>
      </c>
      <c r="N1021" s="27">
        <f t="shared" si="229"/>
        <v>41548</v>
      </c>
    </row>
    <row r="1022" spans="1:14" x14ac:dyDescent="0.25">
      <c r="A1022" s="15">
        <f t="shared" si="231"/>
        <v>5</v>
      </c>
      <c r="B1022" s="20">
        <f t="shared" si="219"/>
        <v>1021</v>
      </c>
      <c r="C1022" s="17">
        <f t="shared" si="220"/>
        <v>187</v>
      </c>
      <c r="D1022" s="17" t="str">
        <f t="shared" si="218"/>
        <v>20131004</v>
      </c>
      <c r="E1022" s="20" t="str">
        <f t="shared" si="215"/>
        <v>20131004187</v>
      </c>
      <c r="F1022" s="19">
        <v>12</v>
      </c>
      <c r="G1022" s="19">
        <v>25</v>
      </c>
      <c r="H1022" s="19">
        <v>28</v>
      </c>
      <c r="I1022" s="19">
        <v>18</v>
      </c>
      <c r="J1022" s="19">
        <v>7</v>
      </c>
      <c r="K1022" s="19">
        <v>48</v>
      </c>
      <c r="L1022" s="19">
        <v>46</v>
      </c>
      <c r="M1022" s="19">
        <f t="shared" si="217"/>
        <v>184</v>
      </c>
      <c r="N1022" s="27">
        <f t="shared" si="230"/>
        <v>41551</v>
      </c>
    </row>
    <row r="1023" spans="1:14" x14ac:dyDescent="0.25">
      <c r="A1023" s="15">
        <f t="shared" si="231"/>
        <v>2</v>
      </c>
      <c r="B1023" s="20">
        <f t="shared" si="219"/>
        <v>1022</v>
      </c>
      <c r="C1023" s="17">
        <f t="shared" si="220"/>
        <v>188</v>
      </c>
      <c r="D1023" s="17" t="str">
        <f t="shared" si="218"/>
        <v>20131008</v>
      </c>
      <c r="E1023" s="20" t="str">
        <f t="shared" si="215"/>
        <v>20131008188</v>
      </c>
      <c r="F1023" s="19">
        <v>4</v>
      </c>
      <c r="G1023" s="19">
        <v>6</v>
      </c>
      <c r="H1023" s="19">
        <v>26</v>
      </c>
      <c r="I1023" s="19">
        <v>31</v>
      </c>
      <c r="J1023" s="19">
        <v>7</v>
      </c>
      <c r="K1023" s="19">
        <v>11</v>
      </c>
      <c r="L1023" s="19">
        <v>38</v>
      </c>
      <c r="M1023" s="19">
        <f t="shared" si="217"/>
        <v>123</v>
      </c>
      <c r="N1023" s="27">
        <f t="shared" si="229"/>
        <v>41555</v>
      </c>
    </row>
    <row r="1024" spans="1:14" x14ac:dyDescent="0.25">
      <c r="A1024" s="15">
        <f t="shared" si="231"/>
        <v>5</v>
      </c>
      <c r="B1024" s="20">
        <f t="shared" si="219"/>
        <v>1023</v>
      </c>
      <c r="C1024" s="17">
        <f t="shared" si="220"/>
        <v>189</v>
      </c>
      <c r="D1024" s="17" t="str">
        <f t="shared" si="218"/>
        <v>20131011</v>
      </c>
      <c r="E1024" s="20" t="str">
        <f t="shared" si="215"/>
        <v>20131011189</v>
      </c>
      <c r="F1024" s="19">
        <v>32</v>
      </c>
      <c r="G1024" s="19">
        <v>37</v>
      </c>
      <c r="H1024" s="19">
        <v>2</v>
      </c>
      <c r="I1024" s="19">
        <v>46</v>
      </c>
      <c r="J1024" s="19">
        <v>49</v>
      </c>
      <c r="K1024" s="19">
        <v>10</v>
      </c>
      <c r="L1024" s="19">
        <v>28</v>
      </c>
      <c r="M1024" s="19">
        <f t="shared" si="217"/>
        <v>204</v>
      </c>
      <c r="N1024" s="27">
        <f t="shared" si="230"/>
        <v>41558</v>
      </c>
    </row>
    <row r="1025" spans="1:14" x14ac:dyDescent="0.25">
      <c r="A1025" s="15">
        <f t="shared" si="231"/>
        <v>2</v>
      </c>
      <c r="B1025" s="20">
        <f t="shared" si="219"/>
        <v>1024</v>
      </c>
      <c r="C1025" s="17">
        <f t="shared" si="220"/>
        <v>190</v>
      </c>
      <c r="D1025" s="17" t="str">
        <f t="shared" si="218"/>
        <v>20131015</v>
      </c>
      <c r="E1025" s="20" t="str">
        <f t="shared" si="215"/>
        <v>20131015190</v>
      </c>
      <c r="F1025" s="19">
        <v>20</v>
      </c>
      <c r="G1025" s="19">
        <v>13</v>
      </c>
      <c r="H1025" s="19">
        <v>22</v>
      </c>
      <c r="I1025" s="19">
        <v>16</v>
      </c>
      <c r="J1025" s="19">
        <v>28</v>
      </c>
      <c r="K1025" s="19">
        <v>8</v>
      </c>
      <c r="L1025" s="19">
        <v>49</v>
      </c>
      <c r="M1025" s="19">
        <f t="shared" si="217"/>
        <v>156</v>
      </c>
      <c r="N1025" s="27">
        <f t="shared" si="229"/>
        <v>41562</v>
      </c>
    </row>
    <row r="1026" spans="1:14" x14ac:dyDescent="0.25">
      <c r="A1026" s="15">
        <f t="shared" si="231"/>
        <v>5</v>
      </c>
      <c r="B1026" s="20">
        <f t="shared" si="219"/>
        <v>1025</v>
      </c>
      <c r="C1026" s="17">
        <f t="shared" si="220"/>
        <v>191</v>
      </c>
      <c r="D1026" s="17" t="str">
        <f t="shared" si="218"/>
        <v>20131018</v>
      </c>
      <c r="E1026" s="20" t="str">
        <f t="shared" ref="E1026:E1089" si="232">CONCATENATE(D1026,TEXT(C1026,"000"))</f>
        <v>20131018191</v>
      </c>
      <c r="F1026" s="19">
        <v>9</v>
      </c>
      <c r="G1026" s="19">
        <v>17</v>
      </c>
      <c r="H1026" s="19">
        <v>39</v>
      </c>
      <c r="I1026" s="19">
        <v>43</v>
      </c>
      <c r="J1026" s="19">
        <v>11</v>
      </c>
      <c r="K1026" s="19">
        <v>40</v>
      </c>
      <c r="L1026" s="19">
        <v>46</v>
      </c>
      <c r="M1026" s="19">
        <f t="shared" si="217"/>
        <v>205</v>
      </c>
      <c r="N1026" s="27">
        <f t="shared" si="230"/>
        <v>41565</v>
      </c>
    </row>
    <row r="1027" spans="1:14" x14ac:dyDescent="0.25">
      <c r="A1027" s="15">
        <f t="shared" si="231"/>
        <v>2</v>
      </c>
      <c r="B1027" s="20">
        <f t="shared" si="219"/>
        <v>1026</v>
      </c>
      <c r="C1027" s="17">
        <f t="shared" si="220"/>
        <v>192</v>
      </c>
      <c r="D1027" s="17" t="str">
        <f t="shared" si="218"/>
        <v>20131022</v>
      </c>
      <c r="E1027" s="20" t="str">
        <f t="shared" si="232"/>
        <v>20131022192</v>
      </c>
      <c r="F1027" s="19">
        <v>8</v>
      </c>
      <c r="G1027" s="19">
        <v>39</v>
      </c>
      <c r="H1027" s="19">
        <v>32</v>
      </c>
      <c r="I1027" s="19">
        <v>23</v>
      </c>
      <c r="J1027" s="19">
        <v>7</v>
      </c>
      <c r="K1027" s="19">
        <v>16</v>
      </c>
      <c r="L1027" s="19">
        <v>22</v>
      </c>
      <c r="M1027" s="19">
        <f t="shared" ref="M1027:M1090" si="233">SUM(F1027:L1027)</f>
        <v>147</v>
      </c>
      <c r="N1027" s="27">
        <f t="shared" si="229"/>
        <v>41569</v>
      </c>
    </row>
    <row r="1028" spans="1:14" x14ac:dyDescent="0.25">
      <c r="A1028" s="15">
        <f t="shared" si="231"/>
        <v>5</v>
      </c>
      <c r="B1028" s="20">
        <f t="shared" si="219"/>
        <v>1027</v>
      </c>
      <c r="C1028" s="17">
        <f t="shared" si="220"/>
        <v>193</v>
      </c>
      <c r="D1028" s="17" t="str">
        <f t="shared" ref="D1028:D1091" si="234">CONCATENATE(TEXT(YEAR(N1028),"0000"),TEXT(MONTH(N1028),"00"),TEXT(DAY(N1028),"00"))</f>
        <v>20131025</v>
      </c>
      <c r="E1028" s="20" t="str">
        <f t="shared" si="232"/>
        <v>20131025193</v>
      </c>
      <c r="F1028" s="19">
        <v>35</v>
      </c>
      <c r="G1028" s="19">
        <v>11</v>
      </c>
      <c r="H1028" s="19">
        <v>36</v>
      </c>
      <c r="I1028" s="19">
        <v>8</v>
      </c>
      <c r="J1028" s="19">
        <v>3</v>
      </c>
      <c r="K1028" s="19">
        <v>10</v>
      </c>
      <c r="L1028" s="19">
        <v>39</v>
      </c>
      <c r="M1028" s="19">
        <f t="shared" si="233"/>
        <v>142</v>
      </c>
      <c r="N1028" s="27">
        <f t="shared" si="230"/>
        <v>41572</v>
      </c>
    </row>
    <row r="1029" spans="1:14" x14ac:dyDescent="0.25">
      <c r="A1029" s="15">
        <f t="shared" si="231"/>
        <v>2</v>
      </c>
      <c r="B1029" s="20">
        <f t="shared" ref="B1029:B1090" si="235">B1028+1</f>
        <v>1028</v>
      </c>
      <c r="C1029" s="17">
        <f t="shared" si="220"/>
        <v>194</v>
      </c>
      <c r="D1029" s="17" t="str">
        <f t="shared" si="234"/>
        <v>20131029</v>
      </c>
      <c r="E1029" s="20" t="str">
        <f t="shared" si="232"/>
        <v>20131029194</v>
      </c>
      <c r="F1029" s="19">
        <v>21</v>
      </c>
      <c r="G1029" s="19">
        <v>42</v>
      </c>
      <c r="H1029" s="19">
        <v>4</v>
      </c>
      <c r="I1029" s="19">
        <v>39</v>
      </c>
      <c r="J1029" s="19">
        <v>30</v>
      </c>
      <c r="K1029" s="19">
        <v>1</v>
      </c>
      <c r="L1029" s="19">
        <v>44</v>
      </c>
      <c r="M1029" s="19">
        <f t="shared" si="233"/>
        <v>181</v>
      </c>
      <c r="N1029" s="27">
        <f t="shared" si="229"/>
        <v>41576</v>
      </c>
    </row>
    <row r="1030" spans="1:14" x14ac:dyDescent="0.25">
      <c r="A1030" s="15">
        <f t="shared" si="231"/>
        <v>5</v>
      </c>
      <c r="B1030" s="20">
        <f t="shared" si="235"/>
        <v>1029</v>
      </c>
      <c r="C1030" s="17">
        <f t="shared" si="220"/>
        <v>195</v>
      </c>
      <c r="D1030" s="17" t="str">
        <f t="shared" si="234"/>
        <v>20131101</v>
      </c>
      <c r="E1030" s="20" t="str">
        <f t="shared" si="232"/>
        <v>20131101195</v>
      </c>
      <c r="F1030" s="19">
        <v>31</v>
      </c>
      <c r="G1030" s="19">
        <v>6</v>
      </c>
      <c r="H1030" s="19">
        <v>16</v>
      </c>
      <c r="I1030" s="19">
        <v>36</v>
      </c>
      <c r="J1030" s="19">
        <v>26</v>
      </c>
      <c r="K1030" s="19">
        <v>46</v>
      </c>
      <c r="L1030" s="19">
        <v>9</v>
      </c>
      <c r="M1030" s="19">
        <f t="shared" si="233"/>
        <v>170</v>
      </c>
      <c r="N1030" s="27">
        <f t="shared" si="230"/>
        <v>41579</v>
      </c>
    </row>
    <row r="1031" spans="1:14" x14ac:dyDescent="0.25">
      <c r="A1031" s="15">
        <f t="shared" si="231"/>
        <v>2</v>
      </c>
      <c r="B1031" s="20">
        <f t="shared" si="235"/>
        <v>1030</v>
      </c>
      <c r="C1031" s="17">
        <f t="shared" ref="C1031:C1094" si="236">C1030+1</f>
        <v>196</v>
      </c>
      <c r="D1031" s="17" t="str">
        <f t="shared" si="234"/>
        <v>20131105</v>
      </c>
      <c r="E1031" s="20" t="str">
        <f t="shared" si="232"/>
        <v>20131105196</v>
      </c>
      <c r="F1031" s="19">
        <v>27</v>
      </c>
      <c r="G1031" s="19">
        <v>46</v>
      </c>
      <c r="H1031" s="19">
        <v>37</v>
      </c>
      <c r="I1031" s="19">
        <v>12</v>
      </c>
      <c r="J1031" s="19">
        <v>3</v>
      </c>
      <c r="K1031" s="19">
        <v>29</v>
      </c>
      <c r="L1031" s="19">
        <v>17</v>
      </c>
      <c r="M1031" s="19">
        <f t="shared" si="233"/>
        <v>171</v>
      </c>
      <c r="N1031" s="27">
        <f t="shared" si="229"/>
        <v>41583</v>
      </c>
    </row>
    <row r="1032" spans="1:14" x14ac:dyDescent="0.25">
      <c r="A1032" s="15">
        <f t="shared" si="231"/>
        <v>5</v>
      </c>
      <c r="B1032" s="20">
        <f t="shared" si="235"/>
        <v>1031</v>
      </c>
      <c r="C1032" s="17">
        <f t="shared" si="236"/>
        <v>197</v>
      </c>
      <c r="D1032" s="17" t="str">
        <f t="shared" si="234"/>
        <v>20131108</v>
      </c>
      <c r="E1032" s="20" t="str">
        <f t="shared" si="232"/>
        <v>20131108197</v>
      </c>
      <c r="F1032" s="19">
        <v>30</v>
      </c>
      <c r="G1032" s="19">
        <v>28</v>
      </c>
      <c r="H1032" s="19">
        <v>1</v>
      </c>
      <c r="I1032" s="19">
        <v>39</v>
      </c>
      <c r="J1032" s="19">
        <v>3</v>
      </c>
      <c r="K1032" s="19">
        <v>33</v>
      </c>
      <c r="L1032" s="19">
        <v>34</v>
      </c>
      <c r="M1032" s="19">
        <f t="shared" si="233"/>
        <v>168</v>
      </c>
      <c r="N1032" s="27">
        <f t="shared" si="230"/>
        <v>41586</v>
      </c>
    </row>
    <row r="1033" spans="1:14" x14ac:dyDescent="0.25">
      <c r="A1033" s="15">
        <f t="shared" si="231"/>
        <v>2</v>
      </c>
      <c r="B1033" s="20">
        <f t="shared" si="235"/>
        <v>1032</v>
      </c>
      <c r="C1033" s="17">
        <f t="shared" si="236"/>
        <v>198</v>
      </c>
      <c r="D1033" s="17" t="str">
        <f t="shared" si="234"/>
        <v>20131112</v>
      </c>
      <c r="E1033" s="20" t="str">
        <f t="shared" si="232"/>
        <v>20131112198</v>
      </c>
      <c r="F1033" s="19">
        <v>22</v>
      </c>
      <c r="G1033" s="19">
        <v>12</v>
      </c>
      <c r="H1033" s="19">
        <v>29</v>
      </c>
      <c r="I1033" s="19">
        <v>23</v>
      </c>
      <c r="J1033" s="19">
        <v>46</v>
      </c>
      <c r="K1033" s="19">
        <v>3</v>
      </c>
      <c r="L1033" s="19">
        <v>33</v>
      </c>
      <c r="M1033" s="19">
        <f t="shared" si="233"/>
        <v>168</v>
      </c>
      <c r="N1033" s="27">
        <f t="shared" si="229"/>
        <v>41590</v>
      </c>
    </row>
    <row r="1034" spans="1:14" x14ac:dyDescent="0.25">
      <c r="A1034" s="15">
        <f t="shared" ref="A1034:A1037" si="237">WEEKDAY(N1034,2)</f>
        <v>5</v>
      </c>
      <c r="B1034" s="20">
        <f t="shared" si="235"/>
        <v>1033</v>
      </c>
      <c r="C1034" s="17">
        <f t="shared" si="236"/>
        <v>199</v>
      </c>
      <c r="D1034" s="17" t="str">
        <f t="shared" si="234"/>
        <v>20131115</v>
      </c>
      <c r="E1034" s="20" t="str">
        <f t="shared" si="232"/>
        <v>20131115199</v>
      </c>
      <c r="F1034" s="19">
        <v>43</v>
      </c>
      <c r="G1034" s="19">
        <v>31</v>
      </c>
      <c r="H1034" s="19">
        <v>2</v>
      </c>
      <c r="I1034" s="19">
        <v>18</v>
      </c>
      <c r="J1034" s="19">
        <v>36</v>
      </c>
      <c r="K1034" s="19">
        <v>4</v>
      </c>
      <c r="L1034" s="19">
        <v>8</v>
      </c>
      <c r="M1034" s="19">
        <f t="shared" si="233"/>
        <v>142</v>
      </c>
      <c r="N1034" s="27">
        <f t="shared" si="230"/>
        <v>41593</v>
      </c>
    </row>
    <row r="1035" spans="1:14" x14ac:dyDescent="0.25">
      <c r="A1035" s="15">
        <f t="shared" si="237"/>
        <v>2</v>
      </c>
      <c r="B1035" s="20">
        <f t="shared" si="235"/>
        <v>1034</v>
      </c>
      <c r="C1035" s="17">
        <f t="shared" si="236"/>
        <v>200</v>
      </c>
      <c r="D1035" s="17" t="str">
        <f t="shared" si="234"/>
        <v>20131119</v>
      </c>
      <c r="E1035" s="20" t="str">
        <f t="shared" si="232"/>
        <v>20131119200</v>
      </c>
      <c r="F1035" s="19">
        <v>33</v>
      </c>
      <c r="G1035" s="19">
        <v>35</v>
      </c>
      <c r="H1035" s="19">
        <v>16</v>
      </c>
      <c r="I1035" s="19">
        <v>46</v>
      </c>
      <c r="J1035" s="19">
        <v>36</v>
      </c>
      <c r="K1035" s="19">
        <v>15</v>
      </c>
      <c r="L1035" s="19">
        <v>21</v>
      </c>
      <c r="M1035" s="19">
        <f t="shared" si="233"/>
        <v>202</v>
      </c>
      <c r="N1035" s="27">
        <f t="shared" si="229"/>
        <v>41597</v>
      </c>
    </row>
    <row r="1036" spans="1:14" x14ac:dyDescent="0.25">
      <c r="A1036" s="15">
        <f t="shared" si="237"/>
        <v>5</v>
      </c>
      <c r="B1036" s="20">
        <f t="shared" si="235"/>
        <v>1035</v>
      </c>
      <c r="C1036" s="17">
        <f t="shared" si="236"/>
        <v>201</v>
      </c>
      <c r="D1036" s="17" t="str">
        <f t="shared" si="234"/>
        <v>20131122</v>
      </c>
      <c r="E1036" s="20" t="str">
        <f t="shared" si="232"/>
        <v>20131122201</v>
      </c>
      <c r="F1036" s="19">
        <v>9</v>
      </c>
      <c r="G1036" s="19">
        <v>8</v>
      </c>
      <c r="H1036" s="19">
        <v>40</v>
      </c>
      <c r="I1036" s="19">
        <v>47</v>
      </c>
      <c r="J1036" s="19">
        <v>11</v>
      </c>
      <c r="K1036" s="19">
        <v>24</v>
      </c>
      <c r="L1036" s="19">
        <v>33</v>
      </c>
      <c r="M1036" s="19">
        <f t="shared" si="233"/>
        <v>172</v>
      </c>
      <c r="N1036" s="27">
        <f t="shared" si="230"/>
        <v>41600</v>
      </c>
    </row>
    <row r="1037" spans="1:14" x14ac:dyDescent="0.25">
      <c r="A1037" s="15">
        <f t="shared" si="237"/>
        <v>2</v>
      </c>
      <c r="B1037" s="20">
        <f t="shared" si="235"/>
        <v>1036</v>
      </c>
      <c r="C1037" s="17">
        <f t="shared" si="236"/>
        <v>202</v>
      </c>
      <c r="D1037" s="17" t="str">
        <f t="shared" si="234"/>
        <v>20131126</v>
      </c>
      <c r="E1037" s="20" t="str">
        <f t="shared" si="232"/>
        <v>20131126202</v>
      </c>
      <c r="F1037" s="19">
        <v>15</v>
      </c>
      <c r="G1037" s="19">
        <v>20</v>
      </c>
      <c r="H1037" s="19">
        <v>10</v>
      </c>
      <c r="I1037" s="19">
        <v>11</v>
      </c>
      <c r="J1037" s="19">
        <v>2</v>
      </c>
      <c r="K1037" s="19">
        <v>1</v>
      </c>
      <c r="L1037" s="19">
        <v>26</v>
      </c>
      <c r="M1037" s="19">
        <f t="shared" si="233"/>
        <v>85</v>
      </c>
      <c r="N1037" s="27">
        <f t="shared" si="229"/>
        <v>41604</v>
      </c>
    </row>
    <row r="1038" spans="1:14" x14ac:dyDescent="0.25">
      <c r="A1038" s="15">
        <f t="shared" ref="A1038:A1050" si="238">WEEKDAY(N1038,2)</f>
        <v>5</v>
      </c>
      <c r="B1038" s="20">
        <f t="shared" si="235"/>
        <v>1037</v>
      </c>
      <c r="C1038" s="17">
        <f t="shared" si="236"/>
        <v>203</v>
      </c>
      <c r="D1038" s="17" t="str">
        <f t="shared" si="234"/>
        <v>20131129</v>
      </c>
      <c r="E1038" s="20" t="str">
        <f t="shared" si="232"/>
        <v>20131129203</v>
      </c>
      <c r="F1038" s="19">
        <v>2</v>
      </c>
      <c r="G1038" s="19">
        <v>19</v>
      </c>
      <c r="H1038" s="19">
        <v>30</v>
      </c>
      <c r="I1038" s="19">
        <v>31</v>
      </c>
      <c r="J1038" s="19">
        <v>8</v>
      </c>
      <c r="K1038" s="19">
        <v>13</v>
      </c>
      <c r="L1038" s="19">
        <v>20</v>
      </c>
      <c r="M1038" s="19">
        <f t="shared" si="233"/>
        <v>123</v>
      </c>
      <c r="N1038" s="27">
        <f t="shared" si="230"/>
        <v>41607</v>
      </c>
    </row>
    <row r="1039" spans="1:14" x14ac:dyDescent="0.25">
      <c r="A1039" s="15">
        <f t="shared" si="238"/>
        <v>2</v>
      </c>
      <c r="B1039" s="20">
        <f t="shared" si="235"/>
        <v>1038</v>
      </c>
      <c r="C1039" s="17">
        <f t="shared" si="236"/>
        <v>204</v>
      </c>
      <c r="D1039" s="17" t="str">
        <f t="shared" si="234"/>
        <v>20131203</v>
      </c>
      <c r="E1039" s="20" t="str">
        <f t="shared" si="232"/>
        <v>20131203204</v>
      </c>
      <c r="F1039" s="19">
        <v>44</v>
      </c>
      <c r="G1039" s="19">
        <v>10</v>
      </c>
      <c r="H1039" s="19">
        <v>8</v>
      </c>
      <c r="I1039" s="19">
        <v>38</v>
      </c>
      <c r="J1039" s="19">
        <v>17</v>
      </c>
      <c r="K1039" s="19">
        <v>49</v>
      </c>
      <c r="L1039" s="19">
        <v>40</v>
      </c>
      <c r="M1039" s="19">
        <f t="shared" si="233"/>
        <v>206</v>
      </c>
      <c r="N1039" s="27">
        <f t="shared" si="229"/>
        <v>41611</v>
      </c>
    </row>
    <row r="1040" spans="1:14" x14ac:dyDescent="0.25">
      <c r="A1040" s="15">
        <f t="shared" si="238"/>
        <v>5</v>
      </c>
      <c r="B1040" s="20">
        <f t="shared" si="235"/>
        <v>1039</v>
      </c>
      <c r="C1040" s="17">
        <f t="shared" si="236"/>
        <v>205</v>
      </c>
      <c r="D1040" s="17" t="str">
        <f t="shared" si="234"/>
        <v>20131206</v>
      </c>
      <c r="E1040" s="20" t="str">
        <f t="shared" si="232"/>
        <v>20131206205</v>
      </c>
      <c r="F1040" s="19">
        <v>8</v>
      </c>
      <c r="G1040" s="19">
        <v>6</v>
      </c>
      <c r="H1040" s="19">
        <v>4</v>
      </c>
      <c r="I1040" s="19">
        <v>10</v>
      </c>
      <c r="J1040" s="19">
        <v>36</v>
      </c>
      <c r="K1040" s="19">
        <v>15</v>
      </c>
      <c r="L1040" s="19">
        <v>13</v>
      </c>
      <c r="M1040" s="19">
        <f t="shared" si="233"/>
        <v>92</v>
      </c>
      <c r="N1040" s="27">
        <f t="shared" si="230"/>
        <v>41614</v>
      </c>
    </row>
    <row r="1041" spans="1:14" x14ac:dyDescent="0.25">
      <c r="A1041" s="15">
        <f t="shared" si="238"/>
        <v>2</v>
      </c>
      <c r="B1041" s="20">
        <f t="shared" si="235"/>
        <v>1040</v>
      </c>
      <c r="C1041" s="17">
        <f t="shared" si="236"/>
        <v>206</v>
      </c>
      <c r="D1041" s="17" t="str">
        <f t="shared" si="234"/>
        <v>20131210</v>
      </c>
      <c r="E1041" s="20" t="str">
        <f t="shared" si="232"/>
        <v>20131210206</v>
      </c>
      <c r="F1041" s="19">
        <v>6</v>
      </c>
      <c r="G1041" s="19">
        <v>34</v>
      </c>
      <c r="H1041" s="19">
        <v>49</v>
      </c>
      <c r="I1041" s="19">
        <v>11</v>
      </c>
      <c r="J1041" s="19">
        <v>27</v>
      </c>
      <c r="K1041" s="19">
        <v>42</v>
      </c>
      <c r="L1041" s="19">
        <v>21</v>
      </c>
      <c r="M1041" s="19">
        <f t="shared" si="233"/>
        <v>190</v>
      </c>
      <c r="N1041" s="27">
        <f t="shared" si="229"/>
        <v>41618</v>
      </c>
    </row>
    <row r="1042" spans="1:14" x14ac:dyDescent="0.25">
      <c r="A1042" s="15">
        <f t="shared" si="238"/>
        <v>5</v>
      </c>
      <c r="B1042" s="20">
        <f t="shared" si="235"/>
        <v>1041</v>
      </c>
      <c r="C1042" s="17">
        <f t="shared" si="236"/>
        <v>207</v>
      </c>
      <c r="D1042" s="17" t="str">
        <f t="shared" si="234"/>
        <v>20131213</v>
      </c>
      <c r="E1042" s="20" t="str">
        <f t="shared" si="232"/>
        <v>20131213207</v>
      </c>
      <c r="F1042" s="19">
        <v>16</v>
      </c>
      <c r="G1042" s="19">
        <v>41</v>
      </c>
      <c r="H1042" s="19">
        <v>10</v>
      </c>
      <c r="I1042" s="19">
        <v>48</v>
      </c>
      <c r="J1042" s="19">
        <v>26</v>
      </c>
      <c r="K1042" s="19">
        <v>28</v>
      </c>
      <c r="L1042" s="19">
        <v>42</v>
      </c>
      <c r="M1042" s="19">
        <f t="shared" si="233"/>
        <v>211</v>
      </c>
      <c r="N1042" s="27">
        <f t="shared" si="230"/>
        <v>41621</v>
      </c>
    </row>
    <row r="1043" spans="1:14" x14ac:dyDescent="0.25">
      <c r="A1043" s="15">
        <f t="shared" si="238"/>
        <v>2</v>
      </c>
      <c r="B1043" s="20">
        <f t="shared" si="235"/>
        <v>1042</v>
      </c>
      <c r="C1043" s="17">
        <f t="shared" si="236"/>
        <v>208</v>
      </c>
      <c r="D1043" s="17" t="str">
        <f t="shared" si="234"/>
        <v>20131217</v>
      </c>
      <c r="E1043" s="20" t="str">
        <f t="shared" si="232"/>
        <v>20131217208</v>
      </c>
      <c r="F1043" s="19">
        <v>28</v>
      </c>
      <c r="G1043" s="19">
        <v>14</v>
      </c>
      <c r="H1043" s="19">
        <v>1</v>
      </c>
      <c r="I1043" s="19">
        <v>9</v>
      </c>
      <c r="J1043" s="19">
        <v>4</v>
      </c>
      <c r="K1043" s="19">
        <v>22</v>
      </c>
      <c r="L1043" s="19">
        <v>20</v>
      </c>
      <c r="M1043" s="19">
        <f t="shared" si="233"/>
        <v>98</v>
      </c>
      <c r="N1043" s="27">
        <f t="shared" si="229"/>
        <v>41625</v>
      </c>
    </row>
    <row r="1044" spans="1:14" x14ac:dyDescent="0.25">
      <c r="A1044" s="15">
        <f t="shared" si="238"/>
        <v>5</v>
      </c>
      <c r="B1044" s="20">
        <f t="shared" si="235"/>
        <v>1043</v>
      </c>
      <c r="C1044" s="17">
        <f t="shared" si="236"/>
        <v>209</v>
      </c>
      <c r="D1044" s="17" t="str">
        <f t="shared" si="234"/>
        <v>20131220</v>
      </c>
      <c r="E1044" s="20" t="str">
        <f t="shared" si="232"/>
        <v>20131220209</v>
      </c>
      <c r="F1044" s="19">
        <v>25</v>
      </c>
      <c r="G1044" s="19">
        <v>8</v>
      </c>
      <c r="H1044" s="19">
        <v>17</v>
      </c>
      <c r="I1044" s="19">
        <v>9</v>
      </c>
      <c r="J1044" s="19">
        <v>14</v>
      </c>
      <c r="K1044" s="19">
        <v>45</v>
      </c>
      <c r="L1044" s="19">
        <v>27</v>
      </c>
      <c r="M1044" s="19">
        <f t="shared" si="233"/>
        <v>145</v>
      </c>
      <c r="N1044" s="27">
        <f t="shared" si="230"/>
        <v>41628</v>
      </c>
    </row>
    <row r="1045" spans="1:14" x14ac:dyDescent="0.25">
      <c r="A1045" s="15">
        <f t="shared" si="238"/>
        <v>2</v>
      </c>
      <c r="B1045" s="20">
        <f t="shared" si="235"/>
        <v>1044</v>
      </c>
      <c r="C1045" s="17">
        <f t="shared" si="236"/>
        <v>210</v>
      </c>
      <c r="D1045" s="17" t="str">
        <f t="shared" si="234"/>
        <v>20131224</v>
      </c>
      <c r="E1045" s="20" t="str">
        <f t="shared" si="232"/>
        <v>20131224210</v>
      </c>
      <c r="F1045" s="19">
        <v>21</v>
      </c>
      <c r="G1045" s="19">
        <v>9</v>
      </c>
      <c r="H1045" s="19">
        <v>33</v>
      </c>
      <c r="I1045" s="19">
        <v>36</v>
      </c>
      <c r="J1045" s="19">
        <v>24</v>
      </c>
      <c r="K1045" s="19">
        <v>43</v>
      </c>
      <c r="L1045" s="19">
        <v>3</v>
      </c>
      <c r="M1045" s="19">
        <f t="shared" si="233"/>
        <v>169</v>
      </c>
      <c r="N1045" s="27">
        <f t="shared" ref="N1045:N1097" si="239">N1044+4</f>
        <v>41632</v>
      </c>
    </row>
    <row r="1046" spans="1:14" x14ac:dyDescent="0.25">
      <c r="A1046" s="15">
        <f t="shared" si="238"/>
        <v>5</v>
      </c>
      <c r="B1046" s="20">
        <f t="shared" si="235"/>
        <v>1045</v>
      </c>
      <c r="C1046" s="17">
        <f t="shared" si="236"/>
        <v>211</v>
      </c>
      <c r="D1046" s="17" t="str">
        <f t="shared" si="234"/>
        <v>20131227</v>
      </c>
      <c r="E1046" s="20" t="str">
        <f t="shared" si="232"/>
        <v>20131227211</v>
      </c>
      <c r="F1046" s="19">
        <v>16</v>
      </c>
      <c r="G1046" s="19">
        <v>31</v>
      </c>
      <c r="H1046" s="19">
        <v>43</v>
      </c>
      <c r="I1046" s="19">
        <v>39</v>
      </c>
      <c r="J1046" s="19">
        <v>2</v>
      </c>
      <c r="K1046" s="19">
        <v>12</v>
      </c>
      <c r="L1046" s="19">
        <v>18</v>
      </c>
      <c r="M1046" s="19">
        <f t="shared" si="233"/>
        <v>161</v>
      </c>
      <c r="N1046" s="27">
        <f t="shared" ref="N1046:N1098" si="240">N1045+3</f>
        <v>41635</v>
      </c>
    </row>
    <row r="1047" spans="1:14" x14ac:dyDescent="0.25">
      <c r="A1047" s="15">
        <f t="shared" si="238"/>
        <v>2</v>
      </c>
      <c r="B1047" s="20">
        <f t="shared" si="235"/>
        <v>1046</v>
      </c>
      <c r="C1047" s="17">
        <f t="shared" si="236"/>
        <v>212</v>
      </c>
      <c r="D1047" s="17" t="str">
        <f t="shared" si="234"/>
        <v>20131231</v>
      </c>
      <c r="E1047" s="20" t="str">
        <f t="shared" si="232"/>
        <v>20131231212</v>
      </c>
      <c r="F1047" s="19">
        <v>27</v>
      </c>
      <c r="G1047" s="19">
        <v>36</v>
      </c>
      <c r="H1047" s="19">
        <v>42</v>
      </c>
      <c r="I1047" s="19">
        <v>40</v>
      </c>
      <c r="J1047" s="19">
        <v>29</v>
      </c>
      <c r="K1047" s="19">
        <v>5</v>
      </c>
      <c r="L1047" s="19">
        <v>35</v>
      </c>
      <c r="M1047" s="19">
        <f t="shared" si="233"/>
        <v>214</v>
      </c>
      <c r="N1047" s="27">
        <f t="shared" si="239"/>
        <v>41639</v>
      </c>
    </row>
    <row r="1048" spans="1:14" x14ac:dyDescent="0.25">
      <c r="A1048" s="15">
        <f t="shared" si="238"/>
        <v>5</v>
      </c>
      <c r="B1048" s="20">
        <f t="shared" si="235"/>
        <v>1047</v>
      </c>
      <c r="C1048" s="17">
        <v>1</v>
      </c>
      <c r="D1048" s="17" t="str">
        <f t="shared" si="234"/>
        <v>20140103</v>
      </c>
      <c r="E1048" s="20" t="str">
        <f t="shared" si="232"/>
        <v>20140103001</v>
      </c>
      <c r="F1048" s="19">
        <v>11</v>
      </c>
      <c r="G1048" s="19">
        <v>35</v>
      </c>
      <c r="H1048" s="19">
        <v>21</v>
      </c>
      <c r="I1048" s="19">
        <v>18</v>
      </c>
      <c r="J1048" s="19">
        <v>37</v>
      </c>
      <c r="K1048" s="19">
        <v>20</v>
      </c>
      <c r="L1048" s="19">
        <v>8</v>
      </c>
      <c r="M1048" s="19">
        <f t="shared" si="233"/>
        <v>150</v>
      </c>
      <c r="N1048" s="27">
        <f t="shared" si="240"/>
        <v>41642</v>
      </c>
    </row>
    <row r="1049" spans="1:14" x14ac:dyDescent="0.25">
      <c r="A1049" s="15">
        <f t="shared" si="238"/>
        <v>2</v>
      </c>
      <c r="B1049" s="20">
        <f t="shared" si="235"/>
        <v>1048</v>
      </c>
      <c r="C1049" s="17">
        <f t="shared" si="236"/>
        <v>2</v>
      </c>
      <c r="D1049" s="17" t="str">
        <f t="shared" si="234"/>
        <v>20140107</v>
      </c>
      <c r="E1049" s="20" t="str">
        <f t="shared" si="232"/>
        <v>20140107002</v>
      </c>
      <c r="F1049" s="19">
        <v>1</v>
      </c>
      <c r="G1049" s="19">
        <v>7</v>
      </c>
      <c r="H1049" s="19">
        <v>25</v>
      </c>
      <c r="I1049" s="19">
        <v>36</v>
      </c>
      <c r="J1049" s="19">
        <v>21</v>
      </c>
      <c r="K1049" s="19">
        <v>35</v>
      </c>
      <c r="L1049" s="19">
        <v>39</v>
      </c>
      <c r="M1049" s="19">
        <f t="shared" si="233"/>
        <v>164</v>
      </c>
      <c r="N1049" s="27">
        <f t="shared" si="239"/>
        <v>41646</v>
      </c>
    </row>
    <row r="1050" spans="1:14" x14ac:dyDescent="0.25">
      <c r="A1050" s="15">
        <f t="shared" si="238"/>
        <v>5</v>
      </c>
      <c r="B1050" s="20">
        <f t="shared" si="235"/>
        <v>1049</v>
      </c>
      <c r="C1050" s="17">
        <f t="shared" si="236"/>
        <v>3</v>
      </c>
      <c r="D1050" s="17" t="str">
        <f t="shared" si="234"/>
        <v>20140110</v>
      </c>
      <c r="E1050" s="20" t="str">
        <f t="shared" si="232"/>
        <v>20140110003</v>
      </c>
      <c r="F1050" s="19">
        <v>7</v>
      </c>
      <c r="G1050" s="19">
        <v>19</v>
      </c>
      <c r="H1050" s="19">
        <v>17</v>
      </c>
      <c r="I1050" s="19">
        <v>30</v>
      </c>
      <c r="J1050" s="19">
        <v>37</v>
      </c>
      <c r="K1050" s="19">
        <v>32</v>
      </c>
      <c r="L1050" s="19">
        <v>3</v>
      </c>
      <c r="M1050" s="19">
        <f t="shared" si="233"/>
        <v>145</v>
      </c>
      <c r="N1050" s="27">
        <f t="shared" si="240"/>
        <v>41649</v>
      </c>
    </row>
    <row r="1051" spans="1:14" x14ac:dyDescent="0.25">
      <c r="A1051" s="15">
        <f>WEEKDAY(N1051,2)</f>
        <v>2</v>
      </c>
      <c r="B1051" s="20">
        <f t="shared" si="235"/>
        <v>1050</v>
      </c>
      <c r="C1051" s="17">
        <f t="shared" si="236"/>
        <v>4</v>
      </c>
      <c r="D1051" s="17" t="str">
        <f t="shared" si="234"/>
        <v>20140114</v>
      </c>
      <c r="E1051" s="20" t="str">
        <f t="shared" si="232"/>
        <v>20140114004</v>
      </c>
      <c r="F1051" s="19">
        <v>11</v>
      </c>
      <c r="G1051" s="19">
        <v>49</v>
      </c>
      <c r="H1051" s="19">
        <v>2</v>
      </c>
      <c r="I1051" s="19">
        <v>45</v>
      </c>
      <c r="J1051" s="19">
        <v>41</v>
      </c>
      <c r="K1051" s="19">
        <v>21</v>
      </c>
      <c r="L1051" s="19">
        <v>26</v>
      </c>
      <c r="M1051" s="19">
        <f t="shared" si="233"/>
        <v>195</v>
      </c>
      <c r="N1051" s="27">
        <f t="shared" si="239"/>
        <v>41653</v>
      </c>
    </row>
    <row r="1052" spans="1:14" x14ac:dyDescent="0.25">
      <c r="A1052" s="15">
        <f t="shared" ref="A1052:A1064" si="241">WEEKDAY(N1052,2)</f>
        <v>5</v>
      </c>
      <c r="B1052" s="20">
        <f t="shared" si="235"/>
        <v>1051</v>
      </c>
      <c r="C1052" s="17">
        <f t="shared" si="236"/>
        <v>5</v>
      </c>
      <c r="D1052" s="17" t="str">
        <f t="shared" si="234"/>
        <v>20140117</v>
      </c>
      <c r="E1052" s="20" t="str">
        <f t="shared" si="232"/>
        <v>20140117005</v>
      </c>
      <c r="F1052" s="19">
        <v>20</v>
      </c>
      <c r="G1052" s="19">
        <v>29</v>
      </c>
      <c r="H1052" s="19">
        <v>13</v>
      </c>
      <c r="I1052" s="19">
        <v>15</v>
      </c>
      <c r="J1052" s="19">
        <v>26</v>
      </c>
      <c r="K1052" s="19">
        <v>36</v>
      </c>
      <c r="L1052" s="19">
        <v>37</v>
      </c>
      <c r="M1052" s="19">
        <f t="shared" si="233"/>
        <v>176</v>
      </c>
      <c r="N1052" s="27">
        <f t="shared" si="240"/>
        <v>41656</v>
      </c>
    </row>
    <row r="1053" spans="1:14" x14ac:dyDescent="0.25">
      <c r="A1053" s="15">
        <f t="shared" si="241"/>
        <v>2</v>
      </c>
      <c r="B1053" s="20">
        <f t="shared" si="235"/>
        <v>1052</v>
      </c>
      <c r="C1053" s="17">
        <f t="shared" si="236"/>
        <v>6</v>
      </c>
      <c r="D1053" s="17" t="str">
        <f t="shared" si="234"/>
        <v>20140121</v>
      </c>
      <c r="E1053" s="20" t="str">
        <f t="shared" si="232"/>
        <v>20140121006</v>
      </c>
      <c r="F1053" s="19">
        <v>22</v>
      </c>
      <c r="G1053" s="19">
        <v>43</v>
      </c>
      <c r="H1053" s="19">
        <v>12</v>
      </c>
      <c r="I1053" s="19">
        <v>44</v>
      </c>
      <c r="J1053" s="19">
        <v>38</v>
      </c>
      <c r="K1053" s="19">
        <v>15</v>
      </c>
      <c r="L1053" s="19">
        <v>9</v>
      </c>
      <c r="M1053" s="19">
        <f t="shared" si="233"/>
        <v>183</v>
      </c>
      <c r="N1053" s="27">
        <f t="shared" si="239"/>
        <v>41660</v>
      </c>
    </row>
    <row r="1054" spans="1:14" x14ac:dyDescent="0.25">
      <c r="A1054" s="15">
        <f t="shared" si="241"/>
        <v>5</v>
      </c>
      <c r="B1054" s="20">
        <f t="shared" si="235"/>
        <v>1053</v>
      </c>
      <c r="C1054" s="17">
        <f t="shared" si="236"/>
        <v>7</v>
      </c>
      <c r="D1054" s="17" t="str">
        <f t="shared" si="234"/>
        <v>20140124</v>
      </c>
      <c r="E1054" s="20" t="str">
        <f t="shared" si="232"/>
        <v>20140124007</v>
      </c>
      <c r="F1054" s="19">
        <v>4</v>
      </c>
      <c r="G1054" s="19">
        <v>20</v>
      </c>
      <c r="H1054" s="19">
        <v>29</v>
      </c>
      <c r="I1054" s="19">
        <v>41</v>
      </c>
      <c r="J1054" s="19">
        <v>45</v>
      </c>
      <c r="K1054" s="19">
        <v>1</v>
      </c>
      <c r="L1054" s="19">
        <v>36</v>
      </c>
      <c r="M1054" s="19">
        <f t="shared" si="233"/>
        <v>176</v>
      </c>
      <c r="N1054" s="27">
        <f t="shared" si="240"/>
        <v>41663</v>
      </c>
    </row>
    <row r="1055" spans="1:14" x14ac:dyDescent="0.25">
      <c r="A1055" s="15">
        <f t="shared" si="241"/>
        <v>2</v>
      </c>
      <c r="B1055" s="20">
        <f t="shared" si="235"/>
        <v>1054</v>
      </c>
      <c r="C1055" s="17">
        <f t="shared" si="236"/>
        <v>8</v>
      </c>
      <c r="D1055" s="17" t="str">
        <f t="shared" si="234"/>
        <v>20140128</v>
      </c>
      <c r="E1055" s="20" t="str">
        <f t="shared" si="232"/>
        <v>20140128008</v>
      </c>
      <c r="F1055" s="19">
        <v>2</v>
      </c>
      <c r="G1055" s="19">
        <v>30</v>
      </c>
      <c r="H1055" s="19">
        <v>7</v>
      </c>
      <c r="I1055" s="19">
        <v>26</v>
      </c>
      <c r="J1055" s="19">
        <v>5</v>
      </c>
      <c r="K1055" s="19">
        <v>1</v>
      </c>
      <c r="L1055" s="19">
        <v>24</v>
      </c>
      <c r="M1055" s="19">
        <f t="shared" si="233"/>
        <v>95</v>
      </c>
      <c r="N1055" s="27">
        <f t="shared" si="239"/>
        <v>41667</v>
      </c>
    </row>
    <row r="1056" spans="1:14" x14ac:dyDescent="0.25">
      <c r="A1056" s="15">
        <f t="shared" si="241"/>
        <v>4</v>
      </c>
      <c r="B1056" s="20">
        <f t="shared" si="235"/>
        <v>1055</v>
      </c>
      <c r="C1056" s="17">
        <f t="shared" si="236"/>
        <v>9</v>
      </c>
      <c r="D1056" s="17" t="str">
        <f t="shared" si="234"/>
        <v>20140130</v>
      </c>
      <c r="E1056" s="20" t="str">
        <f t="shared" si="232"/>
        <v>20140130009</v>
      </c>
      <c r="F1056" s="19">
        <v>9</v>
      </c>
      <c r="G1056" s="19">
        <v>22</v>
      </c>
      <c r="H1056" s="19">
        <v>49</v>
      </c>
      <c r="I1056" s="19">
        <v>48</v>
      </c>
      <c r="J1056" s="19">
        <v>45</v>
      </c>
      <c r="K1056" s="19">
        <v>44</v>
      </c>
      <c r="L1056" s="19">
        <v>8</v>
      </c>
      <c r="M1056" s="19">
        <f t="shared" si="233"/>
        <v>225</v>
      </c>
      <c r="N1056" s="27">
        <v>41669</v>
      </c>
    </row>
    <row r="1057" spans="1:14" x14ac:dyDescent="0.25">
      <c r="A1057" s="15">
        <f t="shared" si="241"/>
        <v>5</v>
      </c>
      <c r="B1057" s="20">
        <f t="shared" si="235"/>
        <v>1056</v>
      </c>
      <c r="C1057" s="17">
        <f t="shared" si="236"/>
        <v>10</v>
      </c>
      <c r="D1057" s="17" t="str">
        <f t="shared" si="234"/>
        <v>20140131</v>
      </c>
      <c r="E1057" s="20" t="str">
        <f t="shared" si="232"/>
        <v>20140131010</v>
      </c>
      <c r="F1057" s="19">
        <v>38</v>
      </c>
      <c r="G1057" s="19">
        <v>17</v>
      </c>
      <c r="H1057" s="19">
        <v>23</v>
      </c>
      <c r="I1057" s="19">
        <v>49</v>
      </c>
      <c r="J1057" s="19">
        <v>48</v>
      </c>
      <c r="K1057" s="19">
        <v>27</v>
      </c>
      <c r="L1057" s="19">
        <v>19</v>
      </c>
      <c r="M1057" s="19">
        <f t="shared" si="233"/>
        <v>221</v>
      </c>
      <c r="N1057" s="27">
        <v>41670</v>
      </c>
    </row>
    <row r="1058" spans="1:14" x14ac:dyDescent="0.25">
      <c r="A1058" s="15">
        <f t="shared" si="241"/>
        <v>6</v>
      </c>
      <c r="B1058" s="20">
        <f t="shared" si="235"/>
        <v>1057</v>
      </c>
      <c r="C1058" s="17">
        <f t="shared" si="236"/>
        <v>11</v>
      </c>
      <c r="D1058" s="17" t="str">
        <f t="shared" si="234"/>
        <v>20140201</v>
      </c>
      <c r="E1058" s="20" t="str">
        <f t="shared" si="232"/>
        <v>20140201011</v>
      </c>
      <c r="F1058" s="19">
        <v>36</v>
      </c>
      <c r="G1058" s="19">
        <v>37</v>
      </c>
      <c r="H1058" s="19">
        <v>13</v>
      </c>
      <c r="I1058" s="19">
        <v>19</v>
      </c>
      <c r="J1058" s="19">
        <v>9</v>
      </c>
      <c r="K1058" s="19">
        <v>6</v>
      </c>
      <c r="L1058" s="19">
        <v>27</v>
      </c>
      <c r="M1058" s="19">
        <f t="shared" si="233"/>
        <v>147</v>
      </c>
      <c r="N1058" s="27">
        <v>41671</v>
      </c>
    </row>
    <row r="1059" spans="1:14" x14ac:dyDescent="0.25">
      <c r="A1059" s="15">
        <f t="shared" si="241"/>
        <v>7</v>
      </c>
      <c r="B1059" s="20">
        <f t="shared" si="235"/>
        <v>1058</v>
      </c>
      <c r="C1059" s="17">
        <f t="shared" si="236"/>
        <v>12</v>
      </c>
      <c r="D1059" s="17" t="str">
        <f t="shared" si="234"/>
        <v>20140202</v>
      </c>
      <c r="E1059" s="20" t="str">
        <f t="shared" si="232"/>
        <v>20140202012</v>
      </c>
      <c r="F1059" s="19">
        <v>14</v>
      </c>
      <c r="G1059" s="19">
        <v>45</v>
      </c>
      <c r="H1059" s="19">
        <v>3</v>
      </c>
      <c r="I1059" s="19">
        <v>24</v>
      </c>
      <c r="J1059" s="19">
        <v>19</v>
      </c>
      <c r="K1059" s="19">
        <v>13</v>
      </c>
      <c r="L1059" s="19">
        <v>5</v>
      </c>
      <c r="M1059" s="19">
        <f t="shared" si="233"/>
        <v>123</v>
      </c>
      <c r="N1059" s="27">
        <f>N1058+1</f>
        <v>41672</v>
      </c>
    </row>
    <row r="1060" spans="1:14" x14ac:dyDescent="0.25">
      <c r="A1060" s="15">
        <f t="shared" si="241"/>
        <v>1</v>
      </c>
      <c r="B1060" s="20">
        <f t="shared" si="235"/>
        <v>1059</v>
      </c>
      <c r="C1060" s="17">
        <f t="shared" si="236"/>
        <v>13</v>
      </c>
      <c r="D1060" s="17" t="str">
        <f t="shared" si="234"/>
        <v>20140203</v>
      </c>
      <c r="E1060" s="20" t="str">
        <f t="shared" si="232"/>
        <v>20140203013</v>
      </c>
      <c r="F1060" s="19">
        <v>2</v>
      </c>
      <c r="G1060" s="19">
        <v>16</v>
      </c>
      <c r="H1060" s="19">
        <v>27</v>
      </c>
      <c r="I1060" s="19">
        <v>30</v>
      </c>
      <c r="J1060" s="19">
        <v>17</v>
      </c>
      <c r="K1060" s="19">
        <v>1</v>
      </c>
      <c r="L1060" s="19">
        <v>48</v>
      </c>
      <c r="M1060" s="19">
        <f t="shared" si="233"/>
        <v>141</v>
      </c>
      <c r="N1060" s="27">
        <f>N1059+1</f>
        <v>41673</v>
      </c>
    </row>
    <row r="1061" spans="1:14" x14ac:dyDescent="0.25">
      <c r="A1061" s="15">
        <f t="shared" si="241"/>
        <v>2</v>
      </c>
      <c r="B1061" s="20">
        <f t="shared" si="235"/>
        <v>1060</v>
      </c>
      <c r="C1061" s="17">
        <f t="shared" si="236"/>
        <v>14</v>
      </c>
      <c r="D1061" s="17" t="str">
        <f t="shared" si="234"/>
        <v>20140204</v>
      </c>
      <c r="E1061" s="20" t="str">
        <f t="shared" si="232"/>
        <v>20140204014</v>
      </c>
      <c r="F1061" s="19">
        <v>19</v>
      </c>
      <c r="G1061" s="19">
        <v>46</v>
      </c>
      <c r="H1061" s="19">
        <v>32</v>
      </c>
      <c r="I1061" s="19">
        <v>12</v>
      </c>
      <c r="J1061" s="19">
        <v>42</v>
      </c>
      <c r="K1061" s="19">
        <v>8</v>
      </c>
      <c r="L1061" s="19">
        <v>28</v>
      </c>
      <c r="M1061" s="19">
        <f t="shared" si="233"/>
        <v>187</v>
      </c>
      <c r="N1061" s="27">
        <f>N1060+1</f>
        <v>41674</v>
      </c>
    </row>
    <row r="1062" spans="1:14" x14ac:dyDescent="0.25">
      <c r="A1062" s="15">
        <f t="shared" si="241"/>
        <v>5</v>
      </c>
      <c r="B1062" s="20">
        <f t="shared" si="235"/>
        <v>1061</v>
      </c>
      <c r="C1062" s="17">
        <f t="shared" si="236"/>
        <v>15</v>
      </c>
      <c r="D1062" s="17" t="str">
        <f t="shared" si="234"/>
        <v>20140207</v>
      </c>
      <c r="E1062" s="20" t="str">
        <f t="shared" si="232"/>
        <v>20140207015</v>
      </c>
      <c r="F1062" s="19">
        <v>22</v>
      </c>
      <c r="G1062" s="19">
        <v>5</v>
      </c>
      <c r="H1062" s="19">
        <v>28</v>
      </c>
      <c r="I1062" s="19">
        <v>11</v>
      </c>
      <c r="J1062" s="19">
        <v>21</v>
      </c>
      <c r="K1062" s="19">
        <v>12</v>
      </c>
      <c r="L1062" s="19">
        <v>25</v>
      </c>
      <c r="M1062" s="19">
        <f t="shared" si="233"/>
        <v>124</v>
      </c>
      <c r="N1062" s="27">
        <f t="shared" si="240"/>
        <v>41677</v>
      </c>
    </row>
    <row r="1063" spans="1:14" x14ac:dyDescent="0.25">
      <c r="A1063" s="15">
        <f t="shared" si="241"/>
        <v>2</v>
      </c>
      <c r="B1063" s="20">
        <f t="shared" si="235"/>
        <v>1062</v>
      </c>
      <c r="C1063" s="17">
        <f t="shared" si="236"/>
        <v>16</v>
      </c>
      <c r="D1063" s="17" t="str">
        <f t="shared" si="234"/>
        <v>20140211</v>
      </c>
      <c r="E1063" s="20" t="str">
        <f t="shared" si="232"/>
        <v>20140211016</v>
      </c>
      <c r="F1063" s="19">
        <v>15</v>
      </c>
      <c r="G1063" s="19">
        <v>31</v>
      </c>
      <c r="H1063" s="19">
        <v>21</v>
      </c>
      <c r="I1063" s="19">
        <v>6</v>
      </c>
      <c r="J1063" s="19">
        <v>44</v>
      </c>
      <c r="K1063" s="19">
        <v>22</v>
      </c>
      <c r="L1063" s="19">
        <v>41</v>
      </c>
      <c r="M1063" s="19">
        <f t="shared" si="233"/>
        <v>180</v>
      </c>
      <c r="N1063" s="27">
        <f t="shared" si="239"/>
        <v>41681</v>
      </c>
    </row>
    <row r="1064" spans="1:14" x14ac:dyDescent="0.25">
      <c r="A1064" s="15">
        <f t="shared" si="241"/>
        <v>5</v>
      </c>
      <c r="B1064" s="20">
        <f t="shared" si="235"/>
        <v>1063</v>
      </c>
      <c r="C1064" s="17">
        <f t="shared" si="236"/>
        <v>17</v>
      </c>
      <c r="D1064" s="17" t="str">
        <f t="shared" si="234"/>
        <v>20140214</v>
      </c>
      <c r="E1064" s="20" t="str">
        <f t="shared" si="232"/>
        <v>20140214017</v>
      </c>
      <c r="F1064" s="19">
        <v>24</v>
      </c>
      <c r="G1064" s="19">
        <v>10</v>
      </c>
      <c r="H1064" s="19">
        <v>48</v>
      </c>
      <c r="I1064" s="19">
        <v>33</v>
      </c>
      <c r="J1064" s="19">
        <v>20</v>
      </c>
      <c r="K1064" s="19">
        <v>19</v>
      </c>
      <c r="L1064" s="19">
        <v>1</v>
      </c>
      <c r="M1064" s="19">
        <f t="shared" si="233"/>
        <v>155</v>
      </c>
      <c r="N1064" s="27">
        <f t="shared" si="240"/>
        <v>41684</v>
      </c>
    </row>
    <row r="1065" spans="1:14" x14ac:dyDescent="0.25">
      <c r="A1065" s="15">
        <f t="shared" ref="A1065:A1066" si="242">WEEKDAY(N1065,2)</f>
        <v>2</v>
      </c>
      <c r="B1065" s="20">
        <f t="shared" si="235"/>
        <v>1064</v>
      </c>
      <c r="C1065" s="17">
        <f t="shared" si="236"/>
        <v>18</v>
      </c>
      <c r="D1065" s="17" t="str">
        <f t="shared" si="234"/>
        <v>20140218</v>
      </c>
      <c r="E1065" s="20" t="str">
        <f t="shared" si="232"/>
        <v>20140218018</v>
      </c>
      <c r="F1065" s="19">
        <v>47</v>
      </c>
      <c r="G1065" s="19">
        <v>19</v>
      </c>
      <c r="H1065" s="19">
        <v>6</v>
      </c>
      <c r="I1065" s="19">
        <v>26</v>
      </c>
      <c r="J1065" s="19">
        <v>32</v>
      </c>
      <c r="K1065" s="19">
        <v>20</v>
      </c>
      <c r="L1065" s="19">
        <v>35</v>
      </c>
      <c r="M1065" s="19">
        <f t="shared" si="233"/>
        <v>185</v>
      </c>
      <c r="N1065" s="27">
        <f t="shared" si="239"/>
        <v>41688</v>
      </c>
    </row>
    <row r="1066" spans="1:14" x14ac:dyDescent="0.25">
      <c r="A1066" s="15">
        <f t="shared" si="242"/>
        <v>5</v>
      </c>
      <c r="B1066" s="20">
        <f t="shared" si="235"/>
        <v>1065</v>
      </c>
      <c r="C1066" s="17">
        <f t="shared" si="236"/>
        <v>19</v>
      </c>
      <c r="D1066" s="17" t="str">
        <f t="shared" si="234"/>
        <v>20140221</v>
      </c>
      <c r="E1066" s="20" t="str">
        <f t="shared" si="232"/>
        <v>20140221019</v>
      </c>
      <c r="F1066" s="19">
        <v>11</v>
      </c>
      <c r="G1066" s="19">
        <v>12</v>
      </c>
      <c r="H1066" s="19">
        <v>23</v>
      </c>
      <c r="I1066" s="19">
        <v>40</v>
      </c>
      <c r="J1066" s="19">
        <v>28</v>
      </c>
      <c r="K1066" s="19">
        <v>48</v>
      </c>
      <c r="L1066" s="19">
        <v>9</v>
      </c>
      <c r="M1066" s="19">
        <f t="shared" si="233"/>
        <v>171</v>
      </c>
      <c r="N1066" s="27">
        <f t="shared" si="240"/>
        <v>41691</v>
      </c>
    </row>
    <row r="1067" spans="1:14" x14ac:dyDescent="0.25">
      <c r="A1067" s="15">
        <f t="shared" ref="A1067:A1082" si="243">WEEKDAY(N1067,2)</f>
        <v>2</v>
      </c>
      <c r="B1067" s="20">
        <f t="shared" si="235"/>
        <v>1066</v>
      </c>
      <c r="C1067" s="17">
        <f t="shared" si="236"/>
        <v>20</v>
      </c>
      <c r="D1067" s="17" t="str">
        <f t="shared" si="234"/>
        <v>20140225</v>
      </c>
      <c r="E1067" s="20" t="str">
        <f t="shared" si="232"/>
        <v>20140225020</v>
      </c>
      <c r="F1067" s="19">
        <v>13</v>
      </c>
      <c r="G1067" s="19">
        <v>9</v>
      </c>
      <c r="H1067" s="19">
        <v>5</v>
      </c>
      <c r="I1067" s="19">
        <v>3</v>
      </c>
      <c r="J1067" s="19">
        <v>46</v>
      </c>
      <c r="K1067" s="19">
        <v>12</v>
      </c>
      <c r="L1067" s="19">
        <v>4</v>
      </c>
      <c r="M1067" s="19">
        <f t="shared" si="233"/>
        <v>92</v>
      </c>
      <c r="N1067" s="27">
        <f t="shared" si="239"/>
        <v>41695</v>
      </c>
    </row>
    <row r="1068" spans="1:14" x14ac:dyDescent="0.25">
      <c r="A1068" s="15">
        <f t="shared" si="243"/>
        <v>5</v>
      </c>
      <c r="B1068" s="20">
        <f t="shared" si="235"/>
        <v>1067</v>
      </c>
      <c r="C1068" s="17">
        <f t="shared" si="236"/>
        <v>21</v>
      </c>
      <c r="D1068" s="17" t="str">
        <f t="shared" si="234"/>
        <v>20140228</v>
      </c>
      <c r="E1068" s="20" t="str">
        <f t="shared" si="232"/>
        <v>20140228021</v>
      </c>
      <c r="F1068" s="19">
        <v>17</v>
      </c>
      <c r="G1068" s="19">
        <v>24</v>
      </c>
      <c r="H1068" s="19">
        <v>13</v>
      </c>
      <c r="I1068" s="19">
        <v>18</v>
      </c>
      <c r="J1068" s="19">
        <v>32</v>
      </c>
      <c r="K1068" s="19">
        <v>28</v>
      </c>
      <c r="L1068" s="19">
        <v>37</v>
      </c>
      <c r="M1068" s="19">
        <f t="shared" si="233"/>
        <v>169</v>
      </c>
      <c r="N1068" s="27">
        <f t="shared" si="240"/>
        <v>41698</v>
      </c>
    </row>
    <row r="1069" spans="1:14" x14ac:dyDescent="0.25">
      <c r="A1069" s="15">
        <f t="shared" si="243"/>
        <v>2</v>
      </c>
      <c r="B1069" s="20">
        <f t="shared" si="235"/>
        <v>1068</v>
      </c>
      <c r="C1069" s="17">
        <f t="shared" si="236"/>
        <v>22</v>
      </c>
      <c r="D1069" s="17" t="str">
        <f t="shared" si="234"/>
        <v>20140304</v>
      </c>
      <c r="E1069" s="20" t="str">
        <f t="shared" si="232"/>
        <v>20140304022</v>
      </c>
      <c r="F1069" s="19">
        <v>43</v>
      </c>
      <c r="G1069" s="19">
        <v>8</v>
      </c>
      <c r="H1069" s="19">
        <v>40</v>
      </c>
      <c r="I1069" s="19">
        <v>35</v>
      </c>
      <c r="J1069" s="19">
        <v>37</v>
      </c>
      <c r="K1069" s="19">
        <v>26</v>
      </c>
      <c r="L1069" s="19">
        <v>6</v>
      </c>
      <c r="M1069" s="19">
        <f t="shared" si="233"/>
        <v>195</v>
      </c>
      <c r="N1069" s="27">
        <f t="shared" si="239"/>
        <v>41702</v>
      </c>
    </row>
    <row r="1070" spans="1:14" x14ac:dyDescent="0.25">
      <c r="A1070" s="15">
        <f t="shared" si="243"/>
        <v>5</v>
      </c>
      <c r="B1070" s="20">
        <f t="shared" si="235"/>
        <v>1069</v>
      </c>
      <c r="C1070" s="17">
        <f t="shared" si="236"/>
        <v>23</v>
      </c>
      <c r="D1070" s="17" t="str">
        <f t="shared" si="234"/>
        <v>20140307</v>
      </c>
      <c r="E1070" s="20" t="str">
        <f t="shared" si="232"/>
        <v>20140307023</v>
      </c>
      <c r="F1070" s="19">
        <v>38</v>
      </c>
      <c r="G1070" s="19">
        <v>26</v>
      </c>
      <c r="H1070" s="19">
        <v>6</v>
      </c>
      <c r="I1070" s="19">
        <v>37</v>
      </c>
      <c r="J1070" s="19">
        <v>18</v>
      </c>
      <c r="K1070" s="19">
        <v>30</v>
      </c>
      <c r="L1070" s="19">
        <v>16</v>
      </c>
      <c r="M1070" s="19">
        <f t="shared" si="233"/>
        <v>171</v>
      </c>
      <c r="N1070" s="27">
        <f t="shared" si="240"/>
        <v>41705</v>
      </c>
    </row>
    <row r="1071" spans="1:14" x14ac:dyDescent="0.25">
      <c r="A1071" s="15">
        <f t="shared" si="243"/>
        <v>2</v>
      </c>
      <c r="B1071" s="20">
        <f t="shared" si="235"/>
        <v>1070</v>
      </c>
      <c r="C1071" s="17">
        <f t="shared" si="236"/>
        <v>24</v>
      </c>
      <c r="D1071" s="17" t="str">
        <f t="shared" si="234"/>
        <v>20140311</v>
      </c>
      <c r="E1071" s="20" t="str">
        <f t="shared" si="232"/>
        <v>20140311024</v>
      </c>
      <c r="F1071" s="19">
        <v>40</v>
      </c>
      <c r="G1071" s="19">
        <v>20</v>
      </c>
      <c r="H1071" s="19">
        <v>15</v>
      </c>
      <c r="I1071" s="19">
        <v>16</v>
      </c>
      <c r="J1071" s="19">
        <v>13</v>
      </c>
      <c r="K1071" s="19">
        <v>43</v>
      </c>
      <c r="L1071" s="19">
        <v>14</v>
      </c>
      <c r="M1071" s="19">
        <f t="shared" si="233"/>
        <v>161</v>
      </c>
      <c r="N1071" s="27">
        <f t="shared" si="239"/>
        <v>41709</v>
      </c>
    </row>
    <row r="1072" spans="1:14" x14ac:dyDescent="0.25">
      <c r="A1072" s="15">
        <f t="shared" si="243"/>
        <v>5</v>
      </c>
      <c r="B1072" s="20">
        <f t="shared" si="235"/>
        <v>1071</v>
      </c>
      <c r="C1072" s="17">
        <f t="shared" si="236"/>
        <v>25</v>
      </c>
      <c r="D1072" s="17" t="str">
        <f t="shared" si="234"/>
        <v>20140314</v>
      </c>
      <c r="E1072" s="20" t="str">
        <f t="shared" si="232"/>
        <v>20140314025</v>
      </c>
      <c r="F1072" s="19">
        <v>47</v>
      </c>
      <c r="G1072" s="19">
        <v>8</v>
      </c>
      <c r="H1072" s="19">
        <v>40</v>
      </c>
      <c r="I1072" s="19">
        <v>41</v>
      </c>
      <c r="J1072" s="19">
        <v>27</v>
      </c>
      <c r="K1072" s="19">
        <v>2</v>
      </c>
      <c r="L1072" s="19">
        <v>28</v>
      </c>
      <c r="M1072" s="19">
        <f t="shared" si="233"/>
        <v>193</v>
      </c>
      <c r="N1072" s="27">
        <f t="shared" si="240"/>
        <v>41712</v>
      </c>
    </row>
    <row r="1073" spans="1:14" x14ac:dyDescent="0.25">
      <c r="A1073" s="15">
        <f t="shared" si="243"/>
        <v>2</v>
      </c>
      <c r="B1073" s="20">
        <f t="shared" si="235"/>
        <v>1072</v>
      </c>
      <c r="C1073" s="17">
        <f t="shared" si="236"/>
        <v>26</v>
      </c>
      <c r="D1073" s="17" t="str">
        <f t="shared" si="234"/>
        <v>20140318</v>
      </c>
      <c r="E1073" s="20" t="str">
        <f t="shared" si="232"/>
        <v>20140318026</v>
      </c>
      <c r="F1073" s="19">
        <v>26</v>
      </c>
      <c r="G1073" s="19">
        <v>40</v>
      </c>
      <c r="H1073" s="19">
        <v>35</v>
      </c>
      <c r="I1073" s="19">
        <v>39</v>
      </c>
      <c r="J1073" s="19">
        <v>12</v>
      </c>
      <c r="K1073" s="19">
        <v>28</v>
      </c>
      <c r="L1073" s="19">
        <v>16</v>
      </c>
      <c r="M1073" s="19">
        <f t="shared" si="233"/>
        <v>196</v>
      </c>
      <c r="N1073" s="27">
        <f t="shared" si="239"/>
        <v>41716</v>
      </c>
    </row>
    <row r="1074" spans="1:14" x14ac:dyDescent="0.25">
      <c r="A1074" s="15">
        <f t="shared" si="243"/>
        <v>5</v>
      </c>
      <c r="B1074" s="20">
        <f t="shared" si="235"/>
        <v>1073</v>
      </c>
      <c r="C1074" s="17">
        <f t="shared" si="236"/>
        <v>27</v>
      </c>
      <c r="D1074" s="17" t="str">
        <f t="shared" si="234"/>
        <v>20140321</v>
      </c>
      <c r="E1074" s="20" t="str">
        <f t="shared" si="232"/>
        <v>20140321027</v>
      </c>
      <c r="F1074" s="19">
        <v>47</v>
      </c>
      <c r="G1074" s="19">
        <v>26</v>
      </c>
      <c r="H1074" s="19">
        <v>46</v>
      </c>
      <c r="I1074" s="19">
        <v>8</v>
      </c>
      <c r="J1074" s="19">
        <v>31</v>
      </c>
      <c r="K1074" s="19">
        <v>18</v>
      </c>
      <c r="L1074" s="19">
        <v>20</v>
      </c>
      <c r="M1074" s="19">
        <f t="shared" si="233"/>
        <v>196</v>
      </c>
      <c r="N1074" s="27">
        <f t="shared" si="240"/>
        <v>41719</v>
      </c>
    </row>
    <row r="1075" spans="1:14" x14ac:dyDescent="0.25">
      <c r="A1075" s="15">
        <f t="shared" si="243"/>
        <v>2</v>
      </c>
      <c r="B1075" s="20">
        <f t="shared" si="235"/>
        <v>1074</v>
      </c>
      <c r="C1075" s="17">
        <f t="shared" si="236"/>
        <v>28</v>
      </c>
      <c r="D1075" s="17" t="str">
        <f t="shared" si="234"/>
        <v>20140325</v>
      </c>
      <c r="E1075" s="20" t="str">
        <f t="shared" si="232"/>
        <v>20140325028</v>
      </c>
      <c r="F1075" s="19">
        <v>19</v>
      </c>
      <c r="G1075" s="19">
        <v>25</v>
      </c>
      <c r="H1075" s="19">
        <v>47</v>
      </c>
      <c r="I1075" s="19">
        <v>42</v>
      </c>
      <c r="J1075" s="19">
        <v>30</v>
      </c>
      <c r="K1075" s="19">
        <v>23</v>
      </c>
      <c r="L1075" s="19">
        <v>16</v>
      </c>
      <c r="M1075" s="19">
        <f t="shared" si="233"/>
        <v>202</v>
      </c>
      <c r="N1075" s="27">
        <f t="shared" si="239"/>
        <v>41723</v>
      </c>
    </row>
    <row r="1076" spans="1:14" x14ac:dyDescent="0.25">
      <c r="A1076" s="15">
        <f t="shared" si="243"/>
        <v>5</v>
      </c>
      <c r="B1076" s="20">
        <f t="shared" si="235"/>
        <v>1075</v>
      </c>
      <c r="C1076" s="17">
        <f t="shared" si="236"/>
        <v>29</v>
      </c>
      <c r="D1076" s="17" t="str">
        <f t="shared" si="234"/>
        <v>20140328</v>
      </c>
      <c r="E1076" s="20" t="str">
        <f t="shared" si="232"/>
        <v>20140328029</v>
      </c>
      <c r="F1076" s="19">
        <v>9</v>
      </c>
      <c r="G1076" s="19">
        <v>18</v>
      </c>
      <c r="H1076" s="19">
        <v>23</v>
      </c>
      <c r="I1076" s="19">
        <v>36</v>
      </c>
      <c r="J1076" s="19">
        <v>47</v>
      </c>
      <c r="K1076" s="19">
        <v>35</v>
      </c>
      <c r="L1076" s="19">
        <v>41</v>
      </c>
      <c r="M1076" s="19">
        <f t="shared" si="233"/>
        <v>209</v>
      </c>
      <c r="N1076" s="27">
        <f t="shared" si="240"/>
        <v>41726</v>
      </c>
    </row>
    <row r="1077" spans="1:14" x14ac:dyDescent="0.25">
      <c r="A1077" s="15">
        <f t="shared" si="243"/>
        <v>2</v>
      </c>
      <c r="B1077" s="20">
        <f t="shared" si="235"/>
        <v>1076</v>
      </c>
      <c r="C1077" s="17">
        <f t="shared" si="236"/>
        <v>30</v>
      </c>
      <c r="D1077" s="17" t="str">
        <f t="shared" si="234"/>
        <v>20140401</v>
      </c>
      <c r="E1077" s="20" t="str">
        <f t="shared" si="232"/>
        <v>20140401030</v>
      </c>
      <c r="F1077" s="19">
        <v>46</v>
      </c>
      <c r="G1077" s="19">
        <v>18</v>
      </c>
      <c r="H1077" s="19">
        <v>29</v>
      </c>
      <c r="I1077" s="19">
        <v>30</v>
      </c>
      <c r="J1077" s="19">
        <v>47</v>
      </c>
      <c r="K1077" s="19">
        <v>22</v>
      </c>
      <c r="L1077" s="19">
        <v>6</v>
      </c>
      <c r="M1077" s="19">
        <f t="shared" si="233"/>
        <v>198</v>
      </c>
      <c r="N1077" s="27">
        <f t="shared" si="239"/>
        <v>41730</v>
      </c>
    </row>
    <row r="1078" spans="1:14" x14ac:dyDescent="0.25">
      <c r="A1078" s="15">
        <f t="shared" si="243"/>
        <v>5</v>
      </c>
      <c r="B1078" s="20">
        <f t="shared" si="235"/>
        <v>1077</v>
      </c>
      <c r="C1078" s="17">
        <f t="shared" si="236"/>
        <v>31</v>
      </c>
      <c r="D1078" s="17" t="str">
        <f t="shared" si="234"/>
        <v>20140404</v>
      </c>
      <c r="E1078" s="20" t="str">
        <f t="shared" si="232"/>
        <v>20140404031</v>
      </c>
      <c r="F1078" s="19">
        <v>8</v>
      </c>
      <c r="G1078" s="19">
        <v>24</v>
      </c>
      <c r="H1078" s="19">
        <v>35</v>
      </c>
      <c r="I1078" s="19">
        <v>37</v>
      </c>
      <c r="J1078" s="19">
        <v>41</v>
      </c>
      <c r="K1078" s="19">
        <v>47</v>
      </c>
      <c r="L1078" s="19">
        <v>23</v>
      </c>
      <c r="M1078" s="19">
        <f t="shared" si="233"/>
        <v>215</v>
      </c>
      <c r="N1078" s="27">
        <f t="shared" si="240"/>
        <v>41733</v>
      </c>
    </row>
    <row r="1079" spans="1:14" x14ac:dyDescent="0.25">
      <c r="A1079" s="15">
        <f t="shared" si="243"/>
        <v>2</v>
      </c>
      <c r="B1079" s="20">
        <f t="shared" si="235"/>
        <v>1078</v>
      </c>
      <c r="C1079" s="17">
        <f t="shared" si="236"/>
        <v>32</v>
      </c>
      <c r="D1079" s="17" t="str">
        <f t="shared" si="234"/>
        <v>20140408</v>
      </c>
      <c r="E1079" s="20" t="str">
        <f t="shared" si="232"/>
        <v>20140408032</v>
      </c>
      <c r="F1079" s="19">
        <v>28</v>
      </c>
      <c r="G1079" s="19">
        <v>27</v>
      </c>
      <c r="H1079" s="19">
        <v>17</v>
      </c>
      <c r="I1079" s="19">
        <v>1</v>
      </c>
      <c r="J1079" s="19">
        <v>45</v>
      </c>
      <c r="K1079" s="19">
        <v>14</v>
      </c>
      <c r="L1079" s="19">
        <v>11</v>
      </c>
      <c r="M1079" s="19">
        <f t="shared" si="233"/>
        <v>143</v>
      </c>
      <c r="N1079" s="27">
        <f t="shared" si="239"/>
        <v>41737</v>
      </c>
    </row>
    <row r="1080" spans="1:14" x14ac:dyDescent="0.25">
      <c r="A1080" s="15">
        <f t="shared" si="243"/>
        <v>5</v>
      </c>
      <c r="B1080" s="20">
        <f t="shared" si="235"/>
        <v>1079</v>
      </c>
      <c r="C1080" s="17">
        <f t="shared" si="236"/>
        <v>33</v>
      </c>
      <c r="D1080" s="17" t="str">
        <f t="shared" si="234"/>
        <v>20140411</v>
      </c>
      <c r="E1080" s="20" t="str">
        <f t="shared" si="232"/>
        <v>20140411033</v>
      </c>
      <c r="F1080" s="19">
        <v>1</v>
      </c>
      <c r="G1080" s="19">
        <v>3</v>
      </c>
      <c r="H1080" s="19">
        <v>17</v>
      </c>
      <c r="I1080" s="19">
        <v>9</v>
      </c>
      <c r="J1080" s="19">
        <v>12</v>
      </c>
      <c r="K1080" s="19">
        <v>4</v>
      </c>
      <c r="L1080" s="19">
        <v>15</v>
      </c>
      <c r="M1080" s="19">
        <f t="shared" si="233"/>
        <v>61</v>
      </c>
      <c r="N1080" s="27">
        <f t="shared" si="240"/>
        <v>41740</v>
      </c>
    </row>
    <row r="1081" spans="1:14" x14ac:dyDescent="0.25">
      <c r="A1081" s="15">
        <f t="shared" si="243"/>
        <v>2</v>
      </c>
      <c r="B1081" s="20">
        <f t="shared" si="235"/>
        <v>1080</v>
      </c>
      <c r="C1081" s="17">
        <f t="shared" si="236"/>
        <v>34</v>
      </c>
      <c r="D1081" s="17" t="str">
        <f t="shared" si="234"/>
        <v>20140415</v>
      </c>
      <c r="E1081" s="20" t="str">
        <f t="shared" si="232"/>
        <v>20140415034</v>
      </c>
      <c r="F1081" s="19">
        <v>26</v>
      </c>
      <c r="G1081" s="19">
        <v>44</v>
      </c>
      <c r="H1081" s="19">
        <v>24</v>
      </c>
      <c r="I1081" s="19">
        <v>8</v>
      </c>
      <c r="J1081" s="19">
        <v>35</v>
      </c>
      <c r="K1081" s="19">
        <v>5</v>
      </c>
      <c r="L1081" s="19">
        <v>41</v>
      </c>
      <c r="M1081" s="19">
        <f t="shared" si="233"/>
        <v>183</v>
      </c>
      <c r="N1081" s="27">
        <f t="shared" si="239"/>
        <v>41744</v>
      </c>
    </row>
    <row r="1082" spans="1:14" x14ac:dyDescent="0.25">
      <c r="A1082" s="15">
        <f t="shared" si="243"/>
        <v>5</v>
      </c>
      <c r="B1082" s="20">
        <f t="shared" si="235"/>
        <v>1081</v>
      </c>
      <c r="C1082" s="17">
        <f t="shared" si="236"/>
        <v>35</v>
      </c>
      <c r="D1082" s="17" t="str">
        <f t="shared" si="234"/>
        <v>20140418</v>
      </c>
      <c r="E1082" s="20" t="str">
        <f t="shared" si="232"/>
        <v>20140418035</v>
      </c>
      <c r="F1082" s="19">
        <v>8</v>
      </c>
      <c r="G1082" s="19">
        <v>48</v>
      </c>
      <c r="H1082" s="19">
        <v>15</v>
      </c>
      <c r="I1082" s="19">
        <v>40</v>
      </c>
      <c r="J1082" s="19">
        <v>9</v>
      </c>
      <c r="K1082" s="19">
        <v>44</v>
      </c>
      <c r="L1082" s="19">
        <v>24</v>
      </c>
      <c r="M1082" s="19">
        <f t="shared" si="233"/>
        <v>188</v>
      </c>
      <c r="N1082" s="27">
        <f t="shared" si="240"/>
        <v>41747</v>
      </c>
    </row>
    <row r="1083" spans="1:14" x14ac:dyDescent="0.25">
      <c r="A1083" s="15">
        <f t="shared" ref="A1083:A1086" si="244">WEEKDAY(N1083,2)</f>
        <v>2</v>
      </c>
      <c r="B1083" s="20">
        <f t="shared" si="235"/>
        <v>1082</v>
      </c>
      <c r="C1083" s="17">
        <f t="shared" si="236"/>
        <v>36</v>
      </c>
      <c r="D1083" s="17" t="str">
        <f t="shared" si="234"/>
        <v>20140422</v>
      </c>
      <c r="E1083" s="20" t="str">
        <f t="shared" si="232"/>
        <v>20140422036</v>
      </c>
      <c r="F1083" s="19">
        <v>18</v>
      </c>
      <c r="G1083" s="19">
        <v>37</v>
      </c>
      <c r="H1083" s="19">
        <v>20</v>
      </c>
      <c r="I1083" s="19">
        <v>11</v>
      </c>
      <c r="J1083" s="19">
        <v>12</v>
      </c>
      <c r="K1083" s="19">
        <v>15</v>
      </c>
      <c r="L1083" s="19">
        <v>42</v>
      </c>
      <c r="M1083" s="19">
        <f t="shared" si="233"/>
        <v>155</v>
      </c>
      <c r="N1083" s="27">
        <f t="shared" si="239"/>
        <v>41751</v>
      </c>
    </row>
    <row r="1084" spans="1:14" x14ac:dyDescent="0.25">
      <c r="A1084" s="15">
        <f t="shared" si="244"/>
        <v>5</v>
      </c>
      <c r="B1084" s="20">
        <f t="shared" si="235"/>
        <v>1083</v>
      </c>
      <c r="C1084" s="17">
        <f t="shared" si="236"/>
        <v>37</v>
      </c>
      <c r="D1084" s="17" t="str">
        <f t="shared" si="234"/>
        <v>20140425</v>
      </c>
      <c r="E1084" s="20" t="str">
        <f t="shared" si="232"/>
        <v>20140425037</v>
      </c>
      <c r="F1084" s="19">
        <v>46</v>
      </c>
      <c r="G1084" s="19">
        <v>24</v>
      </c>
      <c r="H1084" s="19">
        <v>34</v>
      </c>
      <c r="I1084" s="19">
        <v>4</v>
      </c>
      <c r="J1084" s="19">
        <v>38</v>
      </c>
      <c r="K1084" s="19">
        <v>35</v>
      </c>
      <c r="L1084" s="19">
        <v>30</v>
      </c>
      <c r="M1084" s="19">
        <f t="shared" si="233"/>
        <v>211</v>
      </c>
      <c r="N1084" s="27">
        <f t="shared" si="240"/>
        <v>41754</v>
      </c>
    </row>
    <row r="1085" spans="1:14" x14ac:dyDescent="0.25">
      <c r="A1085" s="15">
        <f t="shared" si="244"/>
        <v>2</v>
      </c>
      <c r="B1085" s="20">
        <f t="shared" si="235"/>
        <v>1084</v>
      </c>
      <c r="C1085" s="17">
        <f t="shared" si="236"/>
        <v>38</v>
      </c>
      <c r="D1085" s="17" t="str">
        <f t="shared" si="234"/>
        <v>20140429</v>
      </c>
      <c r="E1085" s="20" t="str">
        <f t="shared" si="232"/>
        <v>20140429038</v>
      </c>
      <c r="F1085" s="19">
        <v>2</v>
      </c>
      <c r="G1085" s="19">
        <v>46</v>
      </c>
      <c r="H1085" s="19">
        <v>9</v>
      </c>
      <c r="I1085" s="19">
        <v>44</v>
      </c>
      <c r="J1085" s="19">
        <v>30</v>
      </c>
      <c r="K1085" s="19">
        <v>27</v>
      </c>
      <c r="L1085" s="19">
        <v>22</v>
      </c>
      <c r="M1085" s="19">
        <f t="shared" si="233"/>
        <v>180</v>
      </c>
      <c r="N1085" s="27">
        <f t="shared" si="239"/>
        <v>41758</v>
      </c>
    </row>
    <row r="1086" spans="1:14" x14ac:dyDescent="0.25">
      <c r="A1086" s="15">
        <f t="shared" si="244"/>
        <v>5</v>
      </c>
      <c r="B1086" s="20">
        <f t="shared" si="235"/>
        <v>1085</v>
      </c>
      <c r="C1086" s="17">
        <f t="shared" si="236"/>
        <v>39</v>
      </c>
      <c r="D1086" s="17" t="str">
        <f t="shared" si="234"/>
        <v>20140502</v>
      </c>
      <c r="E1086" s="20" t="str">
        <f t="shared" si="232"/>
        <v>20140502039</v>
      </c>
      <c r="F1086" s="19">
        <v>1</v>
      </c>
      <c r="G1086" s="19">
        <v>25</v>
      </c>
      <c r="H1086" s="19">
        <v>37</v>
      </c>
      <c r="I1086" s="19">
        <v>23</v>
      </c>
      <c r="J1086" s="19">
        <v>7</v>
      </c>
      <c r="K1086" s="19">
        <v>40</v>
      </c>
      <c r="L1086" s="19">
        <v>12</v>
      </c>
      <c r="M1086" s="19">
        <f t="shared" si="233"/>
        <v>145</v>
      </c>
      <c r="N1086" s="27">
        <f t="shared" si="240"/>
        <v>41761</v>
      </c>
    </row>
    <row r="1087" spans="1:14" x14ac:dyDescent="0.25">
      <c r="A1087" s="15">
        <f t="shared" ref="A1087:A1142" si="245">WEEKDAY(N1087,2)</f>
        <v>2</v>
      </c>
      <c r="B1087" s="20">
        <f t="shared" si="235"/>
        <v>1086</v>
      </c>
      <c r="C1087" s="17">
        <f t="shared" si="236"/>
        <v>40</v>
      </c>
      <c r="D1087" s="17" t="str">
        <f t="shared" si="234"/>
        <v>20140506</v>
      </c>
      <c r="E1087" s="20" t="str">
        <f t="shared" si="232"/>
        <v>20140506040</v>
      </c>
      <c r="F1087" s="19">
        <v>10</v>
      </c>
      <c r="G1087" s="19">
        <v>46</v>
      </c>
      <c r="H1087" s="19">
        <v>39</v>
      </c>
      <c r="I1087" s="19">
        <v>35</v>
      </c>
      <c r="J1087" s="19">
        <v>40</v>
      </c>
      <c r="K1087" s="19">
        <v>25</v>
      </c>
      <c r="L1087" s="19">
        <v>31</v>
      </c>
      <c r="M1087" s="19">
        <f t="shared" si="233"/>
        <v>226</v>
      </c>
      <c r="N1087" s="27">
        <f t="shared" si="239"/>
        <v>41765</v>
      </c>
    </row>
    <row r="1088" spans="1:14" x14ac:dyDescent="0.25">
      <c r="A1088" s="15">
        <f t="shared" si="245"/>
        <v>5</v>
      </c>
      <c r="B1088" s="20">
        <f t="shared" si="235"/>
        <v>1087</v>
      </c>
      <c r="C1088" s="17">
        <f t="shared" si="236"/>
        <v>41</v>
      </c>
      <c r="D1088" s="17" t="str">
        <f t="shared" si="234"/>
        <v>20140509</v>
      </c>
      <c r="E1088" s="20" t="str">
        <f t="shared" si="232"/>
        <v>20140509041</v>
      </c>
      <c r="F1088" s="19">
        <v>13</v>
      </c>
      <c r="G1088" s="19">
        <v>1</v>
      </c>
      <c r="H1088" s="19">
        <v>27</v>
      </c>
      <c r="I1088" s="19">
        <v>21</v>
      </c>
      <c r="J1088" s="19">
        <v>37</v>
      </c>
      <c r="K1088" s="19">
        <v>11</v>
      </c>
      <c r="L1088" s="19">
        <v>3</v>
      </c>
      <c r="M1088" s="19">
        <f t="shared" si="233"/>
        <v>113</v>
      </c>
      <c r="N1088" s="27">
        <f t="shared" si="240"/>
        <v>41768</v>
      </c>
    </row>
    <row r="1089" spans="1:14" x14ac:dyDescent="0.25">
      <c r="A1089" s="15">
        <f t="shared" si="245"/>
        <v>2</v>
      </c>
      <c r="B1089" s="20">
        <f t="shared" si="235"/>
        <v>1088</v>
      </c>
      <c r="C1089" s="17">
        <f t="shared" si="236"/>
        <v>42</v>
      </c>
      <c r="D1089" s="17" t="str">
        <f t="shared" si="234"/>
        <v>20140513</v>
      </c>
      <c r="E1089" s="20" t="str">
        <f t="shared" si="232"/>
        <v>20140513042</v>
      </c>
      <c r="F1089" s="19">
        <v>32</v>
      </c>
      <c r="G1089" s="19">
        <v>20</v>
      </c>
      <c r="H1089" s="19">
        <v>31</v>
      </c>
      <c r="I1089" s="19">
        <v>44</v>
      </c>
      <c r="J1089" s="19">
        <v>29</v>
      </c>
      <c r="K1089" s="19">
        <v>15</v>
      </c>
      <c r="L1089" s="19">
        <v>23</v>
      </c>
      <c r="M1089" s="19">
        <f t="shared" si="233"/>
        <v>194</v>
      </c>
      <c r="N1089" s="27">
        <f t="shared" si="239"/>
        <v>41772</v>
      </c>
    </row>
    <row r="1090" spans="1:14" x14ac:dyDescent="0.25">
      <c r="A1090" s="15">
        <f t="shared" si="245"/>
        <v>5</v>
      </c>
      <c r="B1090" s="20">
        <f t="shared" si="235"/>
        <v>1089</v>
      </c>
      <c r="C1090" s="17">
        <f t="shared" si="236"/>
        <v>43</v>
      </c>
      <c r="D1090" s="17" t="str">
        <f t="shared" si="234"/>
        <v>20140516</v>
      </c>
      <c r="E1090" s="20" t="str">
        <f t="shared" ref="E1090:E1153" si="246">CONCATENATE(D1090,TEXT(C1090,"000"))</f>
        <v>20140516043</v>
      </c>
      <c r="F1090" s="19">
        <v>45</v>
      </c>
      <c r="G1090" s="19">
        <v>41</v>
      </c>
      <c r="H1090" s="19">
        <v>31</v>
      </c>
      <c r="I1090" s="19">
        <v>42</v>
      </c>
      <c r="J1090" s="19">
        <v>14</v>
      </c>
      <c r="K1090" s="19">
        <v>38</v>
      </c>
      <c r="L1090" s="19">
        <v>29</v>
      </c>
      <c r="M1090" s="19">
        <f t="shared" si="233"/>
        <v>240</v>
      </c>
      <c r="N1090" s="27">
        <f t="shared" si="240"/>
        <v>41775</v>
      </c>
    </row>
    <row r="1091" spans="1:14" x14ac:dyDescent="0.25">
      <c r="A1091" s="15">
        <f t="shared" si="245"/>
        <v>2</v>
      </c>
      <c r="B1091" s="20">
        <f t="shared" ref="B1091" si="247">B1090+1</f>
        <v>1090</v>
      </c>
      <c r="C1091" s="17">
        <f t="shared" si="236"/>
        <v>44</v>
      </c>
      <c r="D1091" s="17" t="str">
        <f t="shared" si="234"/>
        <v>20140520</v>
      </c>
      <c r="E1091" s="20" t="str">
        <f t="shared" si="246"/>
        <v>20140520044</v>
      </c>
      <c r="F1091" s="19">
        <v>34</v>
      </c>
      <c r="G1091" s="19">
        <v>33</v>
      </c>
      <c r="H1091" s="19">
        <v>30</v>
      </c>
      <c r="I1091" s="19">
        <v>13</v>
      </c>
      <c r="J1091" s="19">
        <v>35</v>
      </c>
      <c r="K1091" s="19">
        <v>6</v>
      </c>
      <c r="L1091" s="19">
        <v>38</v>
      </c>
      <c r="M1091" s="19">
        <f t="shared" ref="M1091:M1154" si="248">SUM(F1091:L1091)</f>
        <v>189</v>
      </c>
      <c r="N1091" s="27">
        <f t="shared" si="239"/>
        <v>41779</v>
      </c>
    </row>
    <row r="1092" spans="1:14" x14ac:dyDescent="0.25">
      <c r="A1092" s="15">
        <f t="shared" si="245"/>
        <v>5</v>
      </c>
      <c r="B1092" s="20">
        <f t="shared" ref="B1092" si="249">B1091+1</f>
        <v>1091</v>
      </c>
      <c r="C1092" s="17">
        <f t="shared" si="236"/>
        <v>45</v>
      </c>
      <c r="D1092" s="17" t="str">
        <f t="shared" ref="D1092:D1155" si="250">CONCATENATE(TEXT(YEAR(N1092),"0000"),TEXT(MONTH(N1092),"00"),TEXT(DAY(N1092),"00"))</f>
        <v>20140523</v>
      </c>
      <c r="E1092" s="20" t="str">
        <f t="shared" si="246"/>
        <v>20140523045</v>
      </c>
      <c r="F1092" s="19">
        <v>30</v>
      </c>
      <c r="G1092" s="19">
        <v>11</v>
      </c>
      <c r="H1092" s="19">
        <v>22</v>
      </c>
      <c r="I1092" s="19">
        <v>46</v>
      </c>
      <c r="J1092" s="19">
        <v>17</v>
      </c>
      <c r="K1092" s="19">
        <v>27</v>
      </c>
      <c r="L1092" s="19">
        <v>15</v>
      </c>
      <c r="M1092" s="19">
        <f t="shared" si="248"/>
        <v>168</v>
      </c>
      <c r="N1092" s="27">
        <f t="shared" si="240"/>
        <v>41782</v>
      </c>
    </row>
    <row r="1093" spans="1:14" x14ac:dyDescent="0.25">
      <c r="A1093" s="15">
        <f t="shared" si="245"/>
        <v>2</v>
      </c>
      <c r="B1093" s="20">
        <f t="shared" ref="B1093" si="251">B1092+1</f>
        <v>1092</v>
      </c>
      <c r="C1093" s="17">
        <f t="shared" si="236"/>
        <v>46</v>
      </c>
      <c r="D1093" s="17" t="str">
        <f t="shared" si="250"/>
        <v>20140527</v>
      </c>
      <c r="E1093" s="20" t="str">
        <f t="shared" si="246"/>
        <v>20140527046</v>
      </c>
      <c r="F1093" s="19">
        <v>26</v>
      </c>
      <c r="G1093" s="19">
        <v>19</v>
      </c>
      <c r="H1093" s="19">
        <v>23</v>
      </c>
      <c r="I1093" s="19">
        <v>10</v>
      </c>
      <c r="J1093" s="19">
        <v>39</v>
      </c>
      <c r="K1093" s="19">
        <v>32</v>
      </c>
      <c r="L1093" s="19">
        <v>16</v>
      </c>
      <c r="M1093" s="19">
        <f t="shared" si="248"/>
        <v>165</v>
      </c>
      <c r="N1093" s="27">
        <f t="shared" si="239"/>
        <v>41786</v>
      </c>
    </row>
    <row r="1094" spans="1:14" x14ac:dyDescent="0.25">
      <c r="A1094" s="15">
        <f t="shared" si="245"/>
        <v>5</v>
      </c>
      <c r="B1094" s="20">
        <f t="shared" ref="B1094" si="252">B1093+1</f>
        <v>1093</v>
      </c>
      <c r="C1094" s="17">
        <f t="shared" si="236"/>
        <v>47</v>
      </c>
      <c r="D1094" s="17" t="str">
        <f t="shared" si="250"/>
        <v>20140530</v>
      </c>
      <c r="E1094" s="20" t="str">
        <f t="shared" si="246"/>
        <v>20140530047</v>
      </c>
      <c r="F1094" s="19">
        <v>21</v>
      </c>
      <c r="G1094" s="19">
        <v>9</v>
      </c>
      <c r="H1094" s="19">
        <v>17</v>
      </c>
      <c r="I1094" s="19">
        <v>35</v>
      </c>
      <c r="J1094" s="19">
        <v>24</v>
      </c>
      <c r="K1094" s="19">
        <v>30</v>
      </c>
      <c r="L1094" s="19">
        <v>15</v>
      </c>
      <c r="M1094" s="19">
        <f t="shared" si="248"/>
        <v>151</v>
      </c>
      <c r="N1094" s="27">
        <f t="shared" si="240"/>
        <v>41789</v>
      </c>
    </row>
    <row r="1095" spans="1:14" x14ac:dyDescent="0.25">
      <c r="A1095" s="15">
        <f t="shared" si="245"/>
        <v>2</v>
      </c>
      <c r="B1095" s="20">
        <f t="shared" ref="B1095" si="253">B1094+1</f>
        <v>1094</v>
      </c>
      <c r="C1095" s="17">
        <f t="shared" ref="C1095:C1155" si="254">C1094+1</f>
        <v>48</v>
      </c>
      <c r="D1095" s="17" t="str">
        <f t="shared" si="250"/>
        <v>20140603</v>
      </c>
      <c r="E1095" s="20" t="str">
        <f t="shared" si="246"/>
        <v>20140603048</v>
      </c>
      <c r="F1095" s="19">
        <v>31</v>
      </c>
      <c r="G1095" s="19">
        <v>32</v>
      </c>
      <c r="H1095" s="19">
        <v>16</v>
      </c>
      <c r="I1095" s="19">
        <v>44</v>
      </c>
      <c r="J1095" s="19">
        <v>35</v>
      </c>
      <c r="K1095" s="19">
        <v>33</v>
      </c>
      <c r="L1095" s="19">
        <v>46</v>
      </c>
      <c r="M1095" s="19">
        <f t="shared" si="248"/>
        <v>237</v>
      </c>
      <c r="N1095" s="27">
        <f t="shared" si="239"/>
        <v>41793</v>
      </c>
    </row>
    <row r="1096" spans="1:14" x14ac:dyDescent="0.25">
      <c r="A1096" s="15">
        <f t="shared" si="245"/>
        <v>5</v>
      </c>
      <c r="B1096" s="20">
        <f t="shared" ref="B1096" si="255">B1095+1</f>
        <v>1095</v>
      </c>
      <c r="C1096" s="17">
        <f t="shared" si="254"/>
        <v>49</v>
      </c>
      <c r="D1096" s="17" t="str">
        <f t="shared" si="250"/>
        <v>20140606</v>
      </c>
      <c r="E1096" s="20" t="str">
        <f t="shared" si="246"/>
        <v>20140606049</v>
      </c>
      <c r="F1096" s="19">
        <v>41</v>
      </c>
      <c r="G1096" s="19">
        <v>29</v>
      </c>
      <c r="H1096" s="19">
        <v>47</v>
      </c>
      <c r="I1096" s="19">
        <v>49</v>
      </c>
      <c r="J1096" s="19">
        <v>25</v>
      </c>
      <c r="K1096" s="19">
        <v>40</v>
      </c>
      <c r="L1096" s="19">
        <v>48</v>
      </c>
      <c r="M1096" s="19">
        <f t="shared" si="248"/>
        <v>279</v>
      </c>
      <c r="N1096" s="27">
        <f t="shared" si="240"/>
        <v>41796</v>
      </c>
    </row>
    <row r="1097" spans="1:14" x14ac:dyDescent="0.25">
      <c r="A1097" s="15">
        <f t="shared" si="245"/>
        <v>2</v>
      </c>
      <c r="B1097" s="20">
        <f t="shared" ref="B1097" si="256">B1096+1</f>
        <v>1096</v>
      </c>
      <c r="C1097" s="17">
        <f t="shared" si="254"/>
        <v>50</v>
      </c>
      <c r="D1097" s="17" t="str">
        <f t="shared" si="250"/>
        <v>20140610</v>
      </c>
      <c r="E1097" s="20" t="str">
        <f t="shared" si="246"/>
        <v>20140610050</v>
      </c>
      <c r="F1097" s="19">
        <v>3</v>
      </c>
      <c r="G1097" s="19">
        <v>32</v>
      </c>
      <c r="H1097" s="19">
        <v>11</v>
      </c>
      <c r="I1097" s="19">
        <v>35</v>
      </c>
      <c r="J1097" s="19">
        <v>33</v>
      </c>
      <c r="K1097" s="19">
        <v>28</v>
      </c>
      <c r="L1097" s="19">
        <v>30</v>
      </c>
      <c r="M1097" s="19">
        <f t="shared" si="248"/>
        <v>172</v>
      </c>
      <c r="N1097" s="27">
        <f t="shared" si="239"/>
        <v>41800</v>
      </c>
    </row>
    <row r="1098" spans="1:14" x14ac:dyDescent="0.25">
      <c r="A1098" s="15">
        <f t="shared" si="245"/>
        <v>5</v>
      </c>
      <c r="B1098" s="20">
        <f t="shared" ref="B1098" si="257">B1097+1</f>
        <v>1097</v>
      </c>
      <c r="C1098" s="17">
        <f t="shared" si="254"/>
        <v>51</v>
      </c>
      <c r="D1098" s="17" t="str">
        <f t="shared" si="250"/>
        <v>20140613</v>
      </c>
      <c r="E1098" s="20" t="str">
        <f t="shared" si="246"/>
        <v>20140613051</v>
      </c>
      <c r="F1098" s="19">
        <v>28</v>
      </c>
      <c r="G1098" s="19">
        <v>32</v>
      </c>
      <c r="H1098" s="19">
        <v>37</v>
      </c>
      <c r="I1098" s="19">
        <v>42</v>
      </c>
      <c r="J1098" s="19">
        <v>4</v>
      </c>
      <c r="K1098" s="19">
        <v>21</v>
      </c>
      <c r="L1098" s="19">
        <v>16</v>
      </c>
      <c r="M1098" s="19">
        <f t="shared" si="248"/>
        <v>180</v>
      </c>
      <c r="N1098" s="27">
        <f t="shared" si="240"/>
        <v>41803</v>
      </c>
    </row>
    <row r="1099" spans="1:14" x14ac:dyDescent="0.25">
      <c r="A1099" s="15">
        <f t="shared" si="245"/>
        <v>2</v>
      </c>
      <c r="B1099" s="20">
        <f t="shared" ref="B1099" si="258">B1098+1</f>
        <v>1098</v>
      </c>
      <c r="C1099" s="17">
        <f t="shared" si="254"/>
        <v>52</v>
      </c>
      <c r="D1099" s="17" t="str">
        <f t="shared" si="250"/>
        <v>20140617</v>
      </c>
      <c r="E1099" s="20" t="str">
        <f t="shared" si="246"/>
        <v>20140617052</v>
      </c>
      <c r="F1099" s="19">
        <v>3</v>
      </c>
      <c r="G1099" s="19">
        <v>6</v>
      </c>
      <c r="H1099" s="19">
        <v>20</v>
      </c>
      <c r="I1099" s="19">
        <v>48</v>
      </c>
      <c r="J1099" s="19">
        <v>18</v>
      </c>
      <c r="K1099" s="19">
        <v>25</v>
      </c>
      <c r="L1099" s="19">
        <v>12</v>
      </c>
      <c r="M1099" s="19">
        <f t="shared" si="248"/>
        <v>132</v>
      </c>
      <c r="N1099" s="27">
        <f>N1098+4</f>
        <v>41807</v>
      </c>
    </row>
    <row r="1100" spans="1:14" x14ac:dyDescent="0.25">
      <c r="A1100" s="15">
        <f t="shared" si="245"/>
        <v>5</v>
      </c>
      <c r="B1100" s="20">
        <f t="shared" ref="B1100" si="259">B1099+1</f>
        <v>1099</v>
      </c>
      <c r="C1100" s="17">
        <f t="shared" si="254"/>
        <v>53</v>
      </c>
      <c r="D1100" s="17" t="str">
        <f t="shared" si="250"/>
        <v>20140620</v>
      </c>
      <c r="E1100" s="20" t="str">
        <f t="shared" si="246"/>
        <v>20140620053</v>
      </c>
      <c r="F1100" s="19">
        <v>14</v>
      </c>
      <c r="G1100" s="19">
        <v>36</v>
      </c>
      <c r="H1100" s="19">
        <v>12</v>
      </c>
      <c r="I1100" s="19">
        <v>16</v>
      </c>
      <c r="J1100" s="19">
        <v>33</v>
      </c>
      <c r="K1100" s="19">
        <v>47</v>
      </c>
      <c r="L1100" s="19">
        <v>48</v>
      </c>
      <c r="M1100" s="19">
        <f t="shared" si="248"/>
        <v>206</v>
      </c>
      <c r="N1100" s="27">
        <f>N1099+3</f>
        <v>41810</v>
      </c>
    </row>
    <row r="1101" spans="1:14" x14ac:dyDescent="0.25">
      <c r="A1101" s="15">
        <f t="shared" si="245"/>
        <v>2</v>
      </c>
      <c r="B1101" s="20">
        <f t="shared" ref="B1101" si="260">B1100+1</f>
        <v>1100</v>
      </c>
      <c r="C1101" s="17">
        <f t="shared" si="254"/>
        <v>54</v>
      </c>
      <c r="D1101" s="17" t="str">
        <f t="shared" si="250"/>
        <v>20140624</v>
      </c>
      <c r="E1101" s="20" t="str">
        <f t="shared" si="246"/>
        <v>20140624054</v>
      </c>
      <c r="F1101" s="19">
        <v>14</v>
      </c>
      <c r="G1101" s="19">
        <v>40</v>
      </c>
      <c r="H1101" s="19">
        <v>8</v>
      </c>
      <c r="I1101" s="19">
        <v>1</v>
      </c>
      <c r="J1101" s="19">
        <v>12</v>
      </c>
      <c r="K1101" s="19">
        <v>41</v>
      </c>
      <c r="L1101" s="19">
        <v>15</v>
      </c>
      <c r="M1101" s="19">
        <f t="shared" si="248"/>
        <v>131</v>
      </c>
      <c r="N1101" s="27">
        <f t="shared" ref="N1101" si="261">N1100+4</f>
        <v>41814</v>
      </c>
    </row>
    <row r="1102" spans="1:14" x14ac:dyDescent="0.25">
      <c r="A1102" s="15">
        <f t="shared" si="245"/>
        <v>5</v>
      </c>
      <c r="B1102" s="20">
        <f t="shared" ref="B1102" si="262">B1101+1</f>
        <v>1101</v>
      </c>
      <c r="C1102" s="17">
        <f t="shared" si="254"/>
        <v>55</v>
      </c>
      <c r="D1102" s="17" t="str">
        <f t="shared" si="250"/>
        <v>20140627</v>
      </c>
      <c r="E1102" s="20" t="str">
        <f t="shared" si="246"/>
        <v>20140627055</v>
      </c>
      <c r="F1102" s="19">
        <v>35</v>
      </c>
      <c r="G1102" s="19">
        <v>34</v>
      </c>
      <c r="H1102" s="19">
        <v>36</v>
      </c>
      <c r="I1102" s="19">
        <v>27</v>
      </c>
      <c r="J1102" s="19">
        <v>13</v>
      </c>
      <c r="K1102" s="19">
        <v>21</v>
      </c>
      <c r="L1102" s="19">
        <v>24</v>
      </c>
      <c r="M1102" s="19">
        <f t="shared" si="248"/>
        <v>190</v>
      </c>
      <c r="N1102" s="27">
        <f t="shared" ref="N1102" si="263">N1101+3</f>
        <v>41817</v>
      </c>
    </row>
    <row r="1103" spans="1:14" x14ac:dyDescent="0.25">
      <c r="A1103" s="15">
        <f t="shared" si="245"/>
        <v>2</v>
      </c>
      <c r="B1103" s="20">
        <f t="shared" ref="B1103" si="264">B1102+1</f>
        <v>1102</v>
      </c>
      <c r="C1103" s="17">
        <f t="shared" si="254"/>
        <v>56</v>
      </c>
      <c r="D1103" s="17" t="str">
        <f t="shared" si="250"/>
        <v>20140701</v>
      </c>
      <c r="E1103" s="20" t="str">
        <f t="shared" si="246"/>
        <v>20140701056</v>
      </c>
      <c r="F1103" s="19">
        <v>9</v>
      </c>
      <c r="G1103" s="19">
        <v>21</v>
      </c>
      <c r="H1103" s="19">
        <v>48</v>
      </c>
      <c r="I1103" s="19">
        <v>8</v>
      </c>
      <c r="J1103" s="19">
        <v>7</v>
      </c>
      <c r="K1103" s="19">
        <v>6</v>
      </c>
      <c r="L1103" s="19">
        <v>18</v>
      </c>
      <c r="M1103" s="19">
        <f t="shared" si="248"/>
        <v>117</v>
      </c>
      <c r="N1103" s="27">
        <f t="shared" ref="N1103" si="265">N1102+4</f>
        <v>41821</v>
      </c>
    </row>
    <row r="1104" spans="1:14" x14ac:dyDescent="0.25">
      <c r="A1104" s="15">
        <f t="shared" si="245"/>
        <v>5</v>
      </c>
      <c r="B1104" s="20">
        <f t="shared" ref="B1104" si="266">B1103+1</f>
        <v>1103</v>
      </c>
      <c r="C1104" s="17">
        <f t="shared" si="254"/>
        <v>57</v>
      </c>
      <c r="D1104" s="17" t="str">
        <f t="shared" si="250"/>
        <v>20140704</v>
      </c>
      <c r="E1104" s="20" t="str">
        <f t="shared" si="246"/>
        <v>20140704057</v>
      </c>
      <c r="F1104" s="19">
        <v>48</v>
      </c>
      <c r="G1104" s="19">
        <v>14</v>
      </c>
      <c r="H1104" s="19">
        <v>24</v>
      </c>
      <c r="I1104" s="19">
        <v>17</v>
      </c>
      <c r="J1104" s="19">
        <v>27</v>
      </c>
      <c r="K1104" s="19">
        <v>3</v>
      </c>
      <c r="L1104" s="19">
        <v>28</v>
      </c>
      <c r="M1104" s="19">
        <f t="shared" si="248"/>
        <v>161</v>
      </c>
      <c r="N1104" s="27">
        <f t="shared" ref="N1104" si="267">N1103+3</f>
        <v>41824</v>
      </c>
    </row>
    <row r="1105" spans="1:14" x14ac:dyDescent="0.25">
      <c r="A1105" s="15">
        <f t="shared" si="245"/>
        <v>2</v>
      </c>
      <c r="B1105" s="20">
        <f t="shared" ref="B1105" si="268">B1104+1</f>
        <v>1104</v>
      </c>
      <c r="C1105" s="17">
        <f t="shared" si="254"/>
        <v>58</v>
      </c>
      <c r="D1105" s="17" t="str">
        <f t="shared" si="250"/>
        <v>20140708</v>
      </c>
      <c r="E1105" s="20" t="str">
        <f t="shared" si="246"/>
        <v>20140708058</v>
      </c>
      <c r="F1105" s="19">
        <v>33</v>
      </c>
      <c r="G1105" s="19">
        <v>10</v>
      </c>
      <c r="H1105" s="19">
        <v>39</v>
      </c>
      <c r="I1105" s="19">
        <v>22</v>
      </c>
      <c r="J1105" s="19">
        <v>47</v>
      </c>
      <c r="K1105" s="19">
        <v>25</v>
      </c>
      <c r="L1105" s="19">
        <v>38</v>
      </c>
      <c r="M1105" s="19">
        <f t="shared" si="248"/>
        <v>214</v>
      </c>
      <c r="N1105" s="27">
        <f t="shared" ref="N1105" si="269">N1104+4</f>
        <v>41828</v>
      </c>
    </row>
    <row r="1106" spans="1:14" x14ac:dyDescent="0.25">
      <c r="A1106" s="15">
        <f t="shared" si="245"/>
        <v>5</v>
      </c>
      <c r="B1106" s="20">
        <f t="shared" ref="B1106" si="270">B1105+1</f>
        <v>1105</v>
      </c>
      <c r="C1106" s="17">
        <f t="shared" si="254"/>
        <v>59</v>
      </c>
      <c r="D1106" s="17" t="str">
        <f t="shared" si="250"/>
        <v>20140711</v>
      </c>
      <c r="E1106" s="20" t="str">
        <f t="shared" si="246"/>
        <v>20140711059</v>
      </c>
      <c r="F1106" s="19">
        <v>7</v>
      </c>
      <c r="G1106" s="19">
        <v>18</v>
      </c>
      <c r="H1106" s="19">
        <v>30</v>
      </c>
      <c r="I1106" s="19">
        <v>1</v>
      </c>
      <c r="J1106" s="19">
        <v>15</v>
      </c>
      <c r="K1106" s="19">
        <v>14</v>
      </c>
      <c r="L1106" s="19">
        <v>33</v>
      </c>
      <c r="M1106" s="19">
        <f t="shared" si="248"/>
        <v>118</v>
      </c>
      <c r="N1106" s="27">
        <f t="shared" ref="N1106" si="271">N1105+3</f>
        <v>41831</v>
      </c>
    </row>
    <row r="1107" spans="1:14" x14ac:dyDescent="0.25">
      <c r="A1107" s="15">
        <f t="shared" si="245"/>
        <v>2</v>
      </c>
      <c r="B1107" s="20">
        <f t="shared" ref="B1107" si="272">B1106+1</f>
        <v>1106</v>
      </c>
      <c r="C1107" s="17">
        <f t="shared" si="254"/>
        <v>60</v>
      </c>
      <c r="D1107" s="17" t="str">
        <f t="shared" si="250"/>
        <v>20140715</v>
      </c>
      <c r="E1107" s="20" t="str">
        <f t="shared" si="246"/>
        <v>20140715060</v>
      </c>
      <c r="F1107" s="19">
        <v>7</v>
      </c>
      <c r="G1107" s="19">
        <v>32</v>
      </c>
      <c r="H1107" s="19">
        <v>18</v>
      </c>
      <c r="I1107" s="19">
        <v>23</v>
      </c>
      <c r="J1107" s="19">
        <v>48</v>
      </c>
      <c r="K1107" s="19">
        <v>34</v>
      </c>
      <c r="L1107" s="19">
        <v>13</v>
      </c>
      <c r="M1107" s="19">
        <f t="shared" si="248"/>
        <v>175</v>
      </c>
      <c r="N1107" s="27">
        <f t="shared" ref="N1107" si="273">N1106+4</f>
        <v>41835</v>
      </c>
    </row>
    <row r="1108" spans="1:14" x14ac:dyDescent="0.25">
      <c r="A1108" s="15">
        <f t="shared" si="245"/>
        <v>5</v>
      </c>
      <c r="B1108" s="20">
        <f t="shared" ref="B1108" si="274">B1107+1</f>
        <v>1107</v>
      </c>
      <c r="C1108" s="17">
        <f t="shared" si="254"/>
        <v>61</v>
      </c>
      <c r="D1108" s="17" t="str">
        <f t="shared" si="250"/>
        <v>20140718</v>
      </c>
      <c r="E1108" s="20" t="str">
        <f t="shared" si="246"/>
        <v>20140718061</v>
      </c>
      <c r="F1108" s="19">
        <v>19</v>
      </c>
      <c r="G1108" s="19">
        <v>15</v>
      </c>
      <c r="H1108" s="19">
        <v>21</v>
      </c>
      <c r="I1108" s="19">
        <v>2</v>
      </c>
      <c r="J1108" s="19">
        <v>30</v>
      </c>
      <c r="K1108" s="19">
        <v>1</v>
      </c>
      <c r="L1108" s="19">
        <v>40</v>
      </c>
      <c r="M1108" s="19">
        <f t="shared" si="248"/>
        <v>128</v>
      </c>
      <c r="N1108" s="27">
        <f t="shared" ref="N1108" si="275">N1107+3</f>
        <v>41838</v>
      </c>
    </row>
    <row r="1109" spans="1:14" x14ac:dyDescent="0.25">
      <c r="A1109" s="15">
        <f t="shared" si="245"/>
        <v>2</v>
      </c>
      <c r="B1109" s="20">
        <f t="shared" ref="B1109" si="276">B1108+1</f>
        <v>1108</v>
      </c>
      <c r="C1109" s="17">
        <f t="shared" si="254"/>
        <v>62</v>
      </c>
      <c r="D1109" s="17" t="str">
        <f t="shared" si="250"/>
        <v>20140722</v>
      </c>
      <c r="E1109" s="20" t="str">
        <f t="shared" si="246"/>
        <v>20140722062</v>
      </c>
      <c r="F1109" s="19">
        <v>28</v>
      </c>
      <c r="G1109" s="19">
        <v>3</v>
      </c>
      <c r="H1109" s="19">
        <v>13</v>
      </c>
      <c r="I1109" s="19">
        <v>9</v>
      </c>
      <c r="J1109" s="19">
        <v>17</v>
      </c>
      <c r="K1109" s="19">
        <v>42</v>
      </c>
      <c r="L1109" s="19">
        <v>14</v>
      </c>
      <c r="M1109" s="19">
        <f t="shared" si="248"/>
        <v>126</v>
      </c>
      <c r="N1109" s="27">
        <f t="shared" ref="N1109" si="277">N1108+4</f>
        <v>41842</v>
      </c>
    </row>
    <row r="1110" spans="1:14" x14ac:dyDescent="0.25">
      <c r="A1110" s="15">
        <f t="shared" si="245"/>
        <v>5</v>
      </c>
      <c r="B1110" s="20">
        <f t="shared" ref="B1110" si="278">B1109+1</f>
        <v>1109</v>
      </c>
      <c r="C1110" s="17">
        <f t="shared" si="254"/>
        <v>63</v>
      </c>
      <c r="D1110" s="17" t="str">
        <f t="shared" si="250"/>
        <v>20140725</v>
      </c>
      <c r="E1110" s="20" t="str">
        <f t="shared" si="246"/>
        <v>20140725063</v>
      </c>
      <c r="F1110" s="19">
        <v>45</v>
      </c>
      <c r="G1110" s="19">
        <v>30</v>
      </c>
      <c r="H1110" s="19">
        <v>21</v>
      </c>
      <c r="I1110" s="19">
        <v>32</v>
      </c>
      <c r="J1110" s="19">
        <v>5</v>
      </c>
      <c r="K1110" s="19">
        <v>35</v>
      </c>
      <c r="L1110" s="19">
        <v>26</v>
      </c>
      <c r="M1110" s="19">
        <f t="shared" si="248"/>
        <v>194</v>
      </c>
      <c r="N1110" s="27">
        <f t="shared" ref="N1110" si="279">N1109+3</f>
        <v>41845</v>
      </c>
    </row>
    <row r="1111" spans="1:14" x14ac:dyDescent="0.25">
      <c r="A1111" s="15">
        <f t="shared" si="245"/>
        <v>2</v>
      </c>
      <c r="B1111" s="20">
        <f t="shared" ref="B1111" si="280">B1110+1</f>
        <v>1110</v>
      </c>
      <c r="C1111" s="17">
        <f t="shared" si="254"/>
        <v>64</v>
      </c>
      <c r="D1111" s="17" t="str">
        <f t="shared" si="250"/>
        <v>20140729</v>
      </c>
      <c r="E1111" s="20" t="str">
        <f t="shared" si="246"/>
        <v>20140729064</v>
      </c>
      <c r="F1111" s="19">
        <v>47</v>
      </c>
      <c r="G1111" s="19">
        <v>36</v>
      </c>
      <c r="H1111" s="19">
        <v>32</v>
      </c>
      <c r="I1111" s="19">
        <v>31</v>
      </c>
      <c r="J1111" s="19">
        <v>44</v>
      </c>
      <c r="K1111" s="19">
        <v>34</v>
      </c>
      <c r="L1111" s="19">
        <v>46</v>
      </c>
      <c r="M1111" s="19">
        <f t="shared" si="248"/>
        <v>270</v>
      </c>
      <c r="N1111" s="27">
        <f t="shared" ref="N1111" si="281">N1110+4</f>
        <v>41849</v>
      </c>
    </row>
    <row r="1112" spans="1:14" x14ac:dyDescent="0.25">
      <c r="A1112" s="15">
        <f t="shared" si="245"/>
        <v>5</v>
      </c>
      <c r="B1112" s="20">
        <f t="shared" ref="B1112" si="282">B1111+1</f>
        <v>1111</v>
      </c>
      <c r="C1112" s="17">
        <f t="shared" si="254"/>
        <v>65</v>
      </c>
      <c r="D1112" s="17" t="str">
        <f t="shared" si="250"/>
        <v>20140801</v>
      </c>
      <c r="E1112" s="20" t="str">
        <f t="shared" si="246"/>
        <v>20140801065</v>
      </c>
      <c r="F1112" s="19">
        <v>45</v>
      </c>
      <c r="G1112" s="19">
        <v>8</v>
      </c>
      <c r="H1112" s="19">
        <v>21</v>
      </c>
      <c r="I1112" s="19">
        <v>32</v>
      </c>
      <c r="J1112" s="19">
        <v>5</v>
      </c>
      <c r="K1112" s="19">
        <v>23</v>
      </c>
      <c r="L1112" s="19">
        <v>18</v>
      </c>
      <c r="M1112" s="19">
        <f t="shared" si="248"/>
        <v>152</v>
      </c>
      <c r="N1112" s="27">
        <f t="shared" ref="N1112" si="283">N1111+3</f>
        <v>41852</v>
      </c>
    </row>
    <row r="1113" spans="1:14" x14ac:dyDescent="0.25">
      <c r="A1113" s="15">
        <f t="shared" si="245"/>
        <v>2</v>
      </c>
      <c r="B1113" s="20">
        <f t="shared" ref="B1113" si="284">B1112+1</f>
        <v>1112</v>
      </c>
      <c r="C1113" s="17">
        <f t="shared" si="254"/>
        <v>66</v>
      </c>
      <c r="D1113" s="17" t="str">
        <f t="shared" si="250"/>
        <v>20140805</v>
      </c>
      <c r="E1113" s="20" t="str">
        <f t="shared" si="246"/>
        <v>20140805066</v>
      </c>
      <c r="F1113" s="19">
        <v>40</v>
      </c>
      <c r="G1113" s="19">
        <v>11</v>
      </c>
      <c r="H1113" s="19">
        <v>26</v>
      </c>
      <c r="I1113" s="19">
        <v>33</v>
      </c>
      <c r="J1113" s="19">
        <v>4</v>
      </c>
      <c r="K1113" s="19">
        <v>42</v>
      </c>
      <c r="L1113" s="19">
        <v>34</v>
      </c>
      <c r="M1113" s="19">
        <f t="shared" si="248"/>
        <v>190</v>
      </c>
      <c r="N1113" s="27">
        <f t="shared" ref="N1113" si="285">N1112+4</f>
        <v>41856</v>
      </c>
    </row>
    <row r="1114" spans="1:14" x14ac:dyDescent="0.25">
      <c r="A1114" s="15">
        <f t="shared" si="245"/>
        <v>5</v>
      </c>
      <c r="B1114" s="20">
        <f t="shared" ref="B1114" si="286">B1113+1</f>
        <v>1113</v>
      </c>
      <c r="C1114" s="17">
        <f t="shared" si="254"/>
        <v>67</v>
      </c>
      <c r="D1114" s="17" t="str">
        <f t="shared" si="250"/>
        <v>20140808</v>
      </c>
      <c r="E1114" s="20" t="str">
        <f t="shared" si="246"/>
        <v>20140808067</v>
      </c>
      <c r="F1114" s="19">
        <v>32</v>
      </c>
      <c r="G1114" s="19">
        <v>42</v>
      </c>
      <c r="H1114" s="19">
        <v>26</v>
      </c>
      <c r="I1114" s="19">
        <v>45</v>
      </c>
      <c r="J1114" s="19">
        <v>38</v>
      </c>
      <c r="K1114" s="19">
        <v>31</v>
      </c>
      <c r="L1114" s="19">
        <v>37</v>
      </c>
      <c r="M1114" s="19">
        <f t="shared" si="248"/>
        <v>251</v>
      </c>
      <c r="N1114" s="27">
        <f t="shared" ref="N1114" si="287">N1113+3</f>
        <v>41859</v>
      </c>
    </row>
    <row r="1115" spans="1:14" x14ac:dyDescent="0.25">
      <c r="A1115" s="15">
        <f t="shared" si="245"/>
        <v>2</v>
      </c>
      <c r="B1115" s="20">
        <f t="shared" ref="B1115" si="288">B1114+1</f>
        <v>1114</v>
      </c>
      <c r="C1115" s="17">
        <f t="shared" si="254"/>
        <v>68</v>
      </c>
      <c r="D1115" s="17" t="str">
        <f t="shared" si="250"/>
        <v>20140812</v>
      </c>
      <c r="E1115" s="20" t="str">
        <f t="shared" si="246"/>
        <v>20140812068</v>
      </c>
      <c r="F1115" s="19">
        <v>12</v>
      </c>
      <c r="G1115" s="19">
        <v>10</v>
      </c>
      <c r="H1115" s="19">
        <v>6</v>
      </c>
      <c r="I1115" s="19">
        <v>4</v>
      </c>
      <c r="J1115" s="19">
        <v>34</v>
      </c>
      <c r="K1115" s="19">
        <v>45</v>
      </c>
      <c r="L1115" s="19">
        <v>44</v>
      </c>
      <c r="M1115" s="19">
        <f t="shared" si="248"/>
        <v>155</v>
      </c>
      <c r="N1115" s="27">
        <f t="shared" ref="N1115" si="289">N1114+4</f>
        <v>41863</v>
      </c>
    </row>
    <row r="1116" spans="1:14" x14ac:dyDescent="0.25">
      <c r="A1116" s="15">
        <f t="shared" si="245"/>
        <v>5</v>
      </c>
      <c r="B1116" s="20">
        <f t="shared" ref="B1116" si="290">B1115+1</f>
        <v>1115</v>
      </c>
      <c r="C1116" s="17">
        <f t="shared" si="254"/>
        <v>69</v>
      </c>
      <c r="D1116" s="17" t="str">
        <f t="shared" si="250"/>
        <v>20140815</v>
      </c>
      <c r="E1116" s="20" t="str">
        <f t="shared" si="246"/>
        <v>20140815069</v>
      </c>
      <c r="F1116" s="19">
        <v>47</v>
      </c>
      <c r="G1116" s="19">
        <v>46</v>
      </c>
      <c r="H1116" s="19">
        <v>29</v>
      </c>
      <c r="I1116" s="19">
        <v>23</v>
      </c>
      <c r="J1116" s="19">
        <v>18</v>
      </c>
      <c r="K1116" s="19">
        <v>48</v>
      </c>
      <c r="L1116" s="19">
        <v>5</v>
      </c>
      <c r="M1116" s="19">
        <f t="shared" si="248"/>
        <v>216</v>
      </c>
      <c r="N1116" s="27">
        <f t="shared" ref="N1116" si="291">N1115+3</f>
        <v>41866</v>
      </c>
    </row>
    <row r="1117" spans="1:14" x14ac:dyDescent="0.25">
      <c r="A1117" s="15">
        <f t="shared" si="245"/>
        <v>2</v>
      </c>
      <c r="B1117" s="20">
        <f t="shared" ref="B1117:C1158" si="292">B1116+1</f>
        <v>1116</v>
      </c>
      <c r="C1117" s="17">
        <f t="shared" si="254"/>
        <v>70</v>
      </c>
      <c r="D1117" s="17" t="str">
        <f t="shared" si="250"/>
        <v>20140819</v>
      </c>
      <c r="E1117" s="20" t="str">
        <f t="shared" si="246"/>
        <v>20140819070</v>
      </c>
      <c r="F1117" s="19">
        <v>12</v>
      </c>
      <c r="G1117" s="19">
        <v>19</v>
      </c>
      <c r="H1117" s="19">
        <v>6</v>
      </c>
      <c r="I1117" s="19">
        <v>7</v>
      </c>
      <c r="J1117" s="19">
        <v>14</v>
      </c>
      <c r="K1117" s="19">
        <v>9</v>
      </c>
      <c r="L1117" s="19">
        <v>17</v>
      </c>
      <c r="M1117" s="19">
        <f t="shared" si="248"/>
        <v>84</v>
      </c>
      <c r="N1117" s="27">
        <f t="shared" ref="N1117" si="293">N1116+4</f>
        <v>41870</v>
      </c>
    </row>
    <row r="1118" spans="1:14" x14ac:dyDescent="0.25">
      <c r="A1118" s="15">
        <f t="shared" si="245"/>
        <v>5</v>
      </c>
      <c r="B1118" s="20">
        <f t="shared" si="292"/>
        <v>1117</v>
      </c>
      <c r="C1118" s="17">
        <f t="shared" si="254"/>
        <v>71</v>
      </c>
      <c r="D1118" s="17" t="str">
        <f t="shared" si="250"/>
        <v>20140822</v>
      </c>
      <c r="E1118" s="20" t="str">
        <f t="shared" si="246"/>
        <v>20140822071</v>
      </c>
      <c r="F1118" s="19">
        <v>43</v>
      </c>
      <c r="G1118" s="19">
        <v>8</v>
      </c>
      <c r="H1118" s="19">
        <v>23</v>
      </c>
      <c r="I1118" s="19">
        <v>30</v>
      </c>
      <c r="J1118" s="19">
        <v>16</v>
      </c>
      <c r="K1118" s="19">
        <v>31</v>
      </c>
      <c r="L1118" s="19">
        <v>18</v>
      </c>
      <c r="M1118" s="19">
        <f t="shared" si="248"/>
        <v>169</v>
      </c>
      <c r="N1118" s="27">
        <f t="shared" ref="N1118" si="294">N1117+3</f>
        <v>41873</v>
      </c>
    </row>
    <row r="1119" spans="1:14" x14ac:dyDescent="0.25">
      <c r="A1119" s="15">
        <f t="shared" si="245"/>
        <v>2</v>
      </c>
      <c r="B1119" s="20">
        <f t="shared" si="292"/>
        <v>1118</v>
      </c>
      <c r="C1119" s="17">
        <f t="shared" si="254"/>
        <v>72</v>
      </c>
      <c r="D1119" s="17" t="str">
        <f t="shared" si="250"/>
        <v>20140826</v>
      </c>
      <c r="E1119" s="20" t="str">
        <f t="shared" si="246"/>
        <v>20140826072</v>
      </c>
      <c r="F1119" s="19">
        <v>23</v>
      </c>
      <c r="G1119" s="19">
        <v>32</v>
      </c>
      <c r="H1119" s="19">
        <v>43</v>
      </c>
      <c r="I1119" s="19">
        <v>19</v>
      </c>
      <c r="J1119" s="19">
        <v>1</v>
      </c>
      <c r="K1119" s="19">
        <v>17</v>
      </c>
      <c r="L1119" s="19">
        <v>9</v>
      </c>
      <c r="M1119" s="19">
        <f t="shared" si="248"/>
        <v>144</v>
      </c>
      <c r="N1119" s="27">
        <f t="shared" ref="N1119:N1169" si="295">N1118+4</f>
        <v>41877</v>
      </c>
    </row>
    <row r="1120" spans="1:14" x14ac:dyDescent="0.25">
      <c r="A1120" s="15">
        <f t="shared" si="245"/>
        <v>5</v>
      </c>
      <c r="B1120" s="20">
        <f t="shared" si="292"/>
        <v>1119</v>
      </c>
      <c r="C1120" s="17">
        <f t="shared" si="254"/>
        <v>73</v>
      </c>
      <c r="D1120" s="17" t="str">
        <f t="shared" si="250"/>
        <v>20140829</v>
      </c>
      <c r="E1120" s="20" t="str">
        <f t="shared" si="246"/>
        <v>20140829073</v>
      </c>
      <c r="F1120" s="19">
        <v>39</v>
      </c>
      <c r="G1120" s="19">
        <v>38</v>
      </c>
      <c r="H1120" s="19">
        <v>21</v>
      </c>
      <c r="I1120" s="19">
        <v>23</v>
      </c>
      <c r="J1120" s="19">
        <v>10</v>
      </c>
      <c r="K1120" s="19">
        <v>9</v>
      </c>
      <c r="L1120" s="19">
        <v>35</v>
      </c>
      <c r="M1120" s="19">
        <f t="shared" si="248"/>
        <v>175</v>
      </c>
      <c r="N1120" s="27">
        <f t="shared" ref="N1120:N1168" si="296">N1119+3</f>
        <v>41880</v>
      </c>
    </row>
    <row r="1121" spans="1:14" x14ac:dyDescent="0.25">
      <c r="A1121" s="15">
        <f t="shared" si="245"/>
        <v>2</v>
      </c>
      <c r="B1121" s="20">
        <f t="shared" si="292"/>
        <v>1120</v>
      </c>
      <c r="C1121" s="17">
        <f t="shared" si="254"/>
        <v>74</v>
      </c>
      <c r="D1121" s="17" t="str">
        <f t="shared" si="250"/>
        <v>20140902</v>
      </c>
      <c r="E1121" s="20" t="str">
        <f t="shared" si="246"/>
        <v>20140902074</v>
      </c>
      <c r="F1121" s="19">
        <v>39</v>
      </c>
      <c r="G1121" s="19">
        <v>36</v>
      </c>
      <c r="H1121" s="19">
        <v>43</v>
      </c>
      <c r="I1121" s="19">
        <v>7</v>
      </c>
      <c r="J1121" s="19">
        <v>8</v>
      </c>
      <c r="K1121" s="19">
        <v>42</v>
      </c>
      <c r="L1121" s="19">
        <v>22</v>
      </c>
      <c r="M1121" s="19">
        <f t="shared" si="248"/>
        <v>197</v>
      </c>
      <c r="N1121" s="27">
        <f t="shared" si="295"/>
        <v>41884</v>
      </c>
    </row>
    <row r="1122" spans="1:14" x14ac:dyDescent="0.25">
      <c r="A1122" s="15">
        <f t="shared" si="245"/>
        <v>5</v>
      </c>
      <c r="B1122" s="20">
        <f t="shared" si="292"/>
        <v>1121</v>
      </c>
      <c r="C1122" s="17">
        <f t="shared" si="254"/>
        <v>75</v>
      </c>
      <c r="D1122" s="17" t="str">
        <f t="shared" si="250"/>
        <v>20140905</v>
      </c>
      <c r="E1122" s="20" t="str">
        <f t="shared" si="246"/>
        <v>20140905075</v>
      </c>
      <c r="F1122" s="19">
        <v>16</v>
      </c>
      <c r="G1122" s="19">
        <v>25</v>
      </c>
      <c r="H1122" s="19">
        <v>32</v>
      </c>
      <c r="I1122" s="19">
        <v>10</v>
      </c>
      <c r="J1122" s="19">
        <v>36</v>
      </c>
      <c r="K1122" s="19">
        <v>27</v>
      </c>
      <c r="L1122" s="19">
        <v>45</v>
      </c>
      <c r="M1122" s="19">
        <f t="shared" si="248"/>
        <v>191</v>
      </c>
      <c r="N1122" s="27">
        <f t="shared" si="296"/>
        <v>41887</v>
      </c>
    </row>
    <row r="1123" spans="1:14" x14ac:dyDescent="0.25">
      <c r="A1123" s="15">
        <f t="shared" si="245"/>
        <v>2</v>
      </c>
      <c r="B1123" s="20">
        <f t="shared" si="292"/>
        <v>1122</v>
      </c>
      <c r="C1123" s="17">
        <f t="shared" si="254"/>
        <v>76</v>
      </c>
      <c r="D1123" s="17" t="str">
        <f t="shared" si="250"/>
        <v>20140909</v>
      </c>
      <c r="E1123" s="20" t="str">
        <f t="shared" si="246"/>
        <v>20140909076</v>
      </c>
      <c r="F1123" s="19">
        <v>42</v>
      </c>
      <c r="G1123" s="19">
        <v>49</v>
      </c>
      <c r="H1123" s="19">
        <v>21</v>
      </c>
      <c r="I1123" s="19">
        <v>41</v>
      </c>
      <c r="J1123" s="19">
        <v>29</v>
      </c>
      <c r="K1123" s="19">
        <v>23</v>
      </c>
      <c r="L1123" s="19">
        <v>14</v>
      </c>
      <c r="M1123" s="19">
        <f t="shared" si="248"/>
        <v>219</v>
      </c>
      <c r="N1123" s="27">
        <f t="shared" si="295"/>
        <v>41891</v>
      </c>
    </row>
    <row r="1124" spans="1:14" x14ac:dyDescent="0.25">
      <c r="A1124" s="15">
        <f t="shared" si="245"/>
        <v>5</v>
      </c>
      <c r="B1124" s="20">
        <f t="shared" si="292"/>
        <v>1123</v>
      </c>
      <c r="C1124" s="17">
        <f t="shared" si="254"/>
        <v>77</v>
      </c>
      <c r="D1124" s="17" t="str">
        <f t="shared" si="250"/>
        <v>20140912</v>
      </c>
      <c r="E1124" s="20" t="str">
        <f t="shared" si="246"/>
        <v>20140912077</v>
      </c>
      <c r="F1124" s="19">
        <v>27</v>
      </c>
      <c r="G1124" s="19">
        <v>49</v>
      </c>
      <c r="H1124" s="19">
        <v>2</v>
      </c>
      <c r="I1124" s="19">
        <v>36</v>
      </c>
      <c r="J1124" s="19">
        <v>31</v>
      </c>
      <c r="K1124" s="19">
        <v>23</v>
      </c>
      <c r="L1124" s="19">
        <v>15</v>
      </c>
      <c r="M1124" s="19">
        <f t="shared" si="248"/>
        <v>183</v>
      </c>
      <c r="N1124" s="27">
        <f t="shared" si="296"/>
        <v>41894</v>
      </c>
    </row>
    <row r="1125" spans="1:14" x14ac:dyDescent="0.25">
      <c r="A1125" s="15">
        <f t="shared" si="245"/>
        <v>2</v>
      </c>
      <c r="B1125" s="20">
        <f t="shared" si="292"/>
        <v>1124</v>
      </c>
      <c r="C1125" s="17">
        <f t="shared" si="254"/>
        <v>78</v>
      </c>
      <c r="D1125" s="17" t="str">
        <f t="shared" si="250"/>
        <v>20140916</v>
      </c>
      <c r="E1125" s="20" t="str">
        <f t="shared" si="246"/>
        <v>20140916078</v>
      </c>
      <c r="F1125" s="19">
        <v>41</v>
      </c>
      <c r="G1125" s="19">
        <v>19</v>
      </c>
      <c r="H1125" s="19">
        <v>7</v>
      </c>
      <c r="I1125" s="19">
        <v>18</v>
      </c>
      <c r="J1125" s="19">
        <v>16</v>
      </c>
      <c r="K1125" s="19">
        <v>12</v>
      </c>
      <c r="L1125" s="19">
        <v>45</v>
      </c>
      <c r="M1125" s="19">
        <f t="shared" si="248"/>
        <v>158</v>
      </c>
      <c r="N1125" s="27">
        <f t="shared" si="295"/>
        <v>41898</v>
      </c>
    </row>
    <row r="1126" spans="1:14" x14ac:dyDescent="0.25">
      <c r="A1126" s="15">
        <f t="shared" si="245"/>
        <v>5</v>
      </c>
      <c r="B1126" s="20">
        <f t="shared" si="292"/>
        <v>1125</v>
      </c>
      <c r="C1126" s="17">
        <f t="shared" si="254"/>
        <v>79</v>
      </c>
      <c r="D1126" s="17" t="str">
        <f t="shared" si="250"/>
        <v>20140919</v>
      </c>
      <c r="E1126" s="20" t="str">
        <f t="shared" si="246"/>
        <v>20140919079</v>
      </c>
      <c r="F1126" s="19">
        <v>6</v>
      </c>
      <c r="G1126" s="19">
        <v>17</v>
      </c>
      <c r="H1126" s="19">
        <v>29</v>
      </c>
      <c r="I1126" s="19">
        <v>2</v>
      </c>
      <c r="J1126" s="19">
        <v>32</v>
      </c>
      <c r="K1126" s="19">
        <v>39</v>
      </c>
      <c r="L1126" s="19">
        <v>4</v>
      </c>
      <c r="M1126" s="19">
        <f t="shared" si="248"/>
        <v>129</v>
      </c>
      <c r="N1126" s="27">
        <f t="shared" si="296"/>
        <v>41901</v>
      </c>
    </row>
    <row r="1127" spans="1:14" x14ac:dyDescent="0.25">
      <c r="A1127" s="15">
        <f t="shared" si="245"/>
        <v>2</v>
      </c>
      <c r="B1127" s="20">
        <f t="shared" si="292"/>
        <v>1126</v>
      </c>
      <c r="C1127" s="17">
        <f t="shared" si="254"/>
        <v>80</v>
      </c>
      <c r="D1127" s="17" t="str">
        <f t="shared" si="250"/>
        <v>20140923</v>
      </c>
      <c r="E1127" s="20" t="str">
        <f t="shared" si="246"/>
        <v>20140923080</v>
      </c>
      <c r="F1127" s="19">
        <v>38</v>
      </c>
      <c r="G1127" s="19">
        <v>28</v>
      </c>
      <c r="H1127" s="19">
        <v>20</v>
      </c>
      <c r="I1127" s="19">
        <v>32</v>
      </c>
      <c r="J1127" s="19">
        <v>2</v>
      </c>
      <c r="K1127" s="19">
        <v>11</v>
      </c>
      <c r="L1127" s="19">
        <v>16</v>
      </c>
      <c r="M1127" s="19">
        <f t="shared" si="248"/>
        <v>147</v>
      </c>
      <c r="N1127" s="27">
        <f t="shared" si="295"/>
        <v>41905</v>
      </c>
    </row>
    <row r="1128" spans="1:14" x14ac:dyDescent="0.25">
      <c r="A1128" s="15">
        <f t="shared" si="245"/>
        <v>5</v>
      </c>
      <c r="B1128" s="20">
        <f t="shared" si="292"/>
        <v>1127</v>
      </c>
      <c r="C1128" s="17">
        <f t="shared" si="254"/>
        <v>81</v>
      </c>
      <c r="D1128" s="17" t="str">
        <f t="shared" si="250"/>
        <v>20140926</v>
      </c>
      <c r="E1128" s="20" t="str">
        <f t="shared" si="246"/>
        <v>20140926081</v>
      </c>
      <c r="F1128" s="19">
        <v>15</v>
      </c>
      <c r="G1128" s="19">
        <v>19</v>
      </c>
      <c r="H1128" s="19">
        <v>29</v>
      </c>
      <c r="I1128" s="19">
        <v>22</v>
      </c>
      <c r="J1128" s="19">
        <v>37</v>
      </c>
      <c r="K1128" s="19">
        <v>8</v>
      </c>
      <c r="L1128" s="19">
        <v>39</v>
      </c>
      <c r="M1128" s="19">
        <f t="shared" si="248"/>
        <v>169</v>
      </c>
      <c r="N1128" s="27">
        <f t="shared" si="296"/>
        <v>41908</v>
      </c>
    </row>
    <row r="1129" spans="1:14" x14ac:dyDescent="0.25">
      <c r="A1129" s="15">
        <f t="shared" si="245"/>
        <v>2</v>
      </c>
      <c r="B1129" s="20">
        <f t="shared" si="292"/>
        <v>1128</v>
      </c>
      <c r="C1129" s="17">
        <f t="shared" si="254"/>
        <v>82</v>
      </c>
      <c r="D1129" s="17" t="str">
        <f t="shared" si="250"/>
        <v>20140930</v>
      </c>
      <c r="E1129" s="20" t="str">
        <f t="shared" si="246"/>
        <v>20140930082</v>
      </c>
      <c r="F1129" s="19">
        <v>49</v>
      </c>
      <c r="G1129" s="19">
        <v>41</v>
      </c>
      <c r="H1129" s="19">
        <v>18</v>
      </c>
      <c r="I1129" s="19">
        <v>47</v>
      </c>
      <c r="J1129" s="19">
        <v>36</v>
      </c>
      <c r="K1129" s="19">
        <v>35</v>
      </c>
      <c r="L1129" s="19">
        <v>15</v>
      </c>
      <c r="M1129" s="19">
        <f t="shared" si="248"/>
        <v>241</v>
      </c>
      <c r="N1129" s="27">
        <f t="shared" si="295"/>
        <v>41912</v>
      </c>
    </row>
    <row r="1130" spans="1:14" x14ac:dyDescent="0.25">
      <c r="A1130" s="15">
        <f t="shared" si="245"/>
        <v>5</v>
      </c>
      <c r="B1130" s="20">
        <f t="shared" si="292"/>
        <v>1129</v>
      </c>
      <c r="C1130" s="17">
        <f t="shared" si="254"/>
        <v>83</v>
      </c>
      <c r="D1130" s="17" t="str">
        <f t="shared" si="250"/>
        <v>20141003</v>
      </c>
      <c r="E1130" s="20" t="str">
        <f t="shared" si="246"/>
        <v>20141003083</v>
      </c>
      <c r="F1130" s="19">
        <v>10</v>
      </c>
      <c r="G1130" s="19">
        <v>14</v>
      </c>
      <c r="H1130" s="19">
        <v>19</v>
      </c>
      <c r="I1130" s="19">
        <v>37</v>
      </c>
      <c r="J1130" s="19">
        <v>24</v>
      </c>
      <c r="K1130" s="19">
        <v>35</v>
      </c>
      <c r="L1130" s="19">
        <v>39</v>
      </c>
      <c r="M1130" s="19">
        <f t="shared" si="248"/>
        <v>178</v>
      </c>
      <c r="N1130" s="27">
        <f t="shared" si="296"/>
        <v>41915</v>
      </c>
    </row>
    <row r="1131" spans="1:14" x14ac:dyDescent="0.25">
      <c r="A1131" s="15">
        <f t="shared" si="245"/>
        <v>2</v>
      </c>
      <c r="B1131" s="20">
        <f t="shared" si="292"/>
        <v>1130</v>
      </c>
      <c r="C1131" s="17">
        <f t="shared" si="254"/>
        <v>84</v>
      </c>
      <c r="D1131" s="17" t="str">
        <f t="shared" si="250"/>
        <v>20141007</v>
      </c>
      <c r="E1131" s="20" t="str">
        <f t="shared" si="246"/>
        <v>20141007084</v>
      </c>
      <c r="F1131" s="19">
        <v>45</v>
      </c>
      <c r="G1131" s="19">
        <v>40</v>
      </c>
      <c r="H1131" s="19">
        <v>17</v>
      </c>
      <c r="I1131" s="19">
        <v>47</v>
      </c>
      <c r="J1131" s="19">
        <v>18</v>
      </c>
      <c r="K1131" s="19">
        <v>41</v>
      </c>
      <c r="L1131" s="19">
        <v>29</v>
      </c>
      <c r="M1131" s="19">
        <f t="shared" si="248"/>
        <v>237</v>
      </c>
      <c r="N1131" s="27">
        <f t="shared" si="295"/>
        <v>41919</v>
      </c>
    </row>
    <row r="1132" spans="1:14" x14ac:dyDescent="0.25">
      <c r="A1132" s="15">
        <f t="shared" si="245"/>
        <v>5</v>
      </c>
      <c r="B1132" s="20">
        <f t="shared" si="292"/>
        <v>1131</v>
      </c>
      <c r="C1132" s="17">
        <f t="shared" si="254"/>
        <v>85</v>
      </c>
      <c r="D1132" s="17" t="str">
        <f t="shared" si="250"/>
        <v>20141010</v>
      </c>
      <c r="E1132" s="20" t="str">
        <f t="shared" si="246"/>
        <v>20141010085</v>
      </c>
      <c r="F1132" s="19">
        <v>11</v>
      </c>
      <c r="G1132" s="19">
        <v>26</v>
      </c>
      <c r="H1132" s="19">
        <v>1</v>
      </c>
      <c r="I1132" s="19">
        <v>24</v>
      </c>
      <c r="J1132" s="19">
        <v>28</v>
      </c>
      <c r="K1132" s="19">
        <v>19</v>
      </c>
      <c r="L1132" s="19">
        <v>33</v>
      </c>
      <c r="M1132" s="19">
        <f t="shared" si="248"/>
        <v>142</v>
      </c>
      <c r="N1132" s="27">
        <f t="shared" si="296"/>
        <v>41922</v>
      </c>
    </row>
    <row r="1133" spans="1:14" x14ac:dyDescent="0.25">
      <c r="A1133" s="15">
        <f t="shared" si="245"/>
        <v>2</v>
      </c>
      <c r="B1133" s="20">
        <f t="shared" si="292"/>
        <v>1132</v>
      </c>
      <c r="C1133" s="17">
        <f t="shared" si="254"/>
        <v>86</v>
      </c>
      <c r="D1133" s="17" t="str">
        <f t="shared" si="250"/>
        <v>20141014</v>
      </c>
      <c r="E1133" s="20" t="str">
        <f t="shared" si="246"/>
        <v>20141014086</v>
      </c>
      <c r="F1133" s="19">
        <v>47</v>
      </c>
      <c r="G1133" s="19">
        <v>36</v>
      </c>
      <c r="H1133" s="19">
        <v>20</v>
      </c>
      <c r="I1133" s="19">
        <v>9</v>
      </c>
      <c r="J1133" s="19">
        <v>14</v>
      </c>
      <c r="K1133" s="19">
        <v>10</v>
      </c>
      <c r="L1133" s="19">
        <v>8</v>
      </c>
      <c r="M1133" s="19">
        <f t="shared" si="248"/>
        <v>144</v>
      </c>
      <c r="N1133" s="27">
        <f t="shared" si="295"/>
        <v>41926</v>
      </c>
    </row>
    <row r="1134" spans="1:14" x14ac:dyDescent="0.25">
      <c r="A1134" s="15">
        <f t="shared" si="245"/>
        <v>5</v>
      </c>
      <c r="B1134" s="20">
        <f t="shared" si="292"/>
        <v>1133</v>
      </c>
      <c r="C1134" s="17">
        <f t="shared" si="254"/>
        <v>87</v>
      </c>
      <c r="D1134" s="17" t="str">
        <f t="shared" si="250"/>
        <v>20141017</v>
      </c>
      <c r="E1134" s="20" t="str">
        <f t="shared" si="246"/>
        <v>20141017087</v>
      </c>
      <c r="F1134" s="19">
        <v>32</v>
      </c>
      <c r="G1134" s="19">
        <v>36</v>
      </c>
      <c r="H1134" s="19">
        <v>33</v>
      </c>
      <c r="I1134" s="19">
        <v>2</v>
      </c>
      <c r="J1134" s="19">
        <v>20</v>
      </c>
      <c r="K1134" s="19">
        <v>11</v>
      </c>
      <c r="L1134" s="19">
        <v>39</v>
      </c>
      <c r="M1134" s="19">
        <f t="shared" si="248"/>
        <v>173</v>
      </c>
      <c r="N1134" s="27">
        <f t="shared" si="296"/>
        <v>41929</v>
      </c>
    </row>
    <row r="1135" spans="1:14" x14ac:dyDescent="0.25">
      <c r="A1135" s="15">
        <f t="shared" si="245"/>
        <v>2</v>
      </c>
      <c r="B1135" s="20">
        <f t="shared" si="292"/>
        <v>1134</v>
      </c>
      <c r="C1135" s="17">
        <f t="shared" si="254"/>
        <v>88</v>
      </c>
      <c r="D1135" s="17" t="str">
        <f t="shared" si="250"/>
        <v>20141021</v>
      </c>
      <c r="E1135" s="20" t="str">
        <f t="shared" si="246"/>
        <v>20141021088</v>
      </c>
      <c r="F1135" s="19">
        <v>31</v>
      </c>
      <c r="G1135" s="19">
        <v>44</v>
      </c>
      <c r="H1135" s="19">
        <v>42</v>
      </c>
      <c r="I1135" s="19">
        <v>28</v>
      </c>
      <c r="J1135" s="19">
        <v>14</v>
      </c>
      <c r="K1135" s="19">
        <v>38</v>
      </c>
      <c r="L1135" s="19">
        <v>45</v>
      </c>
      <c r="M1135" s="19">
        <f t="shared" si="248"/>
        <v>242</v>
      </c>
      <c r="N1135" s="27">
        <f t="shared" si="295"/>
        <v>41933</v>
      </c>
    </row>
    <row r="1136" spans="1:14" x14ac:dyDescent="0.25">
      <c r="A1136" s="15">
        <f t="shared" si="245"/>
        <v>5</v>
      </c>
      <c r="B1136" s="20">
        <f t="shared" si="292"/>
        <v>1135</v>
      </c>
      <c r="C1136" s="17">
        <f t="shared" si="254"/>
        <v>89</v>
      </c>
      <c r="D1136" s="17" t="str">
        <f t="shared" si="250"/>
        <v>20141024</v>
      </c>
      <c r="E1136" s="20" t="str">
        <f t="shared" si="246"/>
        <v>20141024089</v>
      </c>
      <c r="F1136" s="19">
        <v>36</v>
      </c>
      <c r="G1136" s="19">
        <v>1</v>
      </c>
      <c r="H1136" s="19">
        <v>20</v>
      </c>
      <c r="I1136" s="19">
        <v>45</v>
      </c>
      <c r="J1136" s="19">
        <v>17</v>
      </c>
      <c r="K1136" s="19">
        <v>37</v>
      </c>
      <c r="L1136" s="19">
        <v>15</v>
      </c>
      <c r="M1136" s="19">
        <f t="shared" si="248"/>
        <v>171</v>
      </c>
      <c r="N1136" s="27">
        <f t="shared" si="296"/>
        <v>41936</v>
      </c>
    </row>
    <row r="1137" spans="1:14" x14ac:dyDescent="0.25">
      <c r="A1137" s="15">
        <f t="shared" si="245"/>
        <v>2</v>
      </c>
      <c r="B1137" s="20">
        <f t="shared" si="292"/>
        <v>1136</v>
      </c>
      <c r="C1137" s="17">
        <f t="shared" si="254"/>
        <v>90</v>
      </c>
      <c r="D1137" s="17" t="str">
        <f t="shared" si="250"/>
        <v>20141028</v>
      </c>
      <c r="E1137" s="20" t="str">
        <f t="shared" si="246"/>
        <v>20141028090</v>
      </c>
      <c r="F1137" s="19">
        <v>16</v>
      </c>
      <c r="G1137" s="19">
        <v>32</v>
      </c>
      <c r="H1137" s="19">
        <v>25</v>
      </c>
      <c r="I1137" s="19">
        <v>5</v>
      </c>
      <c r="J1137" s="19">
        <v>37</v>
      </c>
      <c r="K1137" s="19">
        <v>44</v>
      </c>
      <c r="L1137" s="19">
        <v>21</v>
      </c>
      <c r="M1137" s="19">
        <f t="shared" si="248"/>
        <v>180</v>
      </c>
      <c r="N1137" s="27">
        <f t="shared" si="295"/>
        <v>41940</v>
      </c>
    </row>
    <row r="1138" spans="1:14" x14ac:dyDescent="0.25">
      <c r="A1138" s="15">
        <f t="shared" si="245"/>
        <v>5</v>
      </c>
      <c r="B1138" s="20">
        <f t="shared" si="292"/>
        <v>1137</v>
      </c>
      <c r="C1138" s="17">
        <f t="shared" si="254"/>
        <v>91</v>
      </c>
      <c r="D1138" s="17" t="str">
        <f t="shared" si="250"/>
        <v>20141031</v>
      </c>
      <c r="E1138" s="20" t="str">
        <f t="shared" si="246"/>
        <v>20141031091</v>
      </c>
      <c r="F1138" s="19">
        <v>14</v>
      </c>
      <c r="G1138" s="19">
        <v>8</v>
      </c>
      <c r="H1138" s="19">
        <v>27</v>
      </c>
      <c r="I1138" s="19">
        <v>49</v>
      </c>
      <c r="J1138" s="19">
        <v>10</v>
      </c>
      <c r="K1138" s="19">
        <v>2</v>
      </c>
      <c r="L1138" s="19">
        <v>20</v>
      </c>
      <c r="M1138" s="19">
        <f t="shared" si="248"/>
        <v>130</v>
      </c>
      <c r="N1138" s="27">
        <f t="shared" si="296"/>
        <v>41943</v>
      </c>
    </row>
    <row r="1139" spans="1:14" x14ac:dyDescent="0.25">
      <c r="A1139" s="15">
        <f t="shared" si="245"/>
        <v>2</v>
      </c>
      <c r="B1139" s="20">
        <f t="shared" si="292"/>
        <v>1138</v>
      </c>
      <c r="C1139" s="17">
        <f t="shared" si="254"/>
        <v>92</v>
      </c>
      <c r="D1139" s="17" t="str">
        <f t="shared" si="250"/>
        <v>20141104</v>
      </c>
      <c r="E1139" s="20" t="str">
        <f t="shared" si="246"/>
        <v>20141104092</v>
      </c>
      <c r="F1139" s="19">
        <v>20</v>
      </c>
      <c r="G1139" s="19">
        <v>38</v>
      </c>
      <c r="H1139" s="19">
        <v>3</v>
      </c>
      <c r="I1139" s="19">
        <v>35</v>
      </c>
      <c r="J1139" s="19">
        <v>30</v>
      </c>
      <c r="K1139" s="19">
        <v>41</v>
      </c>
      <c r="L1139" s="19">
        <v>47</v>
      </c>
      <c r="M1139" s="19">
        <f t="shared" si="248"/>
        <v>214</v>
      </c>
      <c r="N1139" s="27">
        <f t="shared" si="295"/>
        <v>41947</v>
      </c>
    </row>
    <row r="1140" spans="1:14" x14ac:dyDescent="0.25">
      <c r="A1140" s="15">
        <f t="shared" si="245"/>
        <v>5</v>
      </c>
      <c r="B1140" s="20">
        <f t="shared" si="292"/>
        <v>1139</v>
      </c>
      <c r="C1140" s="17">
        <f t="shared" si="254"/>
        <v>93</v>
      </c>
      <c r="D1140" s="17" t="str">
        <f t="shared" si="250"/>
        <v>20141107</v>
      </c>
      <c r="E1140" s="20" t="str">
        <f t="shared" si="246"/>
        <v>20141107093</v>
      </c>
      <c r="F1140" s="19">
        <v>49</v>
      </c>
      <c r="G1140" s="19">
        <v>25</v>
      </c>
      <c r="H1140" s="19">
        <v>40</v>
      </c>
      <c r="I1140" s="19">
        <v>27</v>
      </c>
      <c r="J1140" s="19">
        <v>19</v>
      </c>
      <c r="K1140" s="19">
        <v>11</v>
      </c>
      <c r="L1140" s="19">
        <v>33</v>
      </c>
      <c r="M1140" s="19">
        <f t="shared" si="248"/>
        <v>204</v>
      </c>
      <c r="N1140" s="27">
        <f t="shared" si="296"/>
        <v>41950</v>
      </c>
    </row>
    <row r="1141" spans="1:14" x14ac:dyDescent="0.25">
      <c r="A1141" s="15">
        <f t="shared" si="245"/>
        <v>2</v>
      </c>
      <c r="B1141" s="20">
        <f t="shared" si="292"/>
        <v>1140</v>
      </c>
      <c r="C1141" s="17">
        <f t="shared" si="254"/>
        <v>94</v>
      </c>
      <c r="D1141" s="17" t="str">
        <f t="shared" si="250"/>
        <v>20141111</v>
      </c>
      <c r="E1141" s="20" t="str">
        <f t="shared" si="246"/>
        <v>20141111094</v>
      </c>
      <c r="F1141" s="19">
        <v>18</v>
      </c>
      <c r="G1141" s="19">
        <v>23</v>
      </c>
      <c r="H1141" s="19">
        <v>11</v>
      </c>
      <c r="I1141" s="19">
        <v>36</v>
      </c>
      <c r="J1141" s="19">
        <v>5</v>
      </c>
      <c r="K1141" s="19">
        <v>43</v>
      </c>
      <c r="L1141" s="19">
        <v>14</v>
      </c>
      <c r="M1141" s="19">
        <f t="shared" si="248"/>
        <v>150</v>
      </c>
      <c r="N1141" s="27">
        <f t="shared" si="295"/>
        <v>41954</v>
      </c>
    </row>
    <row r="1142" spans="1:14" x14ac:dyDescent="0.25">
      <c r="A1142" s="15">
        <f t="shared" si="245"/>
        <v>5</v>
      </c>
      <c r="B1142" s="20">
        <f t="shared" si="292"/>
        <v>1141</v>
      </c>
      <c r="C1142" s="17">
        <f t="shared" si="254"/>
        <v>95</v>
      </c>
      <c r="D1142" s="17" t="str">
        <f t="shared" si="250"/>
        <v>20141114</v>
      </c>
      <c r="E1142" s="20" t="str">
        <f t="shared" si="246"/>
        <v>20141114095</v>
      </c>
      <c r="F1142" s="19">
        <v>44</v>
      </c>
      <c r="G1142" s="19">
        <v>15</v>
      </c>
      <c r="H1142" s="19">
        <v>41</v>
      </c>
      <c r="I1142" s="19">
        <v>29</v>
      </c>
      <c r="J1142" s="19">
        <v>16</v>
      </c>
      <c r="K1142" s="19">
        <v>34</v>
      </c>
      <c r="L1142" s="19">
        <v>49</v>
      </c>
      <c r="M1142" s="19">
        <f t="shared" si="248"/>
        <v>228</v>
      </c>
      <c r="N1142" s="27">
        <f t="shared" si="296"/>
        <v>41957</v>
      </c>
    </row>
    <row r="1143" spans="1:14" x14ac:dyDescent="0.25">
      <c r="A1143" s="15">
        <f t="shared" ref="A1143:A1144" si="297">WEEKDAY(N1143,2)</f>
        <v>2</v>
      </c>
      <c r="B1143" s="20">
        <f t="shared" si="292"/>
        <v>1142</v>
      </c>
      <c r="C1143" s="17">
        <f t="shared" si="254"/>
        <v>96</v>
      </c>
      <c r="D1143" s="17" t="str">
        <f t="shared" si="250"/>
        <v>20141118</v>
      </c>
      <c r="E1143" s="20" t="str">
        <f t="shared" si="246"/>
        <v>20141118096</v>
      </c>
      <c r="F1143" s="19">
        <v>12</v>
      </c>
      <c r="G1143" s="19">
        <v>20</v>
      </c>
      <c r="H1143" s="19">
        <v>43</v>
      </c>
      <c r="I1143" s="19">
        <v>11</v>
      </c>
      <c r="J1143" s="19">
        <v>28</v>
      </c>
      <c r="K1143" s="19">
        <v>26</v>
      </c>
      <c r="L1143" s="19">
        <v>6</v>
      </c>
      <c r="M1143" s="19">
        <f t="shared" si="248"/>
        <v>146</v>
      </c>
      <c r="N1143" s="27">
        <f t="shared" si="295"/>
        <v>41961</v>
      </c>
    </row>
    <row r="1144" spans="1:14" x14ac:dyDescent="0.25">
      <c r="A1144" s="15">
        <f t="shared" si="297"/>
        <v>5</v>
      </c>
      <c r="B1144" s="20">
        <f t="shared" si="292"/>
        <v>1143</v>
      </c>
      <c r="C1144" s="17">
        <f t="shared" si="254"/>
        <v>97</v>
      </c>
      <c r="D1144" s="17" t="str">
        <f t="shared" si="250"/>
        <v>20141121</v>
      </c>
      <c r="E1144" s="20" t="str">
        <f t="shared" si="246"/>
        <v>20141121097</v>
      </c>
      <c r="F1144" s="19">
        <v>3</v>
      </c>
      <c r="G1144" s="19">
        <v>32</v>
      </c>
      <c r="H1144" s="19">
        <v>2</v>
      </c>
      <c r="I1144" s="19">
        <v>34</v>
      </c>
      <c r="J1144" s="19">
        <v>26</v>
      </c>
      <c r="K1144" s="19">
        <v>22</v>
      </c>
      <c r="L1144" s="19">
        <v>40</v>
      </c>
      <c r="M1144" s="19">
        <f t="shared" si="248"/>
        <v>159</v>
      </c>
      <c r="N1144" s="27">
        <f t="shared" si="296"/>
        <v>41964</v>
      </c>
    </row>
    <row r="1145" spans="1:14" x14ac:dyDescent="0.25">
      <c r="A1145" s="15">
        <f t="shared" ref="A1145:A1146" si="298">WEEKDAY(N1145,2)</f>
        <v>2</v>
      </c>
      <c r="B1145" s="20">
        <f t="shared" si="292"/>
        <v>1144</v>
      </c>
      <c r="C1145" s="17">
        <f t="shared" si="254"/>
        <v>98</v>
      </c>
      <c r="D1145" s="17" t="str">
        <f t="shared" si="250"/>
        <v>20141125</v>
      </c>
      <c r="E1145" s="20" t="str">
        <f t="shared" si="246"/>
        <v>20141125098</v>
      </c>
      <c r="F1145" s="19">
        <v>15</v>
      </c>
      <c r="G1145" s="19">
        <v>32</v>
      </c>
      <c r="H1145" s="19">
        <v>16</v>
      </c>
      <c r="I1145" s="19">
        <v>1</v>
      </c>
      <c r="J1145" s="19">
        <v>44</v>
      </c>
      <c r="K1145" s="19">
        <v>48</v>
      </c>
      <c r="L1145" s="19">
        <v>40</v>
      </c>
      <c r="M1145" s="19">
        <f t="shared" si="248"/>
        <v>196</v>
      </c>
      <c r="N1145" s="27">
        <f t="shared" si="295"/>
        <v>41968</v>
      </c>
    </row>
    <row r="1146" spans="1:14" x14ac:dyDescent="0.25">
      <c r="A1146" s="15">
        <f t="shared" si="298"/>
        <v>5</v>
      </c>
      <c r="B1146" s="20">
        <f t="shared" si="292"/>
        <v>1145</v>
      </c>
      <c r="C1146" s="17">
        <f t="shared" si="254"/>
        <v>99</v>
      </c>
      <c r="D1146" s="17" t="str">
        <f t="shared" si="250"/>
        <v>20141128</v>
      </c>
      <c r="E1146" s="20" t="str">
        <f t="shared" si="246"/>
        <v>20141128099</v>
      </c>
      <c r="F1146" s="19">
        <v>35</v>
      </c>
      <c r="G1146" s="19">
        <v>44</v>
      </c>
      <c r="H1146" s="19">
        <v>1</v>
      </c>
      <c r="I1146" s="19">
        <v>40</v>
      </c>
      <c r="J1146" s="19">
        <v>10</v>
      </c>
      <c r="K1146" s="19">
        <v>21</v>
      </c>
      <c r="L1146" s="19">
        <v>36</v>
      </c>
      <c r="M1146" s="19">
        <f t="shared" si="248"/>
        <v>187</v>
      </c>
      <c r="N1146" s="27">
        <f t="shared" si="296"/>
        <v>41971</v>
      </c>
    </row>
    <row r="1147" spans="1:14" x14ac:dyDescent="0.25">
      <c r="A1147" s="15">
        <f t="shared" ref="A1147:A1154" si="299">WEEKDAY(N1147,2)</f>
        <v>2</v>
      </c>
      <c r="B1147" s="20">
        <f t="shared" si="292"/>
        <v>1146</v>
      </c>
      <c r="C1147" s="17">
        <f t="shared" si="254"/>
        <v>100</v>
      </c>
      <c r="D1147" s="17" t="str">
        <f t="shared" si="250"/>
        <v>20141202</v>
      </c>
      <c r="E1147" s="20" t="str">
        <f t="shared" si="246"/>
        <v>20141202100</v>
      </c>
      <c r="F1147" s="19">
        <v>11</v>
      </c>
      <c r="G1147" s="19">
        <v>26</v>
      </c>
      <c r="H1147" s="19">
        <v>42</v>
      </c>
      <c r="I1147" s="19">
        <v>13</v>
      </c>
      <c r="J1147" s="19">
        <v>9</v>
      </c>
      <c r="K1147" s="19">
        <v>23</v>
      </c>
      <c r="L1147" s="19">
        <v>47</v>
      </c>
      <c r="M1147" s="19">
        <f t="shared" si="248"/>
        <v>171</v>
      </c>
      <c r="N1147" s="27">
        <f t="shared" si="295"/>
        <v>41975</v>
      </c>
    </row>
    <row r="1148" spans="1:14" x14ac:dyDescent="0.25">
      <c r="A1148" s="15">
        <f t="shared" si="299"/>
        <v>5</v>
      </c>
      <c r="B1148" s="20">
        <f t="shared" si="292"/>
        <v>1147</v>
      </c>
      <c r="C1148" s="17">
        <f t="shared" si="254"/>
        <v>101</v>
      </c>
      <c r="D1148" s="17" t="str">
        <f t="shared" si="250"/>
        <v>20141205</v>
      </c>
      <c r="E1148" s="20" t="str">
        <f t="shared" si="246"/>
        <v>20141205101</v>
      </c>
      <c r="F1148" s="19">
        <v>47</v>
      </c>
      <c r="G1148" s="19">
        <v>30</v>
      </c>
      <c r="H1148" s="19">
        <v>11</v>
      </c>
      <c r="I1148" s="19">
        <v>34</v>
      </c>
      <c r="J1148" s="19">
        <v>37</v>
      </c>
      <c r="K1148" s="19">
        <v>18</v>
      </c>
      <c r="L1148" s="19">
        <v>17</v>
      </c>
      <c r="M1148" s="19">
        <f t="shared" si="248"/>
        <v>194</v>
      </c>
      <c r="N1148" s="27">
        <f t="shared" si="296"/>
        <v>41978</v>
      </c>
    </row>
    <row r="1149" spans="1:14" x14ac:dyDescent="0.25">
      <c r="A1149" s="15">
        <f t="shared" si="299"/>
        <v>2</v>
      </c>
      <c r="B1149" s="20">
        <f t="shared" si="292"/>
        <v>1148</v>
      </c>
      <c r="C1149" s="17">
        <f t="shared" si="254"/>
        <v>102</v>
      </c>
      <c r="D1149" s="17" t="str">
        <f t="shared" si="250"/>
        <v>20141209</v>
      </c>
      <c r="E1149" s="20" t="str">
        <f t="shared" si="246"/>
        <v>20141209102</v>
      </c>
      <c r="F1149" s="19">
        <v>41</v>
      </c>
      <c r="G1149" s="19">
        <v>23</v>
      </c>
      <c r="H1149" s="19">
        <v>9</v>
      </c>
      <c r="I1149" s="19">
        <v>7</v>
      </c>
      <c r="J1149" s="19">
        <v>43</v>
      </c>
      <c r="K1149" s="19">
        <v>33</v>
      </c>
      <c r="L1149" s="19">
        <v>24</v>
      </c>
      <c r="M1149" s="19">
        <f t="shared" si="248"/>
        <v>180</v>
      </c>
      <c r="N1149" s="27">
        <f t="shared" si="295"/>
        <v>41982</v>
      </c>
    </row>
    <row r="1150" spans="1:14" x14ac:dyDescent="0.25">
      <c r="A1150" s="15">
        <f t="shared" si="299"/>
        <v>5</v>
      </c>
      <c r="B1150" s="20">
        <f t="shared" si="292"/>
        <v>1149</v>
      </c>
      <c r="C1150" s="17">
        <f t="shared" si="254"/>
        <v>103</v>
      </c>
      <c r="D1150" s="17" t="str">
        <f t="shared" si="250"/>
        <v>20141212</v>
      </c>
      <c r="E1150" s="20" t="str">
        <f t="shared" si="246"/>
        <v>20141212103</v>
      </c>
      <c r="F1150" s="19">
        <v>24</v>
      </c>
      <c r="G1150" s="19">
        <v>8</v>
      </c>
      <c r="H1150" s="19">
        <v>29</v>
      </c>
      <c r="I1150" s="19">
        <v>32</v>
      </c>
      <c r="J1150" s="19">
        <v>7</v>
      </c>
      <c r="K1150" s="19">
        <v>48</v>
      </c>
      <c r="L1150" s="19">
        <v>37</v>
      </c>
      <c r="M1150" s="19">
        <f t="shared" si="248"/>
        <v>185</v>
      </c>
      <c r="N1150" s="27">
        <f t="shared" si="296"/>
        <v>41985</v>
      </c>
    </row>
    <row r="1151" spans="1:14" x14ac:dyDescent="0.25">
      <c r="A1151" s="15">
        <f t="shared" si="299"/>
        <v>2</v>
      </c>
      <c r="B1151" s="20">
        <f t="shared" si="292"/>
        <v>1150</v>
      </c>
      <c r="C1151" s="17">
        <f t="shared" si="254"/>
        <v>104</v>
      </c>
      <c r="D1151" s="17" t="str">
        <f t="shared" si="250"/>
        <v>20141216</v>
      </c>
      <c r="E1151" s="20" t="str">
        <f t="shared" si="246"/>
        <v>20141216104</v>
      </c>
      <c r="F1151" s="19">
        <v>35</v>
      </c>
      <c r="G1151" s="19">
        <v>45</v>
      </c>
      <c r="H1151" s="19">
        <v>34</v>
      </c>
      <c r="I1151" s="19">
        <v>32</v>
      </c>
      <c r="J1151" s="19">
        <v>17</v>
      </c>
      <c r="K1151" s="19">
        <v>28</v>
      </c>
      <c r="L1151" s="19">
        <v>8</v>
      </c>
      <c r="M1151" s="19">
        <f t="shared" si="248"/>
        <v>199</v>
      </c>
      <c r="N1151" s="27">
        <f t="shared" si="295"/>
        <v>41989</v>
      </c>
    </row>
    <row r="1152" spans="1:14" x14ac:dyDescent="0.25">
      <c r="A1152" s="15">
        <f t="shared" si="299"/>
        <v>5</v>
      </c>
      <c r="B1152" s="20">
        <f t="shared" si="292"/>
        <v>1151</v>
      </c>
      <c r="C1152" s="17">
        <f t="shared" si="254"/>
        <v>105</v>
      </c>
      <c r="D1152" s="17" t="str">
        <f t="shared" si="250"/>
        <v>20141219</v>
      </c>
      <c r="E1152" s="20" t="str">
        <f t="shared" si="246"/>
        <v>20141219105</v>
      </c>
      <c r="F1152" s="19">
        <v>9</v>
      </c>
      <c r="G1152" s="19">
        <v>1</v>
      </c>
      <c r="H1152" s="19">
        <v>24</v>
      </c>
      <c r="I1152" s="19">
        <v>41</v>
      </c>
      <c r="J1152" s="19">
        <v>32</v>
      </c>
      <c r="K1152" s="19">
        <v>49</v>
      </c>
      <c r="L1152" s="19">
        <v>40</v>
      </c>
      <c r="M1152" s="19">
        <f t="shared" si="248"/>
        <v>196</v>
      </c>
      <c r="N1152" s="27">
        <f t="shared" si="296"/>
        <v>41992</v>
      </c>
    </row>
    <row r="1153" spans="1:14" x14ac:dyDescent="0.25">
      <c r="A1153" s="15">
        <f t="shared" si="299"/>
        <v>2</v>
      </c>
      <c r="B1153" s="20">
        <f t="shared" si="292"/>
        <v>1152</v>
      </c>
      <c r="C1153" s="17">
        <f t="shared" si="254"/>
        <v>106</v>
      </c>
      <c r="D1153" s="17" t="str">
        <f t="shared" si="250"/>
        <v>20141223</v>
      </c>
      <c r="E1153" s="20" t="str">
        <f t="shared" si="246"/>
        <v>20141223106</v>
      </c>
      <c r="F1153" s="19">
        <v>32</v>
      </c>
      <c r="G1153" s="19">
        <v>39</v>
      </c>
      <c r="H1153" s="19">
        <v>3</v>
      </c>
      <c r="I1153" s="19">
        <v>31</v>
      </c>
      <c r="J1153" s="19">
        <v>30</v>
      </c>
      <c r="K1153" s="19">
        <v>27</v>
      </c>
      <c r="L1153" s="19">
        <v>35</v>
      </c>
      <c r="M1153" s="19">
        <f t="shared" si="248"/>
        <v>197</v>
      </c>
      <c r="N1153" s="27">
        <f t="shared" si="295"/>
        <v>41996</v>
      </c>
    </row>
    <row r="1154" spans="1:14" x14ac:dyDescent="0.25">
      <c r="A1154" s="15">
        <f t="shared" si="299"/>
        <v>5</v>
      </c>
      <c r="B1154" s="20">
        <f t="shared" si="292"/>
        <v>1153</v>
      </c>
      <c r="C1154" s="17">
        <f t="shared" si="254"/>
        <v>107</v>
      </c>
      <c r="D1154" s="17" t="str">
        <f t="shared" si="250"/>
        <v>20141226</v>
      </c>
      <c r="E1154" s="20" t="str">
        <f t="shared" ref="E1154:E1160" si="300">CONCATENATE(D1154,TEXT(C1154,"000"))</f>
        <v>20141226107</v>
      </c>
      <c r="F1154" s="19">
        <v>49</v>
      </c>
      <c r="G1154" s="19">
        <v>32</v>
      </c>
      <c r="H1154" s="19">
        <v>42</v>
      </c>
      <c r="I1154" s="19">
        <v>45</v>
      </c>
      <c r="J1154" s="19">
        <v>9</v>
      </c>
      <c r="K1154" s="19">
        <v>27</v>
      </c>
      <c r="L1154" s="19">
        <v>30</v>
      </c>
      <c r="M1154" s="19">
        <f t="shared" si="248"/>
        <v>234</v>
      </c>
      <c r="N1154" s="27">
        <f t="shared" si="296"/>
        <v>41999</v>
      </c>
    </row>
    <row r="1155" spans="1:14" x14ac:dyDescent="0.25">
      <c r="A1155" s="15">
        <f t="shared" ref="A1155:A1156" si="301">WEEKDAY(N1155,2)</f>
        <v>2</v>
      </c>
      <c r="B1155" s="20">
        <f t="shared" si="292"/>
        <v>1154</v>
      </c>
      <c r="C1155" s="17">
        <f t="shared" si="254"/>
        <v>108</v>
      </c>
      <c r="D1155" s="17" t="str">
        <f t="shared" si="250"/>
        <v>20141230</v>
      </c>
      <c r="E1155" s="20" t="str">
        <f t="shared" si="300"/>
        <v>20141230108</v>
      </c>
      <c r="F1155" s="19">
        <v>48</v>
      </c>
      <c r="G1155" s="19">
        <v>49</v>
      </c>
      <c r="H1155" s="19">
        <v>7</v>
      </c>
      <c r="I1155" s="19">
        <v>44</v>
      </c>
      <c r="J1155" s="19">
        <v>32</v>
      </c>
      <c r="K1155" s="19">
        <v>30</v>
      </c>
      <c r="L1155" s="19">
        <v>45</v>
      </c>
      <c r="M1155" s="19">
        <f t="shared" ref="M1155:M1218" si="302">SUM(F1155:L1155)</f>
        <v>255</v>
      </c>
      <c r="N1155" s="27">
        <f t="shared" si="295"/>
        <v>42003</v>
      </c>
    </row>
    <row r="1156" spans="1:14" x14ac:dyDescent="0.25">
      <c r="A1156" s="15">
        <f t="shared" si="301"/>
        <v>5</v>
      </c>
      <c r="B1156" s="20">
        <f t="shared" si="292"/>
        <v>1155</v>
      </c>
      <c r="C1156" s="17">
        <v>1</v>
      </c>
      <c r="D1156" s="17" t="str">
        <f t="shared" ref="D1156:D1219" si="303">CONCATENATE(TEXT(YEAR(N1156),"0000"),TEXT(MONTH(N1156),"00"),TEXT(DAY(N1156),"00"))</f>
        <v>20150102</v>
      </c>
      <c r="E1156" s="20" t="str">
        <f t="shared" si="300"/>
        <v>20150102001</v>
      </c>
      <c r="F1156" s="19">
        <v>31</v>
      </c>
      <c r="G1156" s="19">
        <v>23</v>
      </c>
      <c r="H1156" s="19">
        <v>48</v>
      </c>
      <c r="I1156" s="19">
        <v>29</v>
      </c>
      <c r="J1156" s="19">
        <v>22</v>
      </c>
      <c r="K1156" s="19">
        <v>13</v>
      </c>
      <c r="L1156" s="19">
        <v>6</v>
      </c>
      <c r="M1156" s="19">
        <f t="shared" si="302"/>
        <v>172</v>
      </c>
      <c r="N1156" s="27">
        <f t="shared" si="296"/>
        <v>42006</v>
      </c>
    </row>
    <row r="1157" spans="1:14" x14ac:dyDescent="0.25">
      <c r="A1157" s="15">
        <f t="shared" ref="A1157" si="304">WEEKDAY(N1157,2)</f>
        <v>2</v>
      </c>
      <c r="B1157" s="20">
        <f t="shared" si="292"/>
        <v>1156</v>
      </c>
      <c r="C1157" s="17">
        <f>C1156+1</f>
        <v>2</v>
      </c>
      <c r="D1157" s="17" t="str">
        <f t="shared" si="303"/>
        <v>20150106</v>
      </c>
      <c r="E1157" s="20" t="str">
        <f t="shared" si="300"/>
        <v>20150106002</v>
      </c>
      <c r="F1157" s="19">
        <v>16</v>
      </c>
      <c r="G1157" s="19">
        <v>37</v>
      </c>
      <c r="H1157" s="19">
        <v>43</v>
      </c>
      <c r="I1157" s="19">
        <v>11</v>
      </c>
      <c r="J1157" s="19">
        <v>30</v>
      </c>
      <c r="K1157" s="19">
        <v>29</v>
      </c>
      <c r="L1157" s="19">
        <v>13</v>
      </c>
      <c r="M1157" s="19">
        <f t="shared" si="302"/>
        <v>179</v>
      </c>
      <c r="N1157" s="27">
        <f t="shared" si="295"/>
        <v>42010</v>
      </c>
    </row>
    <row r="1158" spans="1:14" x14ac:dyDescent="0.25">
      <c r="A1158" s="15">
        <f t="shared" ref="A1158:A1160" si="305">WEEKDAY(N1158,2)</f>
        <v>5</v>
      </c>
      <c r="B1158" s="20">
        <f t="shared" si="292"/>
        <v>1157</v>
      </c>
      <c r="C1158" s="17">
        <f t="shared" si="292"/>
        <v>3</v>
      </c>
      <c r="D1158" s="17" t="str">
        <f t="shared" si="303"/>
        <v>20150109</v>
      </c>
      <c r="E1158" s="20" t="str">
        <f t="shared" si="300"/>
        <v>20150109003</v>
      </c>
      <c r="F1158" s="19">
        <v>18</v>
      </c>
      <c r="G1158" s="19">
        <v>7</v>
      </c>
      <c r="H1158" s="19">
        <v>24</v>
      </c>
      <c r="I1158" s="19">
        <v>21</v>
      </c>
      <c r="J1158" s="19">
        <v>23</v>
      </c>
      <c r="K1158" s="19">
        <v>8</v>
      </c>
      <c r="L1158" s="19">
        <v>11</v>
      </c>
      <c r="M1158" s="19">
        <f t="shared" si="302"/>
        <v>112</v>
      </c>
      <c r="N1158" s="27">
        <f t="shared" si="296"/>
        <v>42013</v>
      </c>
    </row>
    <row r="1159" spans="1:14" x14ac:dyDescent="0.25">
      <c r="A1159" s="15">
        <f t="shared" si="305"/>
        <v>2</v>
      </c>
      <c r="B1159" s="20">
        <f t="shared" ref="B1159:C1160" si="306">B1158+1</f>
        <v>1158</v>
      </c>
      <c r="C1159" s="17">
        <f t="shared" si="306"/>
        <v>4</v>
      </c>
      <c r="D1159" s="17" t="str">
        <f t="shared" si="303"/>
        <v>20150113</v>
      </c>
      <c r="E1159" s="20" t="str">
        <f t="shared" si="300"/>
        <v>20150113004</v>
      </c>
      <c r="F1159" s="19">
        <v>46</v>
      </c>
      <c r="G1159" s="19">
        <v>14</v>
      </c>
      <c r="H1159" s="19">
        <v>22</v>
      </c>
      <c r="I1159" s="19">
        <v>37</v>
      </c>
      <c r="J1159" s="19">
        <v>2</v>
      </c>
      <c r="K1159" s="19">
        <v>16</v>
      </c>
      <c r="L1159" s="19">
        <v>49</v>
      </c>
      <c r="M1159" s="19">
        <f t="shared" si="302"/>
        <v>186</v>
      </c>
      <c r="N1159" s="27">
        <f t="shared" si="295"/>
        <v>42017</v>
      </c>
    </row>
    <row r="1160" spans="1:14" x14ac:dyDescent="0.25">
      <c r="A1160" s="15">
        <f t="shared" si="305"/>
        <v>5</v>
      </c>
      <c r="B1160" s="20">
        <f t="shared" si="306"/>
        <v>1159</v>
      </c>
      <c r="C1160" s="17">
        <f t="shared" si="306"/>
        <v>5</v>
      </c>
      <c r="D1160" s="17" t="str">
        <f t="shared" si="303"/>
        <v>20150116</v>
      </c>
      <c r="E1160" s="20" t="str">
        <f t="shared" si="300"/>
        <v>20150116005</v>
      </c>
      <c r="F1160" s="19">
        <v>2</v>
      </c>
      <c r="G1160" s="19">
        <v>46</v>
      </c>
      <c r="H1160" s="19">
        <v>17</v>
      </c>
      <c r="I1160" s="19">
        <v>32</v>
      </c>
      <c r="J1160" s="19">
        <v>38</v>
      </c>
      <c r="K1160" s="19">
        <v>28</v>
      </c>
      <c r="L1160" s="19">
        <v>49</v>
      </c>
      <c r="M1160" s="19">
        <f t="shared" si="302"/>
        <v>212</v>
      </c>
      <c r="N1160" s="27">
        <f t="shared" si="296"/>
        <v>42020</v>
      </c>
    </row>
    <row r="1161" spans="1:14" x14ac:dyDescent="0.25">
      <c r="A1161" s="15">
        <f t="shared" ref="A1161:A1162" si="307">WEEKDAY(N1161,2)</f>
        <v>2</v>
      </c>
      <c r="B1161" s="20">
        <f t="shared" ref="B1161:C1161" si="308">B1160+1</f>
        <v>1160</v>
      </c>
      <c r="C1161" s="17">
        <f t="shared" si="308"/>
        <v>6</v>
      </c>
      <c r="D1161" s="17" t="str">
        <f t="shared" si="303"/>
        <v>20150120</v>
      </c>
      <c r="E1161" s="20" t="str">
        <f t="shared" ref="E1161:E1162" si="309">CONCATENATE(D1161,TEXT(C1161,"000"))</f>
        <v>20150120006</v>
      </c>
      <c r="F1161" s="19">
        <v>47</v>
      </c>
      <c r="G1161" s="19">
        <v>35</v>
      </c>
      <c r="H1161" s="19">
        <v>28</v>
      </c>
      <c r="I1161" s="19">
        <v>45</v>
      </c>
      <c r="J1161" s="19">
        <v>9</v>
      </c>
      <c r="K1161" s="19">
        <v>24</v>
      </c>
      <c r="L1161" s="19">
        <v>48</v>
      </c>
      <c r="M1161" s="19">
        <f t="shared" si="302"/>
        <v>236</v>
      </c>
      <c r="N1161" s="27">
        <f t="shared" si="295"/>
        <v>42024</v>
      </c>
    </row>
    <row r="1162" spans="1:14" x14ac:dyDescent="0.25">
      <c r="A1162" s="15">
        <f t="shared" si="307"/>
        <v>5</v>
      </c>
      <c r="B1162" s="20">
        <f t="shared" ref="B1162:C1162" si="310">B1161+1</f>
        <v>1161</v>
      </c>
      <c r="C1162" s="17">
        <f t="shared" si="310"/>
        <v>7</v>
      </c>
      <c r="D1162" s="17" t="str">
        <f t="shared" si="303"/>
        <v>20150123</v>
      </c>
      <c r="E1162" s="20" t="str">
        <f t="shared" si="309"/>
        <v>20150123007</v>
      </c>
      <c r="F1162" s="19">
        <v>20</v>
      </c>
      <c r="G1162" s="19">
        <v>16</v>
      </c>
      <c r="H1162" s="19">
        <v>39</v>
      </c>
      <c r="I1162" s="19">
        <v>42</v>
      </c>
      <c r="J1162" s="19">
        <v>38</v>
      </c>
      <c r="K1162" s="19">
        <v>8</v>
      </c>
      <c r="L1162" s="19">
        <v>29</v>
      </c>
      <c r="M1162" s="19">
        <f t="shared" si="302"/>
        <v>192</v>
      </c>
      <c r="N1162" s="27">
        <f t="shared" si="296"/>
        <v>42027</v>
      </c>
    </row>
    <row r="1163" spans="1:14" x14ac:dyDescent="0.25">
      <c r="A1163" s="15">
        <f t="shared" ref="A1163:A1166" si="311">WEEKDAY(N1163,2)</f>
        <v>2</v>
      </c>
      <c r="B1163" s="20">
        <f t="shared" ref="B1163:C1163" si="312">B1162+1</f>
        <v>1162</v>
      </c>
      <c r="C1163" s="17">
        <f t="shared" si="312"/>
        <v>8</v>
      </c>
      <c r="D1163" s="17" t="str">
        <f t="shared" si="303"/>
        <v>20150127</v>
      </c>
      <c r="E1163" s="20" t="str">
        <f t="shared" ref="E1163:E1177" si="313">CONCATENATE(D1163,TEXT(C1163,"000"))</f>
        <v>20150127008</v>
      </c>
      <c r="F1163" s="19">
        <v>45</v>
      </c>
      <c r="G1163" s="19">
        <v>4</v>
      </c>
      <c r="H1163" s="19">
        <v>27</v>
      </c>
      <c r="I1163" s="19">
        <v>15</v>
      </c>
      <c r="J1163" s="19">
        <v>9</v>
      </c>
      <c r="K1163" s="19">
        <v>21</v>
      </c>
      <c r="L1163" s="19">
        <v>6</v>
      </c>
      <c r="M1163" s="19">
        <f t="shared" si="302"/>
        <v>127</v>
      </c>
      <c r="N1163" s="27">
        <f t="shared" si="295"/>
        <v>42031</v>
      </c>
    </row>
    <row r="1164" spans="1:14" x14ac:dyDescent="0.25">
      <c r="A1164" s="15">
        <f t="shared" si="311"/>
        <v>5</v>
      </c>
      <c r="B1164" s="20">
        <f t="shared" ref="B1164:C1164" si="314">B1163+1</f>
        <v>1163</v>
      </c>
      <c r="C1164" s="17">
        <f t="shared" si="314"/>
        <v>9</v>
      </c>
      <c r="D1164" s="17" t="str">
        <f t="shared" si="303"/>
        <v>20150130</v>
      </c>
      <c r="E1164" s="20" t="str">
        <f t="shared" si="313"/>
        <v>20150130009</v>
      </c>
      <c r="F1164" s="19">
        <v>35</v>
      </c>
      <c r="G1164" s="19">
        <v>14</v>
      </c>
      <c r="H1164" s="19">
        <v>24</v>
      </c>
      <c r="I1164" s="19">
        <v>39</v>
      </c>
      <c r="J1164" s="19">
        <v>3</v>
      </c>
      <c r="K1164" s="19">
        <v>44</v>
      </c>
      <c r="L1164" s="19">
        <v>28</v>
      </c>
      <c r="M1164" s="19">
        <f t="shared" si="302"/>
        <v>187</v>
      </c>
      <c r="N1164" s="27">
        <f t="shared" si="296"/>
        <v>42034</v>
      </c>
    </row>
    <row r="1165" spans="1:14" x14ac:dyDescent="0.25">
      <c r="A1165" s="15">
        <f t="shared" si="311"/>
        <v>2</v>
      </c>
      <c r="B1165" s="20">
        <f t="shared" ref="B1165:C1165" si="315">B1164+1</f>
        <v>1164</v>
      </c>
      <c r="C1165" s="17">
        <f t="shared" si="315"/>
        <v>10</v>
      </c>
      <c r="D1165" s="17" t="str">
        <f t="shared" si="303"/>
        <v>20150203</v>
      </c>
      <c r="E1165" s="20" t="str">
        <f t="shared" si="313"/>
        <v>20150203010</v>
      </c>
      <c r="F1165" s="19">
        <v>30</v>
      </c>
      <c r="G1165" s="19">
        <v>13</v>
      </c>
      <c r="H1165" s="19">
        <v>16</v>
      </c>
      <c r="I1165" s="19">
        <v>18</v>
      </c>
      <c r="J1165" s="19">
        <v>5</v>
      </c>
      <c r="K1165" s="19">
        <v>15</v>
      </c>
      <c r="L1165" s="19">
        <v>8</v>
      </c>
      <c r="M1165" s="19">
        <f t="shared" si="302"/>
        <v>105</v>
      </c>
      <c r="N1165" s="27">
        <f t="shared" si="295"/>
        <v>42038</v>
      </c>
    </row>
    <row r="1166" spans="1:14" x14ac:dyDescent="0.25">
      <c r="A1166" s="15">
        <f t="shared" si="311"/>
        <v>5</v>
      </c>
      <c r="B1166" s="20">
        <f t="shared" ref="B1166:C1166" si="316">B1165+1</f>
        <v>1165</v>
      </c>
      <c r="C1166" s="17">
        <f t="shared" si="316"/>
        <v>11</v>
      </c>
      <c r="D1166" s="17" t="str">
        <f t="shared" si="303"/>
        <v>20150206</v>
      </c>
      <c r="E1166" s="20" t="str">
        <f t="shared" si="313"/>
        <v>20150206011</v>
      </c>
      <c r="F1166" s="19">
        <v>11</v>
      </c>
      <c r="G1166" s="19">
        <v>42</v>
      </c>
      <c r="H1166" s="19">
        <v>5</v>
      </c>
      <c r="I1166" s="19">
        <v>29</v>
      </c>
      <c r="J1166" s="19">
        <v>46</v>
      </c>
      <c r="K1166" s="19">
        <v>36</v>
      </c>
      <c r="L1166" s="19">
        <v>48</v>
      </c>
      <c r="M1166" s="19">
        <f t="shared" si="302"/>
        <v>217</v>
      </c>
      <c r="N1166" s="27">
        <f t="shared" si="296"/>
        <v>42041</v>
      </c>
    </row>
    <row r="1167" spans="1:14" x14ac:dyDescent="0.25">
      <c r="A1167" s="15">
        <f t="shared" ref="A1167:A1168" si="317">WEEKDAY(N1167,2)</f>
        <v>2</v>
      </c>
      <c r="B1167" s="20">
        <f t="shared" ref="B1167:C1167" si="318">B1166+1</f>
        <v>1166</v>
      </c>
      <c r="C1167" s="17">
        <f t="shared" si="318"/>
        <v>12</v>
      </c>
      <c r="D1167" s="17" t="str">
        <f t="shared" si="303"/>
        <v>20150210</v>
      </c>
      <c r="E1167" s="20" t="str">
        <f t="shared" si="313"/>
        <v>20150210012</v>
      </c>
      <c r="F1167" s="19">
        <v>29</v>
      </c>
      <c r="G1167" s="19">
        <v>14</v>
      </c>
      <c r="H1167" s="19">
        <v>44</v>
      </c>
      <c r="I1167" s="19">
        <v>26</v>
      </c>
      <c r="J1167" s="19">
        <v>15</v>
      </c>
      <c r="K1167" s="19">
        <v>35</v>
      </c>
      <c r="L1167" s="19">
        <v>9</v>
      </c>
      <c r="M1167" s="19">
        <f t="shared" si="302"/>
        <v>172</v>
      </c>
      <c r="N1167" s="27">
        <f t="shared" si="295"/>
        <v>42045</v>
      </c>
    </row>
    <row r="1168" spans="1:14" x14ac:dyDescent="0.25">
      <c r="A1168" s="15">
        <f t="shared" si="317"/>
        <v>5</v>
      </c>
      <c r="B1168" s="20">
        <f t="shared" ref="B1168:C1168" si="319">B1167+1</f>
        <v>1167</v>
      </c>
      <c r="C1168" s="17">
        <f t="shared" si="319"/>
        <v>13</v>
      </c>
      <c r="D1168" s="17" t="str">
        <f t="shared" si="303"/>
        <v>20150213</v>
      </c>
      <c r="E1168" s="20" t="str">
        <f t="shared" si="313"/>
        <v>20150213013</v>
      </c>
      <c r="F1168" s="19">
        <v>25</v>
      </c>
      <c r="G1168" s="19">
        <v>1</v>
      </c>
      <c r="H1168" s="19">
        <v>29</v>
      </c>
      <c r="I1168" s="19">
        <v>9</v>
      </c>
      <c r="J1168" s="19">
        <v>15</v>
      </c>
      <c r="K1168" s="19">
        <v>35</v>
      </c>
      <c r="L1168" s="19">
        <v>38</v>
      </c>
      <c r="M1168" s="19">
        <f t="shared" si="302"/>
        <v>152</v>
      </c>
      <c r="N1168" s="27">
        <f t="shared" si="296"/>
        <v>42048</v>
      </c>
    </row>
    <row r="1169" spans="1:14" x14ac:dyDescent="0.25">
      <c r="A1169" s="15">
        <f t="shared" ref="A1169:A1176" si="320">WEEKDAY(N1169,2)</f>
        <v>2</v>
      </c>
      <c r="B1169" s="20">
        <f t="shared" ref="B1169:C1169" si="321">B1168+1</f>
        <v>1168</v>
      </c>
      <c r="C1169" s="17">
        <f t="shared" si="321"/>
        <v>14</v>
      </c>
      <c r="D1169" s="17" t="str">
        <f t="shared" si="303"/>
        <v>20150217</v>
      </c>
      <c r="E1169" s="20" t="str">
        <f t="shared" si="313"/>
        <v>20150217014</v>
      </c>
      <c r="F1169" s="19">
        <v>11</v>
      </c>
      <c r="G1169" s="19">
        <v>15</v>
      </c>
      <c r="H1169" s="19">
        <v>23</v>
      </c>
      <c r="I1169" s="19">
        <v>46</v>
      </c>
      <c r="J1169" s="19">
        <v>40</v>
      </c>
      <c r="K1169" s="19">
        <v>3</v>
      </c>
      <c r="L1169" s="19">
        <v>13</v>
      </c>
      <c r="M1169" s="19">
        <f t="shared" si="302"/>
        <v>151</v>
      </c>
      <c r="N1169" s="27">
        <f t="shared" si="295"/>
        <v>42052</v>
      </c>
    </row>
    <row r="1170" spans="1:14" x14ac:dyDescent="0.25">
      <c r="A1170" s="15">
        <f t="shared" si="320"/>
        <v>3</v>
      </c>
      <c r="B1170" s="20">
        <f t="shared" ref="B1170:C1170" si="322">B1169+1</f>
        <v>1169</v>
      </c>
      <c r="C1170" s="17">
        <f t="shared" si="322"/>
        <v>15</v>
      </c>
      <c r="D1170" s="17" t="str">
        <f t="shared" si="303"/>
        <v>20150218</v>
      </c>
      <c r="E1170" s="20" t="str">
        <f t="shared" si="313"/>
        <v>20150218015</v>
      </c>
      <c r="F1170" s="19">
        <v>15</v>
      </c>
      <c r="G1170" s="19">
        <v>27</v>
      </c>
      <c r="H1170" s="19">
        <v>6</v>
      </c>
      <c r="I1170" s="19">
        <v>16</v>
      </c>
      <c r="J1170" s="19">
        <v>3</v>
      </c>
      <c r="K1170" s="19">
        <v>31</v>
      </c>
      <c r="L1170" s="19">
        <v>14</v>
      </c>
      <c r="M1170" s="19">
        <f t="shared" si="302"/>
        <v>112</v>
      </c>
      <c r="N1170" s="27">
        <f t="shared" ref="N1170:N1176" si="323">N1169+1</f>
        <v>42053</v>
      </c>
    </row>
    <row r="1171" spans="1:14" x14ac:dyDescent="0.25">
      <c r="A1171" s="15">
        <f t="shared" si="320"/>
        <v>4</v>
      </c>
      <c r="B1171" s="20">
        <f t="shared" ref="B1171:C1171" si="324">B1170+1</f>
        <v>1170</v>
      </c>
      <c r="C1171" s="17">
        <f t="shared" si="324"/>
        <v>16</v>
      </c>
      <c r="D1171" s="17" t="str">
        <f t="shared" si="303"/>
        <v>20150219</v>
      </c>
      <c r="E1171" s="20" t="str">
        <f t="shared" si="313"/>
        <v>20150219016</v>
      </c>
      <c r="F1171" s="19">
        <v>25</v>
      </c>
      <c r="G1171" s="19">
        <v>40</v>
      </c>
      <c r="H1171" s="19">
        <v>7</v>
      </c>
      <c r="I1171" s="19">
        <v>49</v>
      </c>
      <c r="J1171" s="19">
        <v>31</v>
      </c>
      <c r="K1171" s="19">
        <v>27</v>
      </c>
      <c r="L1171" s="19">
        <v>11</v>
      </c>
      <c r="M1171" s="19">
        <f t="shared" si="302"/>
        <v>190</v>
      </c>
      <c r="N1171" s="27">
        <f t="shared" si="323"/>
        <v>42054</v>
      </c>
    </row>
    <row r="1172" spans="1:14" x14ac:dyDescent="0.25">
      <c r="A1172" s="15">
        <f t="shared" si="320"/>
        <v>5</v>
      </c>
      <c r="B1172" s="20">
        <f t="shared" ref="B1172:C1172" si="325">B1171+1</f>
        <v>1171</v>
      </c>
      <c r="C1172" s="17">
        <f t="shared" si="325"/>
        <v>17</v>
      </c>
      <c r="D1172" s="17" t="str">
        <f t="shared" si="303"/>
        <v>20150220</v>
      </c>
      <c r="E1172" s="20" t="str">
        <f t="shared" si="313"/>
        <v>20150220017</v>
      </c>
      <c r="F1172" s="19">
        <v>10</v>
      </c>
      <c r="G1172" s="19">
        <v>45</v>
      </c>
      <c r="H1172" s="19">
        <v>29</v>
      </c>
      <c r="I1172" s="19">
        <v>5</v>
      </c>
      <c r="J1172" s="19">
        <v>9</v>
      </c>
      <c r="K1172" s="19">
        <v>28</v>
      </c>
      <c r="L1172" s="19">
        <v>41</v>
      </c>
      <c r="M1172" s="19">
        <f t="shared" si="302"/>
        <v>167</v>
      </c>
      <c r="N1172" s="27">
        <f t="shared" si="323"/>
        <v>42055</v>
      </c>
    </row>
    <row r="1173" spans="1:14" x14ac:dyDescent="0.25">
      <c r="A1173" s="15">
        <f t="shared" si="320"/>
        <v>6</v>
      </c>
      <c r="B1173" s="20">
        <f t="shared" ref="B1173:C1173" si="326">B1172+1</f>
        <v>1172</v>
      </c>
      <c r="C1173" s="17">
        <f t="shared" si="326"/>
        <v>18</v>
      </c>
      <c r="D1173" s="17" t="str">
        <f t="shared" si="303"/>
        <v>20150221</v>
      </c>
      <c r="E1173" s="20" t="str">
        <f t="shared" si="313"/>
        <v>20150221018</v>
      </c>
      <c r="F1173" s="19">
        <v>27</v>
      </c>
      <c r="G1173" s="19">
        <v>17</v>
      </c>
      <c r="H1173" s="19">
        <v>40</v>
      </c>
      <c r="I1173" s="19">
        <v>2</v>
      </c>
      <c r="J1173" s="19">
        <v>11</v>
      </c>
      <c r="K1173" s="19">
        <v>5</v>
      </c>
      <c r="L1173" s="19">
        <v>20</v>
      </c>
      <c r="M1173" s="19">
        <f t="shared" si="302"/>
        <v>122</v>
      </c>
      <c r="N1173" s="27">
        <f t="shared" si="323"/>
        <v>42056</v>
      </c>
    </row>
    <row r="1174" spans="1:14" x14ac:dyDescent="0.25">
      <c r="A1174" s="15">
        <f t="shared" si="320"/>
        <v>7</v>
      </c>
      <c r="B1174" s="20">
        <f t="shared" ref="B1174:C1174" si="327">B1173+1</f>
        <v>1173</v>
      </c>
      <c r="C1174" s="17">
        <f t="shared" si="327"/>
        <v>19</v>
      </c>
      <c r="D1174" s="17" t="str">
        <f t="shared" si="303"/>
        <v>20150222</v>
      </c>
      <c r="E1174" s="20" t="str">
        <f t="shared" si="313"/>
        <v>20150222019</v>
      </c>
      <c r="F1174" s="19">
        <v>6</v>
      </c>
      <c r="G1174" s="19">
        <v>3</v>
      </c>
      <c r="H1174" s="19">
        <v>12</v>
      </c>
      <c r="I1174" s="19">
        <v>37</v>
      </c>
      <c r="J1174" s="19">
        <v>34</v>
      </c>
      <c r="K1174" s="19">
        <v>43</v>
      </c>
      <c r="L1174" s="19">
        <v>28</v>
      </c>
      <c r="M1174" s="19">
        <f t="shared" si="302"/>
        <v>163</v>
      </c>
      <c r="N1174" s="27">
        <f t="shared" si="323"/>
        <v>42057</v>
      </c>
    </row>
    <row r="1175" spans="1:14" x14ac:dyDescent="0.25">
      <c r="A1175" s="15">
        <f t="shared" si="320"/>
        <v>1</v>
      </c>
      <c r="B1175" s="20">
        <f t="shared" ref="B1175:C1175" si="328">B1174+1</f>
        <v>1174</v>
      </c>
      <c r="C1175" s="17">
        <f t="shared" si="328"/>
        <v>20</v>
      </c>
      <c r="D1175" s="17" t="str">
        <f t="shared" si="303"/>
        <v>20150223</v>
      </c>
      <c r="E1175" s="20" t="str">
        <f t="shared" si="313"/>
        <v>20150223020</v>
      </c>
      <c r="F1175" s="19">
        <v>21</v>
      </c>
      <c r="G1175" s="19">
        <v>20</v>
      </c>
      <c r="H1175" s="19">
        <v>43</v>
      </c>
      <c r="I1175" s="19">
        <v>38</v>
      </c>
      <c r="J1175" s="19">
        <v>32</v>
      </c>
      <c r="K1175" s="19">
        <v>14</v>
      </c>
      <c r="L1175" s="19">
        <v>23</v>
      </c>
      <c r="M1175" s="19">
        <f t="shared" si="302"/>
        <v>191</v>
      </c>
      <c r="N1175" s="27">
        <f t="shared" si="323"/>
        <v>42058</v>
      </c>
    </row>
    <row r="1176" spans="1:14" x14ac:dyDescent="0.25">
      <c r="A1176" s="15">
        <f t="shared" si="320"/>
        <v>2</v>
      </c>
      <c r="B1176" s="20">
        <f t="shared" ref="B1176:C1177" si="329">B1175+1</f>
        <v>1175</v>
      </c>
      <c r="C1176" s="17">
        <f t="shared" si="329"/>
        <v>21</v>
      </c>
      <c r="D1176" s="17" t="str">
        <f t="shared" si="303"/>
        <v>20150224</v>
      </c>
      <c r="E1176" s="20" t="str">
        <f t="shared" si="313"/>
        <v>20150224021</v>
      </c>
      <c r="F1176" s="19">
        <v>46</v>
      </c>
      <c r="G1176" s="19">
        <v>39</v>
      </c>
      <c r="H1176" s="19">
        <v>28</v>
      </c>
      <c r="I1176" s="19">
        <v>3</v>
      </c>
      <c r="J1176" s="19">
        <v>48</v>
      </c>
      <c r="K1176" s="19">
        <v>41</v>
      </c>
      <c r="L1176" s="19">
        <v>9</v>
      </c>
      <c r="M1176" s="19">
        <f t="shared" si="302"/>
        <v>214</v>
      </c>
      <c r="N1176" s="27">
        <f t="shared" si="323"/>
        <v>42059</v>
      </c>
    </row>
    <row r="1177" spans="1:14" x14ac:dyDescent="0.25">
      <c r="A1177" s="15">
        <f t="shared" ref="A1177" si="330">WEEKDAY(N1177,2)</f>
        <v>5</v>
      </c>
      <c r="B1177" s="20">
        <f t="shared" si="329"/>
        <v>1176</v>
      </c>
      <c r="C1177" s="17">
        <f t="shared" si="329"/>
        <v>22</v>
      </c>
      <c r="D1177" s="17" t="str">
        <f t="shared" si="303"/>
        <v>20150227</v>
      </c>
      <c r="E1177" s="20" t="str">
        <f t="shared" si="313"/>
        <v>20150227022</v>
      </c>
      <c r="F1177" s="19">
        <v>2</v>
      </c>
      <c r="G1177" s="19">
        <v>6</v>
      </c>
      <c r="H1177" s="19">
        <v>43</v>
      </c>
      <c r="I1177" s="19">
        <v>38</v>
      </c>
      <c r="J1177" s="19">
        <v>27</v>
      </c>
      <c r="K1177" s="19">
        <v>34</v>
      </c>
      <c r="L1177" s="19">
        <v>45</v>
      </c>
      <c r="M1177" s="19">
        <f t="shared" si="302"/>
        <v>195</v>
      </c>
      <c r="N1177" s="27">
        <f>N1176+3</f>
        <v>42062</v>
      </c>
    </row>
    <row r="1178" spans="1:14" x14ac:dyDescent="0.25">
      <c r="A1178" s="15">
        <f t="shared" ref="A1178:A1186" si="331">WEEKDAY(N1178,2)</f>
        <v>2</v>
      </c>
      <c r="B1178" s="20">
        <f t="shared" ref="B1178:C1178" si="332">B1177+1</f>
        <v>1177</v>
      </c>
      <c r="C1178" s="17">
        <f t="shared" si="332"/>
        <v>23</v>
      </c>
      <c r="D1178" s="17" t="str">
        <f t="shared" si="303"/>
        <v>20150303</v>
      </c>
      <c r="E1178" s="20" t="str">
        <f t="shared" ref="E1178:E1201" si="333">CONCATENATE(D1178,TEXT(C1178,"000"))</f>
        <v>20150303023</v>
      </c>
      <c r="F1178" s="19">
        <v>43</v>
      </c>
      <c r="G1178" s="19">
        <v>46</v>
      </c>
      <c r="H1178" s="19">
        <v>41</v>
      </c>
      <c r="I1178" s="19">
        <v>6</v>
      </c>
      <c r="J1178" s="19">
        <v>11</v>
      </c>
      <c r="K1178" s="19">
        <v>4</v>
      </c>
      <c r="L1178" s="19">
        <v>21</v>
      </c>
      <c r="M1178" s="19">
        <f t="shared" si="302"/>
        <v>172</v>
      </c>
      <c r="N1178" s="27">
        <f>N1177+4</f>
        <v>42066</v>
      </c>
    </row>
    <row r="1179" spans="1:14" x14ac:dyDescent="0.25">
      <c r="A1179" s="15">
        <f t="shared" si="331"/>
        <v>5</v>
      </c>
      <c r="B1179" s="20">
        <f t="shared" ref="B1179:C1179" si="334">B1178+1</f>
        <v>1178</v>
      </c>
      <c r="C1179" s="17">
        <f t="shared" si="334"/>
        <v>24</v>
      </c>
      <c r="D1179" s="17" t="str">
        <f t="shared" si="303"/>
        <v>20150306</v>
      </c>
      <c r="E1179" s="20" t="str">
        <f t="shared" si="333"/>
        <v>20150306024</v>
      </c>
      <c r="F1179" s="19">
        <v>44</v>
      </c>
      <c r="G1179" s="19">
        <v>22</v>
      </c>
      <c r="H1179" s="19">
        <v>21</v>
      </c>
      <c r="I1179" s="19">
        <v>6</v>
      </c>
      <c r="J1179" s="19">
        <v>37</v>
      </c>
      <c r="K1179" s="19">
        <v>35</v>
      </c>
      <c r="L1179" s="19">
        <v>29</v>
      </c>
      <c r="M1179" s="19">
        <f t="shared" si="302"/>
        <v>194</v>
      </c>
      <c r="N1179" s="27">
        <f t="shared" ref="N1179:N1217" si="335">N1178+3</f>
        <v>42069</v>
      </c>
    </row>
    <row r="1180" spans="1:14" x14ac:dyDescent="0.25">
      <c r="A1180" s="15">
        <f t="shared" si="331"/>
        <v>2</v>
      </c>
      <c r="B1180" s="20">
        <f t="shared" ref="B1180:C1180" si="336">B1179+1</f>
        <v>1179</v>
      </c>
      <c r="C1180" s="17">
        <f t="shared" si="336"/>
        <v>25</v>
      </c>
      <c r="D1180" s="17" t="str">
        <f t="shared" si="303"/>
        <v>20150310</v>
      </c>
      <c r="E1180" s="20" t="str">
        <f t="shared" si="333"/>
        <v>20150310025</v>
      </c>
      <c r="F1180" s="19">
        <v>11</v>
      </c>
      <c r="G1180" s="19">
        <v>25</v>
      </c>
      <c r="H1180" s="19">
        <v>46</v>
      </c>
      <c r="I1180" s="19">
        <v>47</v>
      </c>
      <c r="J1180" s="19">
        <v>3</v>
      </c>
      <c r="K1180" s="19">
        <v>34</v>
      </c>
      <c r="L1180" s="19">
        <v>42</v>
      </c>
      <c r="M1180" s="19">
        <f t="shared" si="302"/>
        <v>208</v>
      </c>
      <c r="N1180" s="27">
        <f>N1179+4</f>
        <v>42073</v>
      </c>
    </row>
    <row r="1181" spans="1:14" x14ac:dyDescent="0.25">
      <c r="A1181" s="15">
        <f t="shared" si="331"/>
        <v>5</v>
      </c>
      <c r="B1181" s="20">
        <f t="shared" ref="B1181:C1181" si="337">B1180+1</f>
        <v>1180</v>
      </c>
      <c r="C1181" s="17">
        <f t="shared" si="337"/>
        <v>26</v>
      </c>
      <c r="D1181" s="17" t="str">
        <f t="shared" si="303"/>
        <v>20150313</v>
      </c>
      <c r="E1181" s="20" t="str">
        <f t="shared" si="333"/>
        <v>20150313026</v>
      </c>
      <c r="F1181" s="19">
        <v>6</v>
      </c>
      <c r="G1181" s="19">
        <v>22</v>
      </c>
      <c r="H1181" s="19">
        <v>9</v>
      </c>
      <c r="I1181" s="19">
        <v>14</v>
      </c>
      <c r="J1181" s="19">
        <v>33</v>
      </c>
      <c r="K1181" s="19">
        <v>16</v>
      </c>
      <c r="L1181" s="19">
        <v>11</v>
      </c>
      <c r="M1181" s="19">
        <f t="shared" si="302"/>
        <v>111</v>
      </c>
      <c r="N1181" s="27">
        <f t="shared" si="335"/>
        <v>42076</v>
      </c>
    </row>
    <row r="1182" spans="1:14" x14ac:dyDescent="0.25">
      <c r="A1182" s="15">
        <f t="shared" si="331"/>
        <v>2</v>
      </c>
      <c r="B1182" s="20">
        <f t="shared" ref="B1182:C1182" si="338">B1181+1</f>
        <v>1181</v>
      </c>
      <c r="C1182" s="17">
        <f t="shared" si="338"/>
        <v>27</v>
      </c>
      <c r="D1182" s="17" t="str">
        <f t="shared" si="303"/>
        <v>20150317</v>
      </c>
      <c r="E1182" s="20" t="str">
        <f t="shared" si="333"/>
        <v>20150317027</v>
      </c>
      <c r="F1182" s="19">
        <v>36</v>
      </c>
      <c r="G1182" s="19">
        <v>42</v>
      </c>
      <c r="H1182" s="19">
        <v>49</v>
      </c>
      <c r="I1182" s="19">
        <v>5</v>
      </c>
      <c r="J1182" s="19">
        <v>32</v>
      </c>
      <c r="K1182" s="19">
        <v>40</v>
      </c>
      <c r="L1182" s="19">
        <v>1</v>
      </c>
      <c r="M1182" s="19">
        <f t="shared" si="302"/>
        <v>205</v>
      </c>
      <c r="N1182" s="27">
        <f t="shared" ref="N1182" si="339">N1181+4</f>
        <v>42080</v>
      </c>
    </row>
    <row r="1183" spans="1:14" x14ac:dyDescent="0.25">
      <c r="A1183" s="15">
        <f t="shared" si="331"/>
        <v>5</v>
      </c>
      <c r="B1183" s="20">
        <f t="shared" ref="B1183:C1183" si="340">B1182+1</f>
        <v>1182</v>
      </c>
      <c r="C1183" s="17">
        <f t="shared" si="340"/>
        <v>28</v>
      </c>
      <c r="D1183" s="17" t="str">
        <f t="shared" si="303"/>
        <v>20150320</v>
      </c>
      <c r="E1183" s="20" t="str">
        <f t="shared" si="333"/>
        <v>20150320028</v>
      </c>
      <c r="F1183" s="19">
        <v>4</v>
      </c>
      <c r="G1183" s="19">
        <v>13</v>
      </c>
      <c r="H1183" s="19">
        <v>7</v>
      </c>
      <c r="I1183" s="19">
        <v>29</v>
      </c>
      <c r="J1183" s="19">
        <v>9</v>
      </c>
      <c r="K1183" s="19">
        <v>46</v>
      </c>
      <c r="L1183" s="19">
        <v>8</v>
      </c>
      <c r="M1183" s="19">
        <f t="shared" si="302"/>
        <v>116</v>
      </c>
      <c r="N1183" s="27">
        <f t="shared" si="335"/>
        <v>42083</v>
      </c>
    </row>
    <row r="1184" spans="1:14" x14ac:dyDescent="0.25">
      <c r="A1184" s="15">
        <f t="shared" si="331"/>
        <v>2</v>
      </c>
      <c r="B1184" s="20">
        <f t="shared" ref="B1184:C1184" si="341">B1183+1</f>
        <v>1183</v>
      </c>
      <c r="C1184" s="17">
        <f t="shared" si="341"/>
        <v>29</v>
      </c>
      <c r="D1184" s="17" t="str">
        <f t="shared" si="303"/>
        <v>20150324</v>
      </c>
      <c r="E1184" s="20" t="str">
        <f t="shared" si="333"/>
        <v>20150324029</v>
      </c>
      <c r="F1184" s="19">
        <v>9</v>
      </c>
      <c r="G1184" s="19">
        <v>4</v>
      </c>
      <c r="H1184" s="19">
        <v>6</v>
      </c>
      <c r="I1184" s="19">
        <v>17</v>
      </c>
      <c r="J1184" s="19">
        <v>3</v>
      </c>
      <c r="K1184" s="19">
        <v>24</v>
      </c>
      <c r="L1184" s="19">
        <v>28</v>
      </c>
      <c r="M1184" s="19">
        <f t="shared" si="302"/>
        <v>91</v>
      </c>
      <c r="N1184" s="27">
        <f t="shared" ref="N1184" si="342">N1183+4</f>
        <v>42087</v>
      </c>
    </row>
    <row r="1185" spans="1:14" x14ac:dyDescent="0.25">
      <c r="A1185" s="15">
        <f t="shared" si="331"/>
        <v>5</v>
      </c>
      <c r="B1185" s="20">
        <f t="shared" ref="B1185:C1185" si="343">B1184+1</f>
        <v>1184</v>
      </c>
      <c r="C1185" s="17">
        <f t="shared" si="343"/>
        <v>30</v>
      </c>
      <c r="D1185" s="17" t="str">
        <f t="shared" si="303"/>
        <v>20150327</v>
      </c>
      <c r="E1185" s="20" t="str">
        <f t="shared" si="333"/>
        <v>20150327030</v>
      </c>
      <c r="F1185" s="19">
        <v>12</v>
      </c>
      <c r="G1185" s="19">
        <v>36</v>
      </c>
      <c r="H1185" s="19">
        <v>24</v>
      </c>
      <c r="I1185" s="19">
        <v>13</v>
      </c>
      <c r="J1185" s="19">
        <v>18</v>
      </c>
      <c r="K1185" s="19">
        <v>15</v>
      </c>
      <c r="L1185" s="19">
        <v>39</v>
      </c>
      <c r="M1185" s="19">
        <f t="shared" si="302"/>
        <v>157</v>
      </c>
      <c r="N1185" s="27">
        <f t="shared" si="335"/>
        <v>42090</v>
      </c>
    </row>
    <row r="1186" spans="1:14" x14ac:dyDescent="0.25">
      <c r="A1186" s="15">
        <f t="shared" si="331"/>
        <v>2</v>
      </c>
      <c r="B1186" s="20">
        <f t="shared" ref="B1186:C1187" si="344">B1185+1</f>
        <v>1185</v>
      </c>
      <c r="C1186" s="17">
        <f t="shared" si="344"/>
        <v>31</v>
      </c>
      <c r="D1186" s="17" t="str">
        <f t="shared" si="303"/>
        <v>20150331</v>
      </c>
      <c r="E1186" s="20" t="str">
        <f t="shared" si="333"/>
        <v>20150331031</v>
      </c>
      <c r="F1186" s="19">
        <v>2</v>
      </c>
      <c r="G1186" s="19">
        <v>32</v>
      </c>
      <c r="H1186" s="19">
        <v>43</v>
      </c>
      <c r="I1186" s="19">
        <v>13</v>
      </c>
      <c r="J1186" s="19">
        <v>25</v>
      </c>
      <c r="K1186" s="19">
        <v>4</v>
      </c>
      <c r="L1186" s="19">
        <v>15</v>
      </c>
      <c r="M1186" s="19">
        <f t="shared" si="302"/>
        <v>134</v>
      </c>
      <c r="N1186" s="27">
        <f t="shared" ref="N1186" si="345">N1185+4</f>
        <v>42094</v>
      </c>
    </row>
    <row r="1187" spans="1:14" x14ac:dyDescent="0.25">
      <c r="A1187" s="15">
        <f t="shared" ref="A1187" si="346">WEEKDAY(N1187,2)</f>
        <v>5</v>
      </c>
      <c r="B1187" s="20">
        <f t="shared" si="344"/>
        <v>1186</v>
      </c>
      <c r="C1187" s="17">
        <f t="shared" si="344"/>
        <v>32</v>
      </c>
      <c r="D1187" s="17" t="str">
        <f t="shared" si="303"/>
        <v>20150403</v>
      </c>
      <c r="E1187" s="20" t="str">
        <f t="shared" si="333"/>
        <v>20150403032</v>
      </c>
      <c r="F1187" s="19">
        <v>36</v>
      </c>
      <c r="G1187" s="19">
        <v>13</v>
      </c>
      <c r="H1187" s="19">
        <v>43</v>
      </c>
      <c r="I1187" s="19">
        <v>32</v>
      </c>
      <c r="J1187" s="19">
        <v>42</v>
      </c>
      <c r="K1187" s="19">
        <v>40</v>
      </c>
      <c r="L1187" s="19">
        <v>41</v>
      </c>
      <c r="M1187" s="19">
        <f t="shared" si="302"/>
        <v>247</v>
      </c>
      <c r="N1187" s="27">
        <f t="shared" si="335"/>
        <v>42097</v>
      </c>
    </row>
    <row r="1188" spans="1:14" x14ac:dyDescent="0.25">
      <c r="A1188" s="15">
        <f t="shared" ref="A1188:A1198" si="347">WEEKDAY(N1188,2)</f>
        <v>2</v>
      </c>
      <c r="B1188" s="20">
        <f t="shared" ref="B1188:C1188" si="348">B1187+1</f>
        <v>1187</v>
      </c>
      <c r="C1188" s="17">
        <f t="shared" si="348"/>
        <v>33</v>
      </c>
      <c r="D1188" s="17" t="str">
        <f t="shared" si="303"/>
        <v>20150407</v>
      </c>
      <c r="E1188" s="20" t="str">
        <f t="shared" si="333"/>
        <v>20150407033</v>
      </c>
      <c r="F1188" s="19">
        <v>17</v>
      </c>
      <c r="G1188" s="19">
        <v>47</v>
      </c>
      <c r="H1188" s="19">
        <v>11</v>
      </c>
      <c r="I1188" s="19">
        <v>45</v>
      </c>
      <c r="J1188" s="19">
        <v>19</v>
      </c>
      <c r="K1188" s="19">
        <v>33</v>
      </c>
      <c r="L1188" s="19">
        <v>4</v>
      </c>
      <c r="M1188" s="19">
        <f t="shared" si="302"/>
        <v>176</v>
      </c>
      <c r="N1188" s="27">
        <f t="shared" ref="N1188" si="349">N1187+4</f>
        <v>42101</v>
      </c>
    </row>
    <row r="1189" spans="1:14" x14ac:dyDescent="0.25">
      <c r="A1189" s="15">
        <f t="shared" si="347"/>
        <v>5</v>
      </c>
      <c r="B1189" s="20">
        <f t="shared" ref="B1189:C1189" si="350">B1188+1</f>
        <v>1188</v>
      </c>
      <c r="C1189" s="17">
        <f t="shared" si="350"/>
        <v>34</v>
      </c>
      <c r="D1189" s="17" t="str">
        <f t="shared" si="303"/>
        <v>20150410</v>
      </c>
      <c r="E1189" s="20" t="str">
        <f t="shared" si="333"/>
        <v>20150410034</v>
      </c>
      <c r="F1189" s="19">
        <v>44</v>
      </c>
      <c r="G1189" s="19">
        <v>17</v>
      </c>
      <c r="H1189" s="19">
        <v>10</v>
      </c>
      <c r="I1189" s="19">
        <v>11</v>
      </c>
      <c r="J1189" s="19">
        <v>42</v>
      </c>
      <c r="K1189" s="19">
        <v>20</v>
      </c>
      <c r="L1189" s="19">
        <v>13</v>
      </c>
      <c r="M1189" s="19">
        <f t="shared" si="302"/>
        <v>157</v>
      </c>
      <c r="N1189" s="27">
        <f t="shared" si="335"/>
        <v>42104</v>
      </c>
    </row>
    <row r="1190" spans="1:14" x14ac:dyDescent="0.25">
      <c r="A1190" s="15">
        <f t="shared" si="347"/>
        <v>2</v>
      </c>
      <c r="B1190" s="20">
        <f t="shared" ref="B1190:C1190" si="351">B1189+1</f>
        <v>1189</v>
      </c>
      <c r="C1190" s="17">
        <f t="shared" si="351"/>
        <v>35</v>
      </c>
      <c r="D1190" s="17" t="str">
        <f t="shared" si="303"/>
        <v>20150414</v>
      </c>
      <c r="E1190" s="20" t="str">
        <f t="shared" si="333"/>
        <v>20150414035</v>
      </c>
      <c r="F1190" s="19">
        <v>38</v>
      </c>
      <c r="G1190" s="19">
        <v>1</v>
      </c>
      <c r="H1190" s="19">
        <v>48</v>
      </c>
      <c r="I1190" s="19">
        <v>49</v>
      </c>
      <c r="J1190" s="19">
        <v>23</v>
      </c>
      <c r="K1190" s="19">
        <v>22</v>
      </c>
      <c r="L1190" s="19">
        <v>11</v>
      </c>
      <c r="M1190" s="19">
        <f t="shared" si="302"/>
        <v>192</v>
      </c>
      <c r="N1190" s="27">
        <f t="shared" ref="N1190" si="352">N1189+4</f>
        <v>42108</v>
      </c>
    </row>
    <row r="1191" spans="1:14" x14ac:dyDescent="0.25">
      <c r="A1191" s="15">
        <f t="shared" si="347"/>
        <v>5</v>
      </c>
      <c r="B1191" s="20">
        <f t="shared" ref="B1191:C1191" si="353">B1190+1</f>
        <v>1190</v>
      </c>
      <c r="C1191" s="17">
        <f t="shared" si="353"/>
        <v>36</v>
      </c>
      <c r="D1191" s="17" t="str">
        <f t="shared" si="303"/>
        <v>20150417</v>
      </c>
      <c r="E1191" s="20" t="str">
        <f t="shared" si="333"/>
        <v>20150417036</v>
      </c>
      <c r="F1191" s="19">
        <v>47</v>
      </c>
      <c r="G1191" s="19">
        <v>45</v>
      </c>
      <c r="H1191" s="19">
        <v>26</v>
      </c>
      <c r="I1191" s="19">
        <v>36</v>
      </c>
      <c r="J1191" s="19">
        <v>33</v>
      </c>
      <c r="K1191" s="19">
        <v>32</v>
      </c>
      <c r="L1191" s="19">
        <v>39</v>
      </c>
      <c r="M1191" s="19">
        <f t="shared" si="302"/>
        <v>258</v>
      </c>
      <c r="N1191" s="27">
        <f t="shared" si="335"/>
        <v>42111</v>
      </c>
    </row>
    <row r="1192" spans="1:14" x14ac:dyDescent="0.25">
      <c r="A1192" s="15">
        <f t="shared" si="347"/>
        <v>2</v>
      </c>
      <c r="B1192" s="20">
        <f t="shared" ref="B1192:C1192" si="354">B1191+1</f>
        <v>1191</v>
      </c>
      <c r="C1192" s="17">
        <f t="shared" si="354"/>
        <v>37</v>
      </c>
      <c r="D1192" s="17" t="str">
        <f t="shared" si="303"/>
        <v>20150421</v>
      </c>
      <c r="E1192" s="20" t="str">
        <f t="shared" si="333"/>
        <v>20150421037</v>
      </c>
      <c r="F1192" s="19">
        <v>1</v>
      </c>
      <c r="G1192" s="19">
        <v>22</v>
      </c>
      <c r="H1192" s="19">
        <v>3</v>
      </c>
      <c r="I1192" s="19">
        <v>33</v>
      </c>
      <c r="J1192" s="19">
        <v>29</v>
      </c>
      <c r="K1192" s="19">
        <v>11</v>
      </c>
      <c r="L1192" s="19">
        <v>30</v>
      </c>
      <c r="M1192" s="19">
        <f t="shared" si="302"/>
        <v>129</v>
      </c>
      <c r="N1192" s="27">
        <f t="shared" ref="N1192" si="355">N1191+4</f>
        <v>42115</v>
      </c>
    </row>
    <row r="1193" spans="1:14" x14ac:dyDescent="0.25">
      <c r="A1193" s="15">
        <f t="shared" si="347"/>
        <v>5</v>
      </c>
      <c r="B1193" s="20">
        <f t="shared" ref="B1193:C1193" si="356">B1192+1</f>
        <v>1192</v>
      </c>
      <c r="C1193" s="17">
        <f t="shared" si="356"/>
        <v>38</v>
      </c>
      <c r="D1193" s="17" t="str">
        <f t="shared" si="303"/>
        <v>20150424</v>
      </c>
      <c r="E1193" s="20" t="str">
        <f t="shared" si="333"/>
        <v>20150424038</v>
      </c>
      <c r="F1193" s="19">
        <v>13</v>
      </c>
      <c r="G1193" s="19">
        <v>25</v>
      </c>
      <c r="H1193" s="19">
        <v>41</v>
      </c>
      <c r="I1193" s="19">
        <v>46</v>
      </c>
      <c r="J1193" s="19">
        <v>35</v>
      </c>
      <c r="K1193" s="19">
        <v>31</v>
      </c>
      <c r="L1193" s="19">
        <v>49</v>
      </c>
      <c r="M1193" s="19">
        <f t="shared" si="302"/>
        <v>240</v>
      </c>
      <c r="N1193" s="27">
        <f t="shared" si="335"/>
        <v>42118</v>
      </c>
    </row>
    <row r="1194" spans="1:14" x14ac:dyDescent="0.25">
      <c r="A1194" s="15">
        <f t="shared" si="347"/>
        <v>2</v>
      </c>
      <c r="B1194" s="20">
        <f t="shared" ref="B1194:C1194" si="357">B1193+1</f>
        <v>1193</v>
      </c>
      <c r="C1194" s="17">
        <f t="shared" si="357"/>
        <v>39</v>
      </c>
      <c r="D1194" s="17" t="str">
        <f t="shared" si="303"/>
        <v>20150428</v>
      </c>
      <c r="E1194" s="20" t="str">
        <f t="shared" si="333"/>
        <v>20150428039</v>
      </c>
      <c r="F1194" s="19">
        <v>3</v>
      </c>
      <c r="G1194" s="19">
        <v>44</v>
      </c>
      <c r="H1194" s="19">
        <v>36</v>
      </c>
      <c r="I1194" s="19">
        <v>26</v>
      </c>
      <c r="J1194" s="19">
        <v>12</v>
      </c>
      <c r="K1194" s="19">
        <v>5</v>
      </c>
      <c r="L1194" s="19">
        <v>23</v>
      </c>
      <c r="M1194" s="19">
        <f t="shared" si="302"/>
        <v>149</v>
      </c>
      <c r="N1194" s="27">
        <f t="shared" ref="N1194" si="358">N1193+4</f>
        <v>42122</v>
      </c>
    </row>
    <row r="1195" spans="1:14" x14ac:dyDescent="0.25">
      <c r="A1195" s="15">
        <f t="shared" si="347"/>
        <v>5</v>
      </c>
      <c r="B1195" s="20">
        <f t="shared" ref="B1195:C1195" si="359">B1194+1</f>
        <v>1194</v>
      </c>
      <c r="C1195" s="17">
        <f t="shared" si="359"/>
        <v>40</v>
      </c>
      <c r="D1195" s="17" t="str">
        <f t="shared" si="303"/>
        <v>20150501</v>
      </c>
      <c r="E1195" s="20" t="str">
        <f t="shared" si="333"/>
        <v>20150501040</v>
      </c>
      <c r="F1195" s="19">
        <v>15</v>
      </c>
      <c r="G1195" s="19">
        <v>49</v>
      </c>
      <c r="H1195" s="19">
        <v>25</v>
      </c>
      <c r="I1195" s="19">
        <v>29</v>
      </c>
      <c r="J1195" s="19">
        <v>47</v>
      </c>
      <c r="K1195" s="19">
        <v>8</v>
      </c>
      <c r="L1195" s="19">
        <v>9</v>
      </c>
      <c r="M1195" s="19">
        <f t="shared" si="302"/>
        <v>182</v>
      </c>
      <c r="N1195" s="27">
        <f t="shared" si="335"/>
        <v>42125</v>
      </c>
    </row>
    <row r="1196" spans="1:14" x14ac:dyDescent="0.25">
      <c r="A1196" s="15">
        <f t="shared" si="347"/>
        <v>2</v>
      </c>
      <c r="B1196" s="20">
        <f t="shared" ref="B1196:C1196" si="360">B1195+1</f>
        <v>1195</v>
      </c>
      <c r="C1196" s="17">
        <f t="shared" si="360"/>
        <v>41</v>
      </c>
      <c r="D1196" s="17" t="str">
        <f t="shared" si="303"/>
        <v>20150505</v>
      </c>
      <c r="E1196" s="20" t="str">
        <f t="shared" si="333"/>
        <v>20150505041</v>
      </c>
      <c r="F1196" s="19">
        <v>44</v>
      </c>
      <c r="G1196" s="19">
        <v>41</v>
      </c>
      <c r="H1196" s="19">
        <v>28</v>
      </c>
      <c r="I1196" s="19">
        <v>42</v>
      </c>
      <c r="J1196" s="19">
        <v>49</v>
      </c>
      <c r="K1196" s="19">
        <v>8</v>
      </c>
      <c r="L1196" s="19">
        <v>30</v>
      </c>
      <c r="M1196" s="19">
        <f t="shared" si="302"/>
        <v>242</v>
      </c>
      <c r="N1196" s="27">
        <f t="shared" ref="N1196" si="361">N1195+4</f>
        <v>42129</v>
      </c>
    </row>
    <row r="1197" spans="1:14" x14ac:dyDescent="0.25">
      <c r="A1197" s="15">
        <f t="shared" si="347"/>
        <v>5</v>
      </c>
      <c r="B1197" s="20">
        <f t="shared" ref="B1197:C1197" si="362">B1196+1</f>
        <v>1196</v>
      </c>
      <c r="C1197" s="17">
        <f t="shared" si="362"/>
        <v>42</v>
      </c>
      <c r="D1197" s="17" t="str">
        <f t="shared" si="303"/>
        <v>20150508</v>
      </c>
      <c r="E1197" s="20" t="str">
        <f t="shared" si="333"/>
        <v>20150508042</v>
      </c>
      <c r="F1197" s="19">
        <v>44</v>
      </c>
      <c r="G1197" s="19">
        <v>15</v>
      </c>
      <c r="H1197" s="19">
        <v>2</v>
      </c>
      <c r="I1197" s="19">
        <v>28</v>
      </c>
      <c r="J1197" s="19">
        <v>10</v>
      </c>
      <c r="K1197" s="19">
        <v>49</v>
      </c>
      <c r="L1197" s="19">
        <v>39</v>
      </c>
      <c r="M1197" s="19">
        <f t="shared" si="302"/>
        <v>187</v>
      </c>
      <c r="N1197" s="27">
        <f t="shared" si="335"/>
        <v>42132</v>
      </c>
    </row>
    <row r="1198" spans="1:14" x14ac:dyDescent="0.25">
      <c r="A1198" s="15">
        <f t="shared" si="347"/>
        <v>2</v>
      </c>
      <c r="B1198" s="20">
        <f t="shared" ref="B1198:C1198" si="363">B1197+1</f>
        <v>1197</v>
      </c>
      <c r="C1198" s="17">
        <f t="shared" si="363"/>
        <v>43</v>
      </c>
      <c r="D1198" s="17" t="str">
        <f t="shared" si="303"/>
        <v>20150512</v>
      </c>
      <c r="E1198" s="20" t="str">
        <f t="shared" si="333"/>
        <v>20150512043</v>
      </c>
      <c r="F1198" s="19">
        <v>1</v>
      </c>
      <c r="G1198" s="19">
        <v>23</v>
      </c>
      <c r="H1198" s="19">
        <v>29</v>
      </c>
      <c r="I1198" s="19">
        <v>31</v>
      </c>
      <c r="J1198" s="19">
        <v>13</v>
      </c>
      <c r="K1198" s="19">
        <v>33</v>
      </c>
      <c r="L1198" s="19">
        <v>17</v>
      </c>
      <c r="M1198" s="19">
        <f t="shared" si="302"/>
        <v>147</v>
      </c>
      <c r="N1198" s="27">
        <f t="shared" ref="N1198" si="364">N1197+4</f>
        <v>42136</v>
      </c>
    </row>
    <row r="1199" spans="1:14" x14ac:dyDescent="0.25">
      <c r="A1199" s="15">
        <f t="shared" ref="A1199:A1201" si="365">WEEKDAY(N1199,2)</f>
        <v>5</v>
      </c>
      <c r="B1199" s="20">
        <f t="shared" ref="B1199:C1199" si="366">B1198+1</f>
        <v>1198</v>
      </c>
      <c r="C1199" s="17">
        <f t="shared" si="366"/>
        <v>44</v>
      </c>
      <c r="D1199" s="17" t="str">
        <f t="shared" si="303"/>
        <v>20150515</v>
      </c>
      <c r="E1199" s="20" t="str">
        <f t="shared" si="333"/>
        <v>20150515044</v>
      </c>
      <c r="F1199" s="19">
        <v>27</v>
      </c>
      <c r="G1199" s="19">
        <v>32</v>
      </c>
      <c r="H1199" s="19">
        <v>18</v>
      </c>
      <c r="I1199" s="19">
        <v>6</v>
      </c>
      <c r="J1199" s="19">
        <v>29</v>
      </c>
      <c r="K1199" s="19">
        <v>3</v>
      </c>
      <c r="L1199" s="19">
        <v>40</v>
      </c>
      <c r="M1199" s="19">
        <f t="shared" si="302"/>
        <v>155</v>
      </c>
      <c r="N1199" s="27">
        <f t="shared" si="335"/>
        <v>42139</v>
      </c>
    </row>
    <row r="1200" spans="1:14" x14ac:dyDescent="0.25">
      <c r="A1200" s="15">
        <f t="shared" si="365"/>
        <v>2</v>
      </c>
      <c r="B1200" s="20">
        <f t="shared" ref="B1200:C1200" si="367">B1199+1</f>
        <v>1199</v>
      </c>
      <c r="C1200" s="17">
        <f t="shared" si="367"/>
        <v>45</v>
      </c>
      <c r="D1200" s="17" t="str">
        <f t="shared" si="303"/>
        <v>20150519</v>
      </c>
      <c r="E1200" s="20" t="str">
        <f t="shared" si="333"/>
        <v>20150519045</v>
      </c>
      <c r="F1200" s="19">
        <v>15</v>
      </c>
      <c r="G1200" s="19">
        <v>16</v>
      </c>
      <c r="H1200" s="19">
        <v>29</v>
      </c>
      <c r="I1200" s="19">
        <v>39</v>
      </c>
      <c r="J1200" s="19">
        <v>42</v>
      </c>
      <c r="K1200" s="19">
        <v>46</v>
      </c>
      <c r="L1200" s="19">
        <v>14</v>
      </c>
      <c r="M1200" s="19">
        <f t="shared" si="302"/>
        <v>201</v>
      </c>
      <c r="N1200" s="27">
        <f t="shared" ref="N1200" si="368">N1199+4</f>
        <v>42143</v>
      </c>
    </row>
    <row r="1201" spans="1:14" x14ac:dyDescent="0.25">
      <c r="A1201" s="15">
        <f t="shared" si="365"/>
        <v>5</v>
      </c>
      <c r="B1201" s="20">
        <f t="shared" ref="B1201:C1201" si="369">B1200+1</f>
        <v>1200</v>
      </c>
      <c r="C1201" s="17">
        <f t="shared" si="369"/>
        <v>46</v>
      </c>
      <c r="D1201" s="17" t="str">
        <f t="shared" si="303"/>
        <v>20150522</v>
      </c>
      <c r="E1201" s="20" t="str">
        <f t="shared" si="333"/>
        <v>20150522046</v>
      </c>
      <c r="F1201" s="19">
        <v>23</v>
      </c>
      <c r="G1201" s="19">
        <v>3</v>
      </c>
      <c r="H1201" s="19">
        <v>43</v>
      </c>
      <c r="I1201" s="19">
        <v>28</v>
      </c>
      <c r="J1201" s="19">
        <v>37</v>
      </c>
      <c r="K1201" s="19">
        <v>21</v>
      </c>
      <c r="L1201" s="19">
        <v>5</v>
      </c>
      <c r="M1201" s="19">
        <f t="shared" si="302"/>
        <v>160</v>
      </c>
      <c r="N1201" s="27">
        <f t="shared" si="335"/>
        <v>42146</v>
      </c>
    </row>
    <row r="1202" spans="1:14" x14ac:dyDescent="0.25">
      <c r="A1202" s="15">
        <f t="shared" ref="A1202:A1203" si="370">WEEKDAY(N1202,2)</f>
        <v>2</v>
      </c>
      <c r="B1202" s="20">
        <f t="shared" ref="B1202:C1202" si="371">B1201+1</f>
        <v>1201</v>
      </c>
      <c r="C1202" s="17">
        <f t="shared" si="371"/>
        <v>47</v>
      </c>
      <c r="D1202" s="17" t="str">
        <f t="shared" si="303"/>
        <v>20150526</v>
      </c>
      <c r="E1202" s="20" t="str">
        <f t="shared" ref="E1202:E1203" si="372">CONCATENATE(D1202,TEXT(C1202,"000"))</f>
        <v>20150526047</v>
      </c>
      <c r="F1202" s="19">
        <v>10</v>
      </c>
      <c r="G1202" s="19">
        <v>26</v>
      </c>
      <c r="H1202" s="19">
        <v>45</v>
      </c>
      <c r="I1202" s="19">
        <v>11</v>
      </c>
      <c r="J1202" s="19">
        <v>2</v>
      </c>
      <c r="K1202" s="19">
        <v>20</v>
      </c>
      <c r="L1202" s="19">
        <v>30</v>
      </c>
      <c r="M1202" s="19">
        <f t="shared" si="302"/>
        <v>144</v>
      </c>
      <c r="N1202" s="27">
        <f t="shared" ref="N1202" si="373">N1201+4</f>
        <v>42150</v>
      </c>
    </row>
    <row r="1203" spans="1:14" x14ac:dyDescent="0.25">
      <c r="A1203" s="15">
        <f t="shared" si="370"/>
        <v>5</v>
      </c>
      <c r="B1203" s="20">
        <f t="shared" ref="B1203:C1203" si="374">B1202+1</f>
        <v>1202</v>
      </c>
      <c r="C1203" s="17">
        <f t="shared" si="374"/>
        <v>48</v>
      </c>
      <c r="D1203" s="17" t="str">
        <f t="shared" si="303"/>
        <v>20150529</v>
      </c>
      <c r="E1203" s="20" t="str">
        <f t="shared" si="372"/>
        <v>20150529048</v>
      </c>
      <c r="F1203" s="19">
        <v>2</v>
      </c>
      <c r="G1203" s="19">
        <v>34</v>
      </c>
      <c r="H1203" s="19">
        <v>32</v>
      </c>
      <c r="I1203" s="19">
        <v>11</v>
      </c>
      <c r="J1203" s="19">
        <v>28</v>
      </c>
      <c r="K1203" s="19">
        <v>5</v>
      </c>
      <c r="L1203" s="19">
        <v>24</v>
      </c>
      <c r="M1203" s="19">
        <f t="shared" si="302"/>
        <v>136</v>
      </c>
      <c r="N1203" s="27">
        <f t="shared" si="335"/>
        <v>42153</v>
      </c>
    </row>
    <row r="1204" spans="1:14" x14ac:dyDescent="0.25">
      <c r="A1204" s="15">
        <f t="shared" ref="A1204:A1205" si="375">WEEKDAY(N1204,2)</f>
        <v>2</v>
      </c>
      <c r="B1204" s="20">
        <f t="shared" ref="B1204:C1204" si="376">B1203+1</f>
        <v>1203</v>
      </c>
      <c r="C1204" s="17">
        <f t="shared" si="376"/>
        <v>49</v>
      </c>
      <c r="D1204" s="17" t="str">
        <f t="shared" si="303"/>
        <v>20150602</v>
      </c>
      <c r="E1204" s="20" t="str">
        <f t="shared" ref="E1204:E1207" si="377">CONCATENATE(D1204,TEXT(C1204,"000"))</f>
        <v>20150602049</v>
      </c>
      <c r="F1204" s="19">
        <v>7</v>
      </c>
      <c r="G1204" s="19">
        <v>1</v>
      </c>
      <c r="H1204" s="19">
        <v>20</v>
      </c>
      <c r="I1204" s="19">
        <v>19</v>
      </c>
      <c r="J1204" s="19">
        <v>46</v>
      </c>
      <c r="K1204" s="19">
        <v>47</v>
      </c>
      <c r="L1204" s="19">
        <v>13</v>
      </c>
      <c r="M1204" s="19">
        <f t="shared" si="302"/>
        <v>153</v>
      </c>
      <c r="N1204" s="27">
        <f t="shared" ref="N1204" si="378">N1203+4</f>
        <v>42157</v>
      </c>
    </row>
    <row r="1205" spans="1:14" x14ac:dyDescent="0.25">
      <c r="A1205" s="15">
        <f t="shared" si="375"/>
        <v>5</v>
      </c>
      <c r="B1205" s="20">
        <f t="shared" ref="B1205:C1205" si="379">B1204+1</f>
        <v>1204</v>
      </c>
      <c r="C1205" s="17">
        <f t="shared" si="379"/>
        <v>50</v>
      </c>
      <c r="D1205" s="17" t="str">
        <f t="shared" si="303"/>
        <v>20150605</v>
      </c>
      <c r="E1205" s="20" t="str">
        <f t="shared" si="377"/>
        <v>20150605050</v>
      </c>
      <c r="F1205" s="19">
        <v>41</v>
      </c>
      <c r="G1205" s="19">
        <v>8</v>
      </c>
      <c r="H1205" s="19">
        <v>48</v>
      </c>
      <c r="I1205" s="19">
        <v>32</v>
      </c>
      <c r="J1205" s="19">
        <v>21</v>
      </c>
      <c r="K1205" s="19">
        <v>35</v>
      </c>
      <c r="L1205" s="19">
        <v>34</v>
      </c>
      <c r="M1205" s="19">
        <f t="shared" si="302"/>
        <v>219</v>
      </c>
      <c r="N1205" s="27">
        <f t="shared" si="335"/>
        <v>42160</v>
      </c>
    </row>
    <row r="1206" spans="1:14" x14ac:dyDescent="0.25">
      <c r="A1206" s="15">
        <f t="shared" ref="A1206:A1207" si="380">WEEKDAY(N1206,2)</f>
        <v>2</v>
      </c>
      <c r="B1206" s="20">
        <f t="shared" ref="B1206:C1206" si="381">B1205+1</f>
        <v>1205</v>
      </c>
      <c r="C1206" s="17">
        <f t="shared" si="381"/>
        <v>51</v>
      </c>
      <c r="D1206" s="17" t="str">
        <f t="shared" si="303"/>
        <v>20150609</v>
      </c>
      <c r="E1206" s="20" t="str">
        <f t="shared" si="377"/>
        <v>20150609051</v>
      </c>
      <c r="F1206" s="19">
        <v>37</v>
      </c>
      <c r="G1206" s="19">
        <v>3</v>
      </c>
      <c r="H1206" s="19">
        <v>20</v>
      </c>
      <c r="I1206" s="19">
        <v>27</v>
      </c>
      <c r="J1206" s="19">
        <v>44</v>
      </c>
      <c r="K1206" s="19">
        <v>34</v>
      </c>
      <c r="L1206" s="19">
        <v>12</v>
      </c>
      <c r="M1206" s="19">
        <f t="shared" si="302"/>
        <v>177</v>
      </c>
      <c r="N1206" s="27">
        <f t="shared" ref="N1206" si="382">N1205+4</f>
        <v>42164</v>
      </c>
    </row>
    <row r="1207" spans="1:14" x14ac:dyDescent="0.25">
      <c r="A1207" s="15">
        <f t="shared" si="380"/>
        <v>5</v>
      </c>
      <c r="B1207" s="20">
        <f t="shared" ref="B1207:C1207" si="383">B1206+1</f>
        <v>1206</v>
      </c>
      <c r="C1207" s="17">
        <f t="shared" si="383"/>
        <v>52</v>
      </c>
      <c r="D1207" s="17" t="str">
        <f t="shared" si="303"/>
        <v>20150612</v>
      </c>
      <c r="E1207" s="20" t="str">
        <f t="shared" si="377"/>
        <v>20150612052</v>
      </c>
      <c r="F1207" s="19">
        <v>28</v>
      </c>
      <c r="G1207" s="19">
        <v>8</v>
      </c>
      <c r="H1207" s="19">
        <v>24</v>
      </c>
      <c r="I1207" s="19">
        <v>22</v>
      </c>
      <c r="J1207" s="19">
        <v>19</v>
      </c>
      <c r="K1207" s="19">
        <v>26</v>
      </c>
      <c r="L1207" s="19">
        <v>18</v>
      </c>
      <c r="M1207" s="19">
        <f t="shared" si="302"/>
        <v>145</v>
      </c>
      <c r="N1207" s="27">
        <f t="shared" si="335"/>
        <v>42167</v>
      </c>
    </row>
    <row r="1208" spans="1:14" x14ac:dyDescent="0.25">
      <c r="A1208" s="15">
        <f t="shared" ref="A1208:A1224" si="384">WEEKDAY(N1208,2)</f>
        <v>2</v>
      </c>
      <c r="B1208" s="20">
        <f t="shared" ref="B1208:C1208" si="385">B1207+1</f>
        <v>1207</v>
      </c>
      <c r="C1208" s="17">
        <f t="shared" si="385"/>
        <v>53</v>
      </c>
      <c r="D1208" s="17" t="str">
        <f t="shared" si="303"/>
        <v>20150616</v>
      </c>
      <c r="E1208" s="20" t="str">
        <f t="shared" ref="E1208:E1232" si="386">CONCATENATE(D1208,TEXT(C1208,"000"))</f>
        <v>20150616053</v>
      </c>
      <c r="F1208" s="19">
        <v>35</v>
      </c>
      <c r="G1208" s="19">
        <v>41</v>
      </c>
      <c r="H1208" s="19">
        <v>4</v>
      </c>
      <c r="I1208" s="19">
        <v>25</v>
      </c>
      <c r="J1208" s="19">
        <v>3</v>
      </c>
      <c r="K1208" s="19">
        <v>45</v>
      </c>
      <c r="L1208" s="19">
        <v>7</v>
      </c>
      <c r="M1208" s="19">
        <f t="shared" si="302"/>
        <v>160</v>
      </c>
      <c r="N1208" s="27">
        <f t="shared" ref="N1208" si="387">N1207+4</f>
        <v>42171</v>
      </c>
    </row>
    <row r="1209" spans="1:14" x14ac:dyDescent="0.25">
      <c r="A1209" s="15">
        <f t="shared" si="384"/>
        <v>5</v>
      </c>
      <c r="B1209" s="20">
        <f t="shared" ref="B1209:C1209" si="388">B1208+1</f>
        <v>1208</v>
      </c>
      <c r="C1209" s="17">
        <f t="shared" si="388"/>
        <v>54</v>
      </c>
      <c r="D1209" s="17" t="str">
        <f t="shared" si="303"/>
        <v>20150619</v>
      </c>
      <c r="E1209" s="20" t="str">
        <f t="shared" si="386"/>
        <v>20150619054</v>
      </c>
      <c r="F1209" s="19">
        <v>18</v>
      </c>
      <c r="G1209" s="19">
        <v>11</v>
      </c>
      <c r="H1209" s="19">
        <v>5</v>
      </c>
      <c r="I1209" s="19">
        <v>25</v>
      </c>
      <c r="J1209" s="19">
        <v>38</v>
      </c>
      <c r="K1209" s="19">
        <v>3</v>
      </c>
      <c r="L1209" s="19">
        <v>15</v>
      </c>
      <c r="M1209" s="19">
        <f t="shared" si="302"/>
        <v>115</v>
      </c>
      <c r="N1209" s="27">
        <f t="shared" si="335"/>
        <v>42174</v>
      </c>
    </row>
    <row r="1210" spans="1:14" x14ac:dyDescent="0.25">
      <c r="A1210" s="15">
        <f t="shared" si="384"/>
        <v>2</v>
      </c>
      <c r="B1210" s="20">
        <f t="shared" ref="B1210:C1210" si="389">B1209+1</f>
        <v>1209</v>
      </c>
      <c r="C1210" s="17">
        <f t="shared" si="389"/>
        <v>55</v>
      </c>
      <c r="D1210" s="17" t="str">
        <f t="shared" si="303"/>
        <v>20150623</v>
      </c>
      <c r="E1210" s="20" t="str">
        <f t="shared" si="386"/>
        <v>20150623055</v>
      </c>
      <c r="F1210" s="19">
        <v>45</v>
      </c>
      <c r="G1210" s="19">
        <v>2</v>
      </c>
      <c r="H1210" s="19">
        <v>13</v>
      </c>
      <c r="I1210" s="19">
        <v>35</v>
      </c>
      <c r="J1210" s="19">
        <v>33</v>
      </c>
      <c r="K1210" s="19">
        <v>43</v>
      </c>
      <c r="L1210" s="19">
        <v>5</v>
      </c>
      <c r="M1210" s="19">
        <f t="shared" si="302"/>
        <v>176</v>
      </c>
      <c r="N1210" s="27">
        <f t="shared" ref="N1210" si="390">N1209+4</f>
        <v>42178</v>
      </c>
    </row>
    <row r="1211" spans="1:14" x14ac:dyDescent="0.25">
      <c r="A1211" s="15">
        <f t="shared" si="384"/>
        <v>5</v>
      </c>
      <c r="B1211" s="20">
        <f t="shared" ref="B1211:C1211" si="391">B1210+1</f>
        <v>1210</v>
      </c>
      <c r="C1211" s="17">
        <f t="shared" si="391"/>
        <v>56</v>
      </c>
      <c r="D1211" s="17" t="str">
        <f t="shared" si="303"/>
        <v>20150626</v>
      </c>
      <c r="E1211" s="20" t="str">
        <f t="shared" si="386"/>
        <v>20150626056</v>
      </c>
      <c r="F1211" s="19">
        <v>6</v>
      </c>
      <c r="G1211" s="19">
        <v>12</v>
      </c>
      <c r="H1211" s="19">
        <v>5</v>
      </c>
      <c r="I1211" s="19">
        <v>41</v>
      </c>
      <c r="J1211" s="19">
        <v>29</v>
      </c>
      <c r="K1211" s="19">
        <v>28</v>
      </c>
      <c r="L1211" s="19">
        <v>7</v>
      </c>
      <c r="M1211" s="19">
        <f t="shared" si="302"/>
        <v>128</v>
      </c>
      <c r="N1211" s="27">
        <f t="shared" si="335"/>
        <v>42181</v>
      </c>
    </row>
    <row r="1212" spans="1:14" x14ac:dyDescent="0.25">
      <c r="A1212" s="15">
        <f t="shared" si="384"/>
        <v>2</v>
      </c>
      <c r="B1212" s="20">
        <f t="shared" ref="B1212:C1212" si="392">B1211+1</f>
        <v>1211</v>
      </c>
      <c r="C1212" s="17">
        <f t="shared" si="392"/>
        <v>57</v>
      </c>
      <c r="D1212" s="17" t="str">
        <f t="shared" si="303"/>
        <v>20150630</v>
      </c>
      <c r="E1212" s="20" t="str">
        <f t="shared" si="386"/>
        <v>20150630057</v>
      </c>
      <c r="F1212" s="19">
        <v>18</v>
      </c>
      <c r="G1212" s="19">
        <v>35</v>
      </c>
      <c r="H1212" s="19">
        <v>19</v>
      </c>
      <c r="I1212" s="19">
        <v>48</v>
      </c>
      <c r="J1212" s="19">
        <v>46</v>
      </c>
      <c r="K1212" s="19">
        <v>32</v>
      </c>
      <c r="L1212" s="19">
        <v>47</v>
      </c>
      <c r="M1212" s="19">
        <f t="shared" si="302"/>
        <v>245</v>
      </c>
      <c r="N1212" s="27">
        <f t="shared" ref="N1212" si="393">N1211+4</f>
        <v>42185</v>
      </c>
    </row>
    <row r="1213" spans="1:14" x14ac:dyDescent="0.25">
      <c r="A1213" s="15">
        <f t="shared" si="384"/>
        <v>5</v>
      </c>
      <c r="B1213" s="20">
        <f t="shared" ref="B1213:C1213" si="394">B1212+1</f>
        <v>1212</v>
      </c>
      <c r="C1213" s="17">
        <f t="shared" si="394"/>
        <v>58</v>
      </c>
      <c r="D1213" s="17" t="str">
        <f t="shared" si="303"/>
        <v>20150703</v>
      </c>
      <c r="E1213" s="20" t="str">
        <f t="shared" si="386"/>
        <v>20150703058</v>
      </c>
      <c r="F1213" s="19">
        <v>21</v>
      </c>
      <c r="G1213" s="19">
        <v>23</v>
      </c>
      <c r="H1213" s="19">
        <v>29</v>
      </c>
      <c r="I1213" s="19">
        <v>41</v>
      </c>
      <c r="J1213" s="19">
        <v>46</v>
      </c>
      <c r="K1213" s="19">
        <v>28</v>
      </c>
      <c r="L1213" s="19">
        <v>24</v>
      </c>
      <c r="M1213" s="19">
        <f t="shared" si="302"/>
        <v>212</v>
      </c>
      <c r="N1213" s="27">
        <f t="shared" si="335"/>
        <v>42188</v>
      </c>
    </row>
    <row r="1214" spans="1:14" x14ac:dyDescent="0.25">
      <c r="A1214" s="15">
        <f t="shared" si="384"/>
        <v>2</v>
      </c>
      <c r="B1214" s="20">
        <f t="shared" ref="B1214:C1214" si="395">B1213+1</f>
        <v>1213</v>
      </c>
      <c r="C1214" s="17">
        <f t="shared" si="395"/>
        <v>59</v>
      </c>
      <c r="D1214" s="17" t="str">
        <f t="shared" si="303"/>
        <v>20150707</v>
      </c>
      <c r="E1214" s="20" t="str">
        <f t="shared" si="386"/>
        <v>20150707059</v>
      </c>
      <c r="F1214" s="19">
        <v>46</v>
      </c>
      <c r="G1214" s="19">
        <v>33</v>
      </c>
      <c r="H1214" s="19">
        <v>1</v>
      </c>
      <c r="I1214" s="19">
        <v>27</v>
      </c>
      <c r="J1214" s="19">
        <v>14</v>
      </c>
      <c r="K1214" s="19">
        <v>42</v>
      </c>
      <c r="L1214" s="19">
        <v>41</v>
      </c>
      <c r="M1214" s="19">
        <f t="shared" si="302"/>
        <v>204</v>
      </c>
      <c r="N1214" s="27">
        <f t="shared" ref="N1214" si="396">N1213+4</f>
        <v>42192</v>
      </c>
    </row>
    <row r="1215" spans="1:14" x14ac:dyDescent="0.25">
      <c r="A1215" s="15">
        <f t="shared" si="384"/>
        <v>5</v>
      </c>
      <c r="B1215" s="20">
        <f t="shared" ref="B1215:C1215" si="397">B1214+1</f>
        <v>1214</v>
      </c>
      <c r="C1215" s="17">
        <f t="shared" si="397"/>
        <v>60</v>
      </c>
      <c r="D1215" s="17" t="str">
        <f t="shared" si="303"/>
        <v>20150710</v>
      </c>
      <c r="E1215" s="20" t="str">
        <f t="shared" si="386"/>
        <v>20150710060</v>
      </c>
      <c r="F1215" s="19">
        <v>6</v>
      </c>
      <c r="G1215" s="19">
        <v>5</v>
      </c>
      <c r="H1215" s="19">
        <v>26</v>
      </c>
      <c r="I1215" s="19">
        <v>13</v>
      </c>
      <c r="J1215" s="19">
        <v>47</v>
      </c>
      <c r="K1215" s="19">
        <v>29</v>
      </c>
      <c r="L1215" s="19">
        <v>33</v>
      </c>
      <c r="M1215" s="19">
        <f t="shared" si="302"/>
        <v>159</v>
      </c>
      <c r="N1215" s="27">
        <f t="shared" si="335"/>
        <v>42195</v>
      </c>
    </row>
    <row r="1216" spans="1:14" x14ac:dyDescent="0.25">
      <c r="A1216" s="15">
        <f t="shared" si="384"/>
        <v>2</v>
      </c>
      <c r="B1216" s="20">
        <f t="shared" ref="B1216:C1216" si="398">B1215+1</f>
        <v>1215</v>
      </c>
      <c r="C1216" s="17">
        <f t="shared" si="398"/>
        <v>61</v>
      </c>
      <c r="D1216" s="17" t="str">
        <f t="shared" si="303"/>
        <v>20150714</v>
      </c>
      <c r="E1216" s="20" t="str">
        <f t="shared" si="386"/>
        <v>20150714061</v>
      </c>
      <c r="F1216" s="19">
        <v>45</v>
      </c>
      <c r="G1216" s="19">
        <v>30</v>
      </c>
      <c r="H1216" s="19">
        <v>10</v>
      </c>
      <c r="I1216" s="19">
        <v>12</v>
      </c>
      <c r="J1216" s="19">
        <v>14</v>
      </c>
      <c r="K1216" s="19">
        <v>19</v>
      </c>
      <c r="L1216" s="19">
        <v>41</v>
      </c>
      <c r="M1216" s="19">
        <f t="shared" si="302"/>
        <v>171</v>
      </c>
      <c r="N1216" s="27">
        <f t="shared" ref="N1216" si="399">N1215+4</f>
        <v>42199</v>
      </c>
    </row>
    <row r="1217" spans="1:14" x14ac:dyDescent="0.25">
      <c r="A1217" s="15">
        <f t="shared" si="384"/>
        <v>5</v>
      </c>
      <c r="B1217" s="20">
        <f t="shared" ref="B1217:C1217" si="400">B1216+1</f>
        <v>1216</v>
      </c>
      <c r="C1217" s="17">
        <f t="shared" si="400"/>
        <v>62</v>
      </c>
      <c r="D1217" s="17" t="str">
        <f t="shared" si="303"/>
        <v>20150717</v>
      </c>
      <c r="E1217" s="20" t="str">
        <f t="shared" si="386"/>
        <v>20150717062</v>
      </c>
      <c r="F1217" s="19">
        <v>33</v>
      </c>
      <c r="G1217" s="19">
        <v>4</v>
      </c>
      <c r="H1217" s="19">
        <v>27</v>
      </c>
      <c r="I1217" s="19">
        <v>7</v>
      </c>
      <c r="J1217" s="19">
        <v>20</v>
      </c>
      <c r="K1217" s="19">
        <v>40</v>
      </c>
      <c r="L1217" s="19">
        <v>38</v>
      </c>
      <c r="M1217" s="19">
        <f t="shared" si="302"/>
        <v>169</v>
      </c>
      <c r="N1217" s="27">
        <f t="shared" si="335"/>
        <v>42202</v>
      </c>
    </row>
    <row r="1218" spans="1:14" x14ac:dyDescent="0.25">
      <c r="A1218" s="15">
        <f t="shared" si="384"/>
        <v>2</v>
      </c>
      <c r="B1218" s="20">
        <f t="shared" ref="B1218:C1218" si="401">B1217+1</f>
        <v>1217</v>
      </c>
      <c r="C1218" s="17">
        <f t="shared" si="401"/>
        <v>63</v>
      </c>
      <c r="D1218" s="17" t="str">
        <f t="shared" si="303"/>
        <v>20150721</v>
      </c>
      <c r="E1218" s="20" t="str">
        <f t="shared" si="386"/>
        <v>20150721063</v>
      </c>
      <c r="F1218" s="19">
        <v>16</v>
      </c>
      <c r="G1218" s="19">
        <v>44</v>
      </c>
      <c r="H1218" s="19">
        <v>40</v>
      </c>
      <c r="I1218" s="19">
        <v>9</v>
      </c>
      <c r="J1218" s="19">
        <v>8</v>
      </c>
      <c r="K1218" s="19">
        <v>39</v>
      </c>
      <c r="L1218" s="19">
        <v>28</v>
      </c>
      <c r="M1218" s="19">
        <f t="shared" si="302"/>
        <v>184</v>
      </c>
      <c r="N1218" s="27">
        <f t="shared" ref="N1218" si="402">N1217+4</f>
        <v>42206</v>
      </c>
    </row>
    <row r="1219" spans="1:14" x14ac:dyDescent="0.25">
      <c r="A1219" s="15">
        <f t="shared" si="384"/>
        <v>5</v>
      </c>
      <c r="B1219" s="20">
        <f t="shared" ref="B1219:C1219" si="403">B1218+1</f>
        <v>1218</v>
      </c>
      <c r="C1219" s="17">
        <f t="shared" si="403"/>
        <v>64</v>
      </c>
      <c r="D1219" s="17" t="str">
        <f t="shared" si="303"/>
        <v>20150724</v>
      </c>
      <c r="E1219" s="20" t="str">
        <f t="shared" si="386"/>
        <v>20150724064</v>
      </c>
      <c r="F1219" s="19">
        <v>25</v>
      </c>
      <c r="G1219" s="19">
        <v>10</v>
      </c>
      <c r="H1219" s="19">
        <v>12</v>
      </c>
      <c r="I1219" s="19">
        <v>42</v>
      </c>
      <c r="J1219" s="19">
        <v>33</v>
      </c>
      <c r="K1219" s="19">
        <v>39</v>
      </c>
      <c r="L1219" s="19">
        <v>29</v>
      </c>
      <c r="M1219" s="19">
        <f t="shared" ref="M1219:M1282" si="404">SUM(F1219:L1219)</f>
        <v>190</v>
      </c>
      <c r="N1219" s="27">
        <f t="shared" ref="N1219:N1275" si="405">N1218+3</f>
        <v>42209</v>
      </c>
    </row>
    <row r="1220" spans="1:14" x14ac:dyDescent="0.25">
      <c r="A1220" s="15">
        <f t="shared" si="384"/>
        <v>2</v>
      </c>
      <c r="B1220" s="20">
        <f t="shared" ref="B1220:C1220" si="406">B1219+1</f>
        <v>1219</v>
      </c>
      <c r="C1220" s="17">
        <f t="shared" si="406"/>
        <v>65</v>
      </c>
      <c r="D1220" s="17" t="str">
        <f t="shared" ref="D1220:D1283" si="407">CONCATENATE(TEXT(YEAR(N1220),"0000"),TEXT(MONTH(N1220),"00"),TEXT(DAY(N1220),"00"))</f>
        <v>20150728</v>
      </c>
      <c r="E1220" s="20" t="str">
        <f t="shared" si="386"/>
        <v>20150728065</v>
      </c>
      <c r="F1220" s="19">
        <v>49</v>
      </c>
      <c r="G1220" s="19">
        <v>32</v>
      </c>
      <c r="H1220" s="19">
        <v>6</v>
      </c>
      <c r="I1220" s="19">
        <v>27</v>
      </c>
      <c r="J1220" s="19">
        <v>15</v>
      </c>
      <c r="K1220" s="19">
        <v>44</v>
      </c>
      <c r="L1220" s="19">
        <v>16</v>
      </c>
      <c r="M1220" s="19">
        <f t="shared" si="404"/>
        <v>189</v>
      </c>
      <c r="N1220" s="27">
        <f t="shared" ref="N1220" si="408">N1219+4</f>
        <v>42213</v>
      </c>
    </row>
    <row r="1221" spans="1:14" x14ac:dyDescent="0.25">
      <c r="A1221" s="15">
        <f t="shared" si="384"/>
        <v>5</v>
      </c>
      <c r="B1221" s="20">
        <f t="shared" ref="B1221:C1221" si="409">B1220+1</f>
        <v>1220</v>
      </c>
      <c r="C1221" s="17">
        <f t="shared" si="409"/>
        <v>66</v>
      </c>
      <c r="D1221" s="17" t="str">
        <f t="shared" si="407"/>
        <v>20150731</v>
      </c>
      <c r="E1221" s="20" t="str">
        <f t="shared" si="386"/>
        <v>20150731066</v>
      </c>
      <c r="F1221" s="19">
        <v>30</v>
      </c>
      <c r="G1221" s="19">
        <v>40</v>
      </c>
      <c r="H1221" s="19">
        <v>13</v>
      </c>
      <c r="I1221" s="19">
        <v>16</v>
      </c>
      <c r="J1221" s="19">
        <v>32</v>
      </c>
      <c r="K1221" s="19">
        <v>18</v>
      </c>
      <c r="L1221" s="19">
        <v>29</v>
      </c>
      <c r="M1221" s="19">
        <f t="shared" si="404"/>
        <v>178</v>
      </c>
      <c r="N1221" s="27">
        <f t="shared" si="405"/>
        <v>42216</v>
      </c>
    </row>
    <row r="1222" spans="1:14" x14ac:dyDescent="0.25">
      <c r="A1222" s="15">
        <f t="shared" si="384"/>
        <v>2</v>
      </c>
      <c r="B1222" s="20">
        <f t="shared" ref="B1222:C1222" si="410">B1221+1</f>
        <v>1221</v>
      </c>
      <c r="C1222" s="17">
        <f t="shared" si="410"/>
        <v>67</v>
      </c>
      <c r="D1222" s="17" t="str">
        <f t="shared" si="407"/>
        <v>20150804</v>
      </c>
      <c r="E1222" s="20" t="str">
        <f t="shared" si="386"/>
        <v>20150804067</v>
      </c>
      <c r="F1222" s="19">
        <v>48</v>
      </c>
      <c r="G1222" s="19">
        <v>12</v>
      </c>
      <c r="H1222" s="19">
        <v>3</v>
      </c>
      <c r="I1222" s="19">
        <v>19</v>
      </c>
      <c r="J1222" s="19">
        <v>17</v>
      </c>
      <c r="K1222" s="19">
        <v>38</v>
      </c>
      <c r="L1222" s="19">
        <v>43</v>
      </c>
      <c r="M1222" s="19">
        <f t="shared" si="404"/>
        <v>180</v>
      </c>
      <c r="N1222" s="27">
        <f t="shared" ref="N1222" si="411">N1221+4</f>
        <v>42220</v>
      </c>
    </row>
    <row r="1223" spans="1:14" x14ac:dyDescent="0.25">
      <c r="A1223" s="15">
        <f t="shared" si="384"/>
        <v>5</v>
      </c>
      <c r="B1223" s="20">
        <f t="shared" ref="B1223:C1223" si="412">B1222+1</f>
        <v>1222</v>
      </c>
      <c r="C1223" s="17">
        <f t="shared" si="412"/>
        <v>68</v>
      </c>
      <c r="D1223" s="17" t="str">
        <f t="shared" si="407"/>
        <v>20150807</v>
      </c>
      <c r="E1223" s="20" t="str">
        <f t="shared" si="386"/>
        <v>20150807068</v>
      </c>
      <c r="F1223" s="19">
        <v>25</v>
      </c>
      <c r="G1223" s="19">
        <v>36</v>
      </c>
      <c r="H1223" s="19">
        <v>28</v>
      </c>
      <c r="I1223" s="19">
        <v>27</v>
      </c>
      <c r="J1223" s="19">
        <v>37</v>
      </c>
      <c r="K1223" s="19">
        <v>26</v>
      </c>
      <c r="L1223" s="19">
        <v>38</v>
      </c>
      <c r="M1223" s="19">
        <f t="shared" si="404"/>
        <v>217</v>
      </c>
      <c r="N1223" s="27">
        <f t="shared" si="405"/>
        <v>42223</v>
      </c>
    </row>
    <row r="1224" spans="1:14" x14ac:dyDescent="0.25">
      <c r="A1224" s="15">
        <f t="shared" si="384"/>
        <v>2</v>
      </c>
      <c r="B1224" s="20">
        <f t="shared" ref="B1224:C1224" si="413">B1223+1</f>
        <v>1223</v>
      </c>
      <c r="C1224" s="17">
        <f t="shared" si="413"/>
        <v>69</v>
      </c>
      <c r="D1224" s="17" t="str">
        <f t="shared" si="407"/>
        <v>20150811</v>
      </c>
      <c r="E1224" s="20" t="str">
        <f t="shared" si="386"/>
        <v>20150811069</v>
      </c>
      <c r="F1224" s="19">
        <v>45</v>
      </c>
      <c r="G1224" s="19">
        <v>43</v>
      </c>
      <c r="H1224" s="19">
        <v>46</v>
      </c>
      <c r="I1224" s="19">
        <v>2</v>
      </c>
      <c r="J1224" s="19">
        <v>35</v>
      </c>
      <c r="K1224" s="19">
        <v>1</v>
      </c>
      <c r="L1224" s="19">
        <v>14</v>
      </c>
      <c r="M1224" s="19">
        <f t="shared" si="404"/>
        <v>186</v>
      </c>
      <c r="N1224" s="27">
        <f t="shared" ref="N1224" si="414">N1223+4</f>
        <v>42227</v>
      </c>
    </row>
    <row r="1225" spans="1:14" x14ac:dyDescent="0.25">
      <c r="A1225" s="15">
        <f t="shared" ref="A1225:A1232" si="415">WEEKDAY(N1225,2)</f>
        <v>5</v>
      </c>
      <c r="B1225" s="20">
        <f t="shared" ref="B1225:C1225" si="416">B1224+1</f>
        <v>1224</v>
      </c>
      <c r="C1225" s="17">
        <f t="shared" si="416"/>
        <v>70</v>
      </c>
      <c r="D1225" s="17" t="str">
        <f t="shared" si="407"/>
        <v>20150814</v>
      </c>
      <c r="E1225" s="20" t="str">
        <f t="shared" si="386"/>
        <v>20150814070</v>
      </c>
      <c r="F1225" s="19">
        <v>13</v>
      </c>
      <c r="G1225" s="19">
        <v>23</v>
      </c>
      <c r="H1225" s="19">
        <v>42</v>
      </c>
      <c r="I1225" s="19">
        <v>5</v>
      </c>
      <c r="J1225" s="19">
        <v>24</v>
      </c>
      <c r="K1225" s="19">
        <v>14</v>
      </c>
      <c r="L1225" s="19">
        <v>35</v>
      </c>
      <c r="M1225" s="19">
        <f t="shared" si="404"/>
        <v>156</v>
      </c>
      <c r="N1225" s="27">
        <f t="shared" si="405"/>
        <v>42230</v>
      </c>
    </row>
    <row r="1226" spans="1:14" x14ac:dyDescent="0.25">
      <c r="A1226" s="15">
        <f t="shared" si="415"/>
        <v>2</v>
      </c>
      <c r="B1226" s="20">
        <f t="shared" ref="B1226:C1226" si="417">B1225+1</f>
        <v>1225</v>
      </c>
      <c r="C1226" s="17">
        <f t="shared" si="417"/>
        <v>71</v>
      </c>
      <c r="D1226" s="17" t="str">
        <f t="shared" si="407"/>
        <v>20150818</v>
      </c>
      <c r="E1226" s="20" t="str">
        <f t="shared" si="386"/>
        <v>20150818071</v>
      </c>
      <c r="F1226" s="19">
        <v>29</v>
      </c>
      <c r="G1226" s="19">
        <v>49</v>
      </c>
      <c r="H1226" s="19">
        <v>30</v>
      </c>
      <c r="I1226" s="19">
        <v>8</v>
      </c>
      <c r="J1226" s="19">
        <v>20</v>
      </c>
      <c r="K1226" s="19">
        <v>42</v>
      </c>
      <c r="L1226" s="19">
        <v>21</v>
      </c>
      <c r="M1226" s="19">
        <f t="shared" si="404"/>
        <v>199</v>
      </c>
      <c r="N1226" s="27">
        <f t="shared" ref="N1226" si="418">N1225+4</f>
        <v>42234</v>
      </c>
    </row>
    <row r="1227" spans="1:14" x14ac:dyDescent="0.25">
      <c r="A1227" s="15">
        <f t="shared" si="415"/>
        <v>5</v>
      </c>
      <c r="B1227" s="20">
        <f t="shared" ref="B1227:C1227" si="419">B1226+1</f>
        <v>1226</v>
      </c>
      <c r="C1227" s="17">
        <f t="shared" si="419"/>
        <v>72</v>
      </c>
      <c r="D1227" s="17" t="str">
        <f t="shared" si="407"/>
        <v>20150821</v>
      </c>
      <c r="E1227" s="20" t="str">
        <f t="shared" si="386"/>
        <v>20150821072</v>
      </c>
      <c r="F1227" s="19">
        <v>20</v>
      </c>
      <c r="G1227" s="19">
        <v>10</v>
      </c>
      <c r="H1227" s="19">
        <v>15</v>
      </c>
      <c r="I1227" s="19">
        <v>21</v>
      </c>
      <c r="J1227" s="19">
        <v>36</v>
      </c>
      <c r="K1227" s="19">
        <v>27</v>
      </c>
      <c r="L1227" s="19">
        <v>45</v>
      </c>
      <c r="M1227" s="19">
        <f t="shared" si="404"/>
        <v>174</v>
      </c>
      <c r="N1227" s="27">
        <f t="shared" si="405"/>
        <v>42237</v>
      </c>
    </row>
    <row r="1228" spans="1:14" x14ac:dyDescent="0.25">
      <c r="A1228" s="15">
        <f t="shared" si="415"/>
        <v>2</v>
      </c>
      <c r="B1228" s="20">
        <f t="shared" ref="B1228:C1228" si="420">B1227+1</f>
        <v>1227</v>
      </c>
      <c r="C1228" s="17">
        <f t="shared" si="420"/>
        <v>73</v>
      </c>
      <c r="D1228" s="17" t="str">
        <f t="shared" si="407"/>
        <v>20150825</v>
      </c>
      <c r="E1228" s="20" t="str">
        <f t="shared" si="386"/>
        <v>20150825073</v>
      </c>
      <c r="F1228" s="19">
        <v>45</v>
      </c>
      <c r="G1228" s="19">
        <v>22</v>
      </c>
      <c r="H1228" s="19">
        <v>13</v>
      </c>
      <c r="I1228" s="19">
        <v>26</v>
      </c>
      <c r="J1228" s="19">
        <v>47</v>
      </c>
      <c r="K1228" s="19">
        <v>15</v>
      </c>
      <c r="L1228" s="19">
        <v>49</v>
      </c>
      <c r="M1228" s="19">
        <f t="shared" si="404"/>
        <v>217</v>
      </c>
      <c r="N1228" s="27">
        <f t="shared" ref="N1228" si="421">N1227+4</f>
        <v>42241</v>
      </c>
    </row>
    <row r="1229" spans="1:14" x14ac:dyDescent="0.25">
      <c r="A1229" s="15">
        <f t="shared" si="415"/>
        <v>5</v>
      </c>
      <c r="B1229" s="20">
        <f t="shared" ref="B1229:C1229" si="422">B1228+1</f>
        <v>1228</v>
      </c>
      <c r="C1229" s="17">
        <f t="shared" si="422"/>
        <v>74</v>
      </c>
      <c r="D1229" s="17" t="str">
        <f t="shared" si="407"/>
        <v>20150828</v>
      </c>
      <c r="E1229" s="20" t="str">
        <f t="shared" si="386"/>
        <v>20150828074</v>
      </c>
      <c r="F1229" s="19">
        <v>15</v>
      </c>
      <c r="G1229" s="19">
        <v>11</v>
      </c>
      <c r="H1229" s="19">
        <v>46</v>
      </c>
      <c r="I1229" s="19">
        <v>40</v>
      </c>
      <c r="J1229" s="19">
        <v>8</v>
      </c>
      <c r="K1229" s="19">
        <v>12</v>
      </c>
      <c r="L1229" s="19">
        <v>16</v>
      </c>
      <c r="M1229" s="19">
        <f t="shared" si="404"/>
        <v>148</v>
      </c>
      <c r="N1229" s="27">
        <f t="shared" si="405"/>
        <v>42244</v>
      </c>
    </row>
    <row r="1230" spans="1:14" x14ac:dyDescent="0.25">
      <c r="A1230" s="15">
        <f t="shared" si="415"/>
        <v>2</v>
      </c>
      <c r="B1230" s="20">
        <f t="shared" ref="B1230:C1230" si="423">B1229+1</f>
        <v>1229</v>
      </c>
      <c r="C1230" s="17">
        <f t="shared" si="423"/>
        <v>75</v>
      </c>
      <c r="D1230" s="17" t="str">
        <f t="shared" si="407"/>
        <v>20150901</v>
      </c>
      <c r="E1230" s="20" t="str">
        <f t="shared" si="386"/>
        <v>20150901075</v>
      </c>
      <c r="F1230" s="19">
        <v>20</v>
      </c>
      <c r="G1230" s="19">
        <v>48</v>
      </c>
      <c r="H1230" s="19">
        <v>40</v>
      </c>
      <c r="I1230" s="19">
        <v>18</v>
      </c>
      <c r="J1230" s="19">
        <v>19</v>
      </c>
      <c r="K1230" s="19">
        <v>9</v>
      </c>
      <c r="L1230" s="19">
        <v>3</v>
      </c>
      <c r="M1230" s="19">
        <f t="shared" si="404"/>
        <v>157</v>
      </c>
      <c r="N1230" s="27">
        <f t="shared" ref="N1230" si="424">N1229+4</f>
        <v>42248</v>
      </c>
    </row>
    <row r="1231" spans="1:14" x14ac:dyDescent="0.25">
      <c r="A1231" s="15">
        <f t="shared" si="415"/>
        <v>5</v>
      </c>
      <c r="B1231" s="20">
        <f t="shared" ref="B1231:C1231" si="425">B1230+1</f>
        <v>1230</v>
      </c>
      <c r="C1231" s="17">
        <f t="shared" si="425"/>
        <v>76</v>
      </c>
      <c r="D1231" s="17" t="str">
        <f t="shared" si="407"/>
        <v>20150904</v>
      </c>
      <c r="E1231" s="20" t="str">
        <f t="shared" si="386"/>
        <v>20150904076</v>
      </c>
      <c r="F1231" s="19">
        <v>20</v>
      </c>
      <c r="G1231" s="19">
        <v>49</v>
      </c>
      <c r="H1231" s="19">
        <v>46</v>
      </c>
      <c r="I1231" s="19">
        <v>19</v>
      </c>
      <c r="J1231" s="19">
        <v>44</v>
      </c>
      <c r="K1231" s="19">
        <v>47</v>
      </c>
      <c r="L1231" s="19">
        <v>9</v>
      </c>
      <c r="M1231" s="19">
        <f t="shared" si="404"/>
        <v>234</v>
      </c>
      <c r="N1231" s="27">
        <f t="shared" si="405"/>
        <v>42251</v>
      </c>
    </row>
    <row r="1232" spans="1:14" x14ac:dyDescent="0.25">
      <c r="A1232" s="15">
        <f t="shared" si="415"/>
        <v>2</v>
      </c>
      <c r="B1232" s="20">
        <f t="shared" ref="B1232:C1233" si="426">B1231+1</f>
        <v>1231</v>
      </c>
      <c r="C1232" s="17">
        <f t="shared" si="426"/>
        <v>77</v>
      </c>
      <c r="D1232" s="17" t="str">
        <f t="shared" si="407"/>
        <v>20150908</v>
      </c>
      <c r="E1232" s="20" t="str">
        <f t="shared" si="386"/>
        <v>20150908077</v>
      </c>
      <c r="F1232" s="19">
        <v>8</v>
      </c>
      <c r="G1232" s="19">
        <v>31</v>
      </c>
      <c r="H1232" s="19">
        <v>43</v>
      </c>
      <c r="I1232" s="19">
        <v>28</v>
      </c>
      <c r="J1232" s="19">
        <v>36</v>
      </c>
      <c r="K1232" s="19">
        <v>32</v>
      </c>
      <c r="L1232" s="19">
        <v>9</v>
      </c>
      <c r="M1232" s="19">
        <f t="shared" si="404"/>
        <v>187</v>
      </c>
      <c r="N1232" s="27">
        <f t="shared" ref="N1232" si="427">N1231+4</f>
        <v>42255</v>
      </c>
    </row>
    <row r="1233" spans="1:14" x14ac:dyDescent="0.25">
      <c r="A1233" s="15">
        <f t="shared" ref="A1233" si="428">WEEKDAY(N1233,2)</f>
        <v>5</v>
      </c>
      <c r="B1233" s="20">
        <f t="shared" si="426"/>
        <v>1232</v>
      </c>
      <c r="C1233" s="17">
        <f t="shared" si="426"/>
        <v>78</v>
      </c>
      <c r="D1233" s="17" t="str">
        <f t="shared" si="407"/>
        <v>20150911</v>
      </c>
      <c r="E1233" s="20" t="str">
        <f t="shared" ref="E1233" si="429">CONCATENATE(D1233,TEXT(C1233,"000"))</f>
        <v>20150911078</v>
      </c>
      <c r="F1233" s="19">
        <v>41</v>
      </c>
      <c r="G1233" s="19">
        <v>10</v>
      </c>
      <c r="H1233" s="19">
        <v>5</v>
      </c>
      <c r="I1233" s="19">
        <v>29</v>
      </c>
      <c r="J1233" s="19">
        <v>18</v>
      </c>
      <c r="K1233" s="19">
        <v>44</v>
      </c>
      <c r="L1233" s="19">
        <v>30</v>
      </c>
      <c r="M1233" s="19">
        <f t="shared" si="404"/>
        <v>177</v>
      </c>
      <c r="N1233" s="27">
        <f t="shared" si="405"/>
        <v>42258</v>
      </c>
    </row>
    <row r="1234" spans="1:14" x14ac:dyDescent="0.25">
      <c r="A1234" s="15">
        <f t="shared" ref="A1234:A1237" si="430">WEEKDAY(N1234,2)</f>
        <v>2</v>
      </c>
      <c r="B1234" s="20">
        <f t="shared" ref="B1234:C1234" si="431">B1233+1</f>
        <v>1233</v>
      </c>
      <c r="C1234" s="17">
        <f t="shared" si="431"/>
        <v>79</v>
      </c>
      <c r="D1234" s="17" t="str">
        <f t="shared" si="407"/>
        <v>20150915</v>
      </c>
      <c r="E1234" s="20" t="str">
        <f t="shared" ref="E1234:E1253" si="432">CONCATENATE(D1234,TEXT(C1234,"000"))</f>
        <v>20150915079</v>
      </c>
      <c r="F1234" s="19">
        <v>44</v>
      </c>
      <c r="G1234" s="19">
        <v>13</v>
      </c>
      <c r="H1234" s="19">
        <v>30</v>
      </c>
      <c r="I1234" s="19">
        <v>34</v>
      </c>
      <c r="J1234" s="19">
        <v>31</v>
      </c>
      <c r="K1234" s="19">
        <v>2</v>
      </c>
      <c r="L1234" s="19">
        <v>39</v>
      </c>
      <c r="M1234" s="19">
        <f t="shared" si="404"/>
        <v>193</v>
      </c>
      <c r="N1234" s="27">
        <f t="shared" ref="N1234" si="433">N1233+4</f>
        <v>42262</v>
      </c>
    </row>
    <row r="1235" spans="1:14" x14ac:dyDescent="0.25">
      <c r="A1235" s="15">
        <f t="shared" si="430"/>
        <v>5</v>
      </c>
      <c r="B1235" s="20">
        <f t="shared" ref="B1235:C1235" si="434">B1234+1</f>
        <v>1234</v>
      </c>
      <c r="C1235" s="17">
        <f t="shared" si="434"/>
        <v>80</v>
      </c>
      <c r="D1235" s="17" t="str">
        <f t="shared" si="407"/>
        <v>20150918</v>
      </c>
      <c r="E1235" s="20" t="str">
        <f t="shared" si="432"/>
        <v>20150918080</v>
      </c>
      <c r="F1235" s="19">
        <v>16</v>
      </c>
      <c r="G1235" s="19">
        <v>6</v>
      </c>
      <c r="H1235" s="19">
        <v>17</v>
      </c>
      <c r="I1235" s="19">
        <v>41</v>
      </c>
      <c r="J1235" s="19">
        <v>37</v>
      </c>
      <c r="K1235" s="19">
        <v>36</v>
      </c>
      <c r="L1235" s="19">
        <v>28</v>
      </c>
      <c r="M1235" s="19">
        <f t="shared" si="404"/>
        <v>181</v>
      </c>
      <c r="N1235" s="27">
        <f t="shared" si="405"/>
        <v>42265</v>
      </c>
    </row>
    <row r="1236" spans="1:14" x14ac:dyDescent="0.25">
      <c r="A1236" s="15">
        <f t="shared" si="430"/>
        <v>2</v>
      </c>
      <c r="B1236" s="20">
        <f t="shared" ref="B1236:C1236" si="435">B1235+1</f>
        <v>1235</v>
      </c>
      <c r="C1236" s="17">
        <f t="shared" si="435"/>
        <v>81</v>
      </c>
      <c r="D1236" s="17" t="str">
        <f t="shared" si="407"/>
        <v>20150922</v>
      </c>
      <c r="E1236" s="20" t="str">
        <f t="shared" si="432"/>
        <v>20150922081</v>
      </c>
      <c r="F1236" s="19">
        <v>47</v>
      </c>
      <c r="G1236" s="19">
        <v>46</v>
      </c>
      <c r="H1236" s="19">
        <v>6</v>
      </c>
      <c r="I1236" s="19">
        <v>10</v>
      </c>
      <c r="J1236" s="19">
        <v>39</v>
      </c>
      <c r="K1236" s="19">
        <v>44</v>
      </c>
      <c r="L1236" s="19">
        <v>30</v>
      </c>
      <c r="M1236" s="19">
        <f t="shared" si="404"/>
        <v>222</v>
      </c>
      <c r="N1236" s="27">
        <f t="shared" ref="N1236" si="436">N1235+4</f>
        <v>42269</v>
      </c>
    </row>
    <row r="1237" spans="1:14" x14ac:dyDescent="0.25">
      <c r="A1237" s="15">
        <f t="shared" si="430"/>
        <v>5</v>
      </c>
      <c r="B1237" s="20">
        <f t="shared" ref="B1237:C1237" si="437">B1236+1</f>
        <v>1236</v>
      </c>
      <c r="C1237" s="17">
        <f t="shared" si="437"/>
        <v>82</v>
      </c>
      <c r="D1237" s="17" t="str">
        <f t="shared" si="407"/>
        <v>20150925</v>
      </c>
      <c r="E1237" s="20" t="str">
        <f t="shared" si="432"/>
        <v>20150925082</v>
      </c>
      <c r="F1237" s="19">
        <v>13</v>
      </c>
      <c r="G1237" s="19">
        <v>38</v>
      </c>
      <c r="H1237" s="19">
        <v>25</v>
      </c>
      <c r="I1237" s="19">
        <v>21</v>
      </c>
      <c r="J1237" s="19">
        <v>9</v>
      </c>
      <c r="K1237" s="19">
        <v>39</v>
      </c>
      <c r="L1237" s="19">
        <v>2</v>
      </c>
      <c r="M1237" s="19">
        <f t="shared" si="404"/>
        <v>147</v>
      </c>
      <c r="N1237" s="27">
        <f t="shared" si="405"/>
        <v>42272</v>
      </c>
    </row>
    <row r="1238" spans="1:14" x14ac:dyDescent="0.25">
      <c r="A1238" s="15">
        <f t="shared" ref="A1238:A1243" si="438">WEEKDAY(N1238,2)</f>
        <v>2</v>
      </c>
      <c r="B1238" s="20">
        <f t="shared" ref="B1238:C1238" si="439">B1237+1</f>
        <v>1237</v>
      </c>
      <c r="C1238" s="17">
        <f t="shared" si="439"/>
        <v>83</v>
      </c>
      <c r="D1238" s="17" t="str">
        <f t="shared" si="407"/>
        <v>20150929</v>
      </c>
      <c r="E1238" s="20" t="str">
        <f t="shared" si="432"/>
        <v>20150929083</v>
      </c>
      <c r="F1238" s="19">
        <v>1</v>
      </c>
      <c r="G1238" s="19">
        <v>35</v>
      </c>
      <c r="H1238" s="19">
        <v>3</v>
      </c>
      <c r="I1238" s="19">
        <v>25</v>
      </c>
      <c r="J1238" s="19">
        <v>44</v>
      </c>
      <c r="K1238" s="19">
        <v>31</v>
      </c>
      <c r="L1238" s="19">
        <v>15</v>
      </c>
      <c r="M1238" s="19">
        <f t="shared" si="404"/>
        <v>154</v>
      </c>
      <c r="N1238" s="27">
        <f t="shared" ref="N1238" si="440">N1237+4</f>
        <v>42276</v>
      </c>
    </row>
    <row r="1239" spans="1:14" x14ac:dyDescent="0.25">
      <c r="A1239" s="15">
        <f t="shared" si="438"/>
        <v>5</v>
      </c>
      <c r="B1239" s="20">
        <f t="shared" ref="B1239:C1239" si="441">B1238+1</f>
        <v>1238</v>
      </c>
      <c r="C1239" s="17">
        <f t="shared" si="441"/>
        <v>84</v>
      </c>
      <c r="D1239" s="17" t="str">
        <f t="shared" si="407"/>
        <v>20151002</v>
      </c>
      <c r="E1239" s="20" t="str">
        <f t="shared" si="432"/>
        <v>20151002084</v>
      </c>
      <c r="F1239" s="19">
        <v>44</v>
      </c>
      <c r="G1239" s="19">
        <v>11</v>
      </c>
      <c r="H1239" s="19">
        <v>45</v>
      </c>
      <c r="I1239" s="19">
        <v>36</v>
      </c>
      <c r="J1239" s="19">
        <v>41</v>
      </c>
      <c r="K1239" s="19">
        <v>15</v>
      </c>
      <c r="L1239" s="19">
        <v>35</v>
      </c>
      <c r="M1239" s="19">
        <f t="shared" si="404"/>
        <v>227</v>
      </c>
      <c r="N1239" s="27">
        <f t="shared" si="405"/>
        <v>42279</v>
      </c>
    </row>
    <row r="1240" spans="1:14" x14ac:dyDescent="0.25">
      <c r="A1240" s="15">
        <f t="shared" si="438"/>
        <v>2</v>
      </c>
      <c r="B1240" s="20">
        <f t="shared" ref="B1240:C1240" si="442">B1239+1</f>
        <v>1239</v>
      </c>
      <c r="C1240" s="17">
        <f t="shared" si="442"/>
        <v>85</v>
      </c>
      <c r="D1240" s="17" t="str">
        <f t="shared" si="407"/>
        <v>20151006</v>
      </c>
      <c r="E1240" s="20" t="str">
        <f t="shared" si="432"/>
        <v>20151006085</v>
      </c>
      <c r="F1240" s="19">
        <v>8</v>
      </c>
      <c r="G1240" s="19">
        <v>10</v>
      </c>
      <c r="H1240" s="19">
        <v>28</v>
      </c>
      <c r="I1240" s="19">
        <v>3</v>
      </c>
      <c r="J1240" s="19">
        <v>38</v>
      </c>
      <c r="K1240" s="19">
        <v>47</v>
      </c>
      <c r="L1240" s="19">
        <v>13</v>
      </c>
      <c r="M1240" s="19">
        <f t="shared" si="404"/>
        <v>147</v>
      </c>
      <c r="N1240" s="27">
        <f t="shared" ref="N1240" si="443">N1239+4</f>
        <v>42283</v>
      </c>
    </row>
    <row r="1241" spans="1:14" x14ac:dyDescent="0.25">
      <c r="A1241" s="15">
        <f t="shared" si="438"/>
        <v>5</v>
      </c>
      <c r="B1241" s="20">
        <f t="shared" ref="B1241:C1241" si="444">B1240+1</f>
        <v>1240</v>
      </c>
      <c r="C1241" s="17">
        <f t="shared" si="444"/>
        <v>86</v>
      </c>
      <c r="D1241" s="17" t="str">
        <f t="shared" si="407"/>
        <v>20151009</v>
      </c>
      <c r="E1241" s="20" t="str">
        <f t="shared" si="432"/>
        <v>20151009086</v>
      </c>
      <c r="F1241" s="19">
        <v>35</v>
      </c>
      <c r="G1241" s="19">
        <v>2</v>
      </c>
      <c r="H1241" s="19">
        <v>8</v>
      </c>
      <c r="I1241" s="19">
        <v>27</v>
      </c>
      <c r="J1241" s="19">
        <v>22</v>
      </c>
      <c r="K1241" s="19">
        <v>43</v>
      </c>
      <c r="L1241" s="19">
        <v>24</v>
      </c>
      <c r="M1241" s="19">
        <f t="shared" si="404"/>
        <v>161</v>
      </c>
      <c r="N1241" s="27">
        <f t="shared" si="405"/>
        <v>42286</v>
      </c>
    </row>
    <row r="1242" spans="1:14" x14ac:dyDescent="0.25">
      <c r="A1242" s="15">
        <f t="shared" si="438"/>
        <v>2</v>
      </c>
      <c r="B1242" s="20">
        <f t="shared" ref="B1242:C1242" si="445">B1241+1</f>
        <v>1241</v>
      </c>
      <c r="C1242" s="17">
        <f t="shared" si="445"/>
        <v>87</v>
      </c>
      <c r="D1242" s="17" t="str">
        <f t="shared" si="407"/>
        <v>20151013</v>
      </c>
      <c r="E1242" s="20" t="str">
        <f t="shared" si="432"/>
        <v>20151013087</v>
      </c>
      <c r="F1242" s="19">
        <v>24</v>
      </c>
      <c r="G1242" s="19">
        <v>29</v>
      </c>
      <c r="H1242" s="19">
        <v>32</v>
      </c>
      <c r="I1242" s="19">
        <v>44</v>
      </c>
      <c r="J1242" s="19">
        <v>49</v>
      </c>
      <c r="K1242" s="19">
        <v>31</v>
      </c>
      <c r="L1242" s="19">
        <v>39</v>
      </c>
      <c r="M1242" s="19">
        <f t="shared" si="404"/>
        <v>248</v>
      </c>
      <c r="N1242" s="27">
        <f t="shared" ref="N1242" si="446">N1241+4</f>
        <v>42290</v>
      </c>
    </row>
    <row r="1243" spans="1:14" x14ac:dyDescent="0.25">
      <c r="A1243" s="15">
        <f t="shared" si="438"/>
        <v>5</v>
      </c>
      <c r="B1243" s="20">
        <f t="shared" ref="B1243:C1243" si="447">B1242+1</f>
        <v>1242</v>
      </c>
      <c r="C1243" s="17">
        <f t="shared" si="447"/>
        <v>88</v>
      </c>
      <c r="D1243" s="17" t="str">
        <f t="shared" si="407"/>
        <v>20151016</v>
      </c>
      <c r="E1243" s="20" t="str">
        <f t="shared" si="432"/>
        <v>20151016088</v>
      </c>
      <c r="F1243" s="19">
        <v>31</v>
      </c>
      <c r="G1243" s="19">
        <v>20</v>
      </c>
      <c r="H1243" s="19">
        <v>29</v>
      </c>
      <c r="I1243" s="19">
        <v>44</v>
      </c>
      <c r="J1243" s="19">
        <v>25</v>
      </c>
      <c r="K1243" s="19">
        <v>40</v>
      </c>
      <c r="L1243" s="19">
        <v>21</v>
      </c>
      <c r="M1243" s="19">
        <f t="shared" si="404"/>
        <v>210</v>
      </c>
      <c r="N1243" s="27">
        <f t="shared" si="405"/>
        <v>42293</v>
      </c>
    </row>
    <row r="1244" spans="1:14" x14ac:dyDescent="0.25">
      <c r="A1244" s="15">
        <f t="shared" ref="A1244:A1246" si="448">WEEKDAY(N1244,2)</f>
        <v>2</v>
      </c>
      <c r="B1244" s="20">
        <f t="shared" ref="B1244:C1244" si="449">B1243+1</f>
        <v>1243</v>
      </c>
      <c r="C1244" s="17">
        <f t="shared" si="449"/>
        <v>89</v>
      </c>
      <c r="D1244" s="17" t="str">
        <f t="shared" si="407"/>
        <v>20151020</v>
      </c>
      <c r="E1244" s="20" t="str">
        <f t="shared" si="432"/>
        <v>20151020089</v>
      </c>
      <c r="F1244" s="19">
        <v>32</v>
      </c>
      <c r="G1244" s="19">
        <v>12</v>
      </c>
      <c r="H1244" s="19">
        <v>37</v>
      </c>
      <c r="I1244" s="19">
        <v>17</v>
      </c>
      <c r="J1244" s="19">
        <v>39</v>
      </c>
      <c r="K1244" s="19">
        <v>38</v>
      </c>
      <c r="L1244" s="19">
        <v>27</v>
      </c>
      <c r="M1244" s="19">
        <f t="shared" si="404"/>
        <v>202</v>
      </c>
      <c r="N1244" s="27">
        <f t="shared" ref="N1244" si="450">N1243+4</f>
        <v>42297</v>
      </c>
    </row>
    <row r="1245" spans="1:14" x14ac:dyDescent="0.25">
      <c r="A1245" s="15">
        <f t="shared" si="448"/>
        <v>5</v>
      </c>
      <c r="B1245" s="20">
        <f t="shared" ref="B1245:C1245" si="451">B1244+1</f>
        <v>1244</v>
      </c>
      <c r="C1245" s="17">
        <f t="shared" si="451"/>
        <v>90</v>
      </c>
      <c r="D1245" s="17" t="str">
        <f t="shared" si="407"/>
        <v>20151023</v>
      </c>
      <c r="E1245" s="20" t="str">
        <f t="shared" si="432"/>
        <v>20151023090</v>
      </c>
      <c r="F1245" s="19">
        <v>1</v>
      </c>
      <c r="G1245" s="19">
        <v>41</v>
      </c>
      <c r="H1245" s="19">
        <v>16</v>
      </c>
      <c r="I1245" s="19">
        <v>43</v>
      </c>
      <c r="J1245" s="19">
        <v>47</v>
      </c>
      <c r="K1245" s="19">
        <v>46</v>
      </c>
      <c r="L1245" s="19">
        <v>25</v>
      </c>
      <c r="M1245" s="19">
        <f t="shared" si="404"/>
        <v>219</v>
      </c>
      <c r="N1245" s="27">
        <f t="shared" si="405"/>
        <v>42300</v>
      </c>
    </row>
    <row r="1246" spans="1:14" x14ac:dyDescent="0.25">
      <c r="A1246" s="15">
        <f t="shared" si="448"/>
        <v>2</v>
      </c>
      <c r="B1246" s="20">
        <f t="shared" ref="B1246:C1246" si="452">B1245+1</f>
        <v>1245</v>
      </c>
      <c r="C1246" s="17">
        <f t="shared" si="452"/>
        <v>91</v>
      </c>
      <c r="D1246" s="17" t="str">
        <f t="shared" si="407"/>
        <v>20151027</v>
      </c>
      <c r="E1246" s="20" t="str">
        <f t="shared" si="432"/>
        <v>20151027091</v>
      </c>
      <c r="F1246" s="19">
        <v>7</v>
      </c>
      <c r="G1246" s="19">
        <v>17</v>
      </c>
      <c r="H1246" s="19">
        <v>34</v>
      </c>
      <c r="I1246" s="19">
        <v>8</v>
      </c>
      <c r="J1246" s="19">
        <v>10</v>
      </c>
      <c r="K1246" s="19">
        <v>36</v>
      </c>
      <c r="L1246" s="19">
        <v>43</v>
      </c>
      <c r="M1246" s="19">
        <f t="shared" si="404"/>
        <v>155</v>
      </c>
      <c r="N1246" s="27">
        <f t="shared" ref="N1246" si="453">N1245+4</f>
        <v>42304</v>
      </c>
    </row>
    <row r="1247" spans="1:14" x14ac:dyDescent="0.25">
      <c r="A1247" s="15">
        <f t="shared" ref="A1247:A1249" si="454">WEEKDAY(N1247,2)</f>
        <v>5</v>
      </c>
      <c r="B1247" s="20">
        <f t="shared" ref="B1247:C1247" si="455">B1246+1</f>
        <v>1246</v>
      </c>
      <c r="C1247" s="17">
        <f t="shared" si="455"/>
        <v>92</v>
      </c>
      <c r="D1247" s="17" t="str">
        <f t="shared" si="407"/>
        <v>20151030</v>
      </c>
      <c r="E1247" s="20" t="str">
        <f t="shared" si="432"/>
        <v>20151030092</v>
      </c>
      <c r="F1247" s="19">
        <v>15</v>
      </c>
      <c r="G1247" s="19">
        <v>8</v>
      </c>
      <c r="H1247" s="19">
        <v>20</v>
      </c>
      <c r="I1247" s="19">
        <v>3</v>
      </c>
      <c r="J1247" s="19">
        <v>6</v>
      </c>
      <c r="K1247" s="19">
        <v>30</v>
      </c>
      <c r="L1247" s="19">
        <v>40</v>
      </c>
      <c r="M1247" s="19">
        <f t="shared" si="404"/>
        <v>122</v>
      </c>
      <c r="N1247" s="27">
        <f t="shared" si="405"/>
        <v>42307</v>
      </c>
    </row>
    <row r="1248" spans="1:14" x14ac:dyDescent="0.25">
      <c r="A1248" s="15">
        <f t="shared" si="454"/>
        <v>2</v>
      </c>
      <c r="B1248" s="20">
        <f t="shared" ref="B1248:C1248" si="456">B1247+1</f>
        <v>1247</v>
      </c>
      <c r="C1248" s="17">
        <f t="shared" si="456"/>
        <v>93</v>
      </c>
      <c r="D1248" s="17" t="str">
        <f t="shared" si="407"/>
        <v>20151103</v>
      </c>
      <c r="E1248" s="20" t="str">
        <f t="shared" si="432"/>
        <v>20151103093</v>
      </c>
      <c r="F1248" s="19">
        <v>28</v>
      </c>
      <c r="G1248" s="19">
        <v>45</v>
      </c>
      <c r="H1248" s="19">
        <v>8</v>
      </c>
      <c r="I1248" s="19">
        <v>16</v>
      </c>
      <c r="J1248" s="19">
        <v>48</v>
      </c>
      <c r="K1248" s="19">
        <v>22</v>
      </c>
      <c r="L1248" s="19">
        <v>13</v>
      </c>
      <c r="M1248" s="19">
        <f t="shared" si="404"/>
        <v>180</v>
      </c>
      <c r="N1248" s="27">
        <f t="shared" ref="N1248" si="457">N1247+4</f>
        <v>42311</v>
      </c>
    </row>
    <row r="1249" spans="1:14" x14ac:dyDescent="0.25">
      <c r="A1249" s="15">
        <f t="shared" si="454"/>
        <v>5</v>
      </c>
      <c r="B1249" s="20">
        <f t="shared" ref="B1249:C1249" si="458">B1248+1</f>
        <v>1248</v>
      </c>
      <c r="C1249" s="17">
        <f t="shared" si="458"/>
        <v>94</v>
      </c>
      <c r="D1249" s="17" t="str">
        <f t="shared" si="407"/>
        <v>20151106</v>
      </c>
      <c r="E1249" s="20" t="str">
        <f t="shared" si="432"/>
        <v>20151106094</v>
      </c>
      <c r="F1249" s="19">
        <v>30</v>
      </c>
      <c r="G1249" s="19">
        <v>45</v>
      </c>
      <c r="H1249" s="19">
        <v>27</v>
      </c>
      <c r="I1249" s="19">
        <v>49</v>
      </c>
      <c r="J1249" s="19">
        <v>8</v>
      </c>
      <c r="K1249" s="19">
        <v>24</v>
      </c>
      <c r="L1249" s="19">
        <v>42</v>
      </c>
      <c r="M1249" s="19">
        <f t="shared" si="404"/>
        <v>225</v>
      </c>
      <c r="N1249" s="27">
        <f t="shared" si="405"/>
        <v>42314</v>
      </c>
    </row>
    <row r="1250" spans="1:14" x14ac:dyDescent="0.25">
      <c r="A1250" s="15">
        <f t="shared" ref="A1250:A1255" si="459">WEEKDAY(N1250,2)</f>
        <v>2</v>
      </c>
      <c r="B1250" s="20">
        <f t="shared" ref="B1250:C1250" si="460">B1249+1</f>
        <v>1249</v>
      </c>
      <c r="C1250" s="17">
        <f t="shared" si="460"/>
        <v>95</v>
      </c>
      <c r="D1250" s="17" t="str">
        <f t="shared" si="407"/>
        <v>20151110</v>
      </c>
      <c r="E1250" s="20" t="str">
        <f t="shared" si="432"/>
        <v>20151110095</v>
      </c>
      <c r="F1250" s="19">
        <v>7</v>
      </c>
      <c r="G1250" s="19">
        <v>27</v>
      </c>
      <c r="H1250" s="19">
        <v>45</v>
      </c>
      <c r="I1250" s="19">
        <v>11</v>
      </c>
      <c r="J1250" s="19">
        <v>10</v>
      </c>
      <c r="K1250" s="19">
        <v>28</v>
      </c>
      <c r="L1250" s="19">
        <v>21</v>
      </c>
      <c r="M1250" s="19">
        <f t="shared" si="404"/>
        <v>149</v>
      </c>
      <c r="N1250" s="27">
        <f t="shared" ref="N1250" si="461">N1249+4</f>
        <v>42318</v>
      </c>
    </row>
    <row r="1251" spans="1:14" x14ac:dyDescent="0.25">
      <c r="A1251" s="15">
        <f t="shared" si="459"/>
        <v>5</v>
      </c>
      <c r="B1251" s="20">
        <f t="shared" ref="B1251:C1251" si="462">B1250+1</f>
        <v>1250</v>
      </c>
      <c r="C1251" s="17">
        <f t="shared" si="462"/>
        <v>96</v>
      </c>
      <c r="D1251" s="17" t="str">
        <f t="shared" si="407"/>
        <v>20151113</v>
      </c>
      <c r="E1251" s="20" t="str">
        <f t="shared" si="432"/>
        <v>20151113096</v>
      </c>
      <c r="F1251" s="19">
        <v>33</v>
      </c>
      <c r="G1251" s="19">
        <v>18</v>
      </c>
      <c r="H1251" s="19">
        <v>16</v>
      </c>
      <c r="I1251" s="19">
        <v>11</v>
      </c>
      <c r="J1251" s="19">
        <v>31</v>
      </c>
      <c r="K1251" s="19">
        <v>1</v>
      </c>
      <c r="L1251" s="19">
        <v>19</v>
      </c>
      <c r="M1251" s="19">
        <f t="shared" si="404"/>
        <v>129</v>
      </c>
      <c r="N1251" s="27">
        <f t="shared" si="405"/>
        <v>42321</v>
      </c>
    </row>
    <row r="1252" spans="1:14" x14ac:dyDescent="0.25">
      <c r="A1252" s="15">
        <f t="shared" si="459"/>
        <v>2</v>
      </c>
      <c r="B1252" s="20">
        <f t="shared" ref="B1252:C1253" si="463">B1251+1</f>
        <v>1251</v>
      </c>
      <c r="C1252" s="17">
        <f t="shared" si="463"/>
        <v>97</v>
      </c>
      <c r="D1252" s="17" t="str">
        <f t="shared" si="407"/>
        <v>20151117</v>
      </c>
      <c r="E1252" s="20" t="str">
        <f t="shared" si="432"/>
        <v>20151117097</v>
      </c>
      <c r="F1252" s="19">
        <v>2</v>
      </c>
      <c r="G1252" s="19">
        <v>44</v>
      </c>
      <c r="H1252" s="19">
        <v>7</v>
      </c>
      <c r="I1252" s="19">
        <v>47</v>
      </c>
      <c r="J1252" s="19">
        <v>31</v>
      </c>
      <c r="K1252" s="19">
        <v>26</v>
      </c>
      <c r="L1252" s="19">
        <v>36</v>
      </c>
      <c r="M1252" s="19">
        <f t="shared" si="404"/>
        <v>193</v>
      </c>
      <c r="N1252" s="27">
        <f t="shared" ref="N1252" si="464">N1251+4</f>
        <v>42325</v>
      </c>
    </row>
    <row r="1253" spans="1:14" x14ac:dyDescent="0.25">
      <c r="A1253" s="15">
        <f t="shared" si="459"/>
        <v>5</v>
      </c>
      <c r="B1253" s="20">
        <f t="shared" si="463"/>
        <v>1252</v>
      </c>
      <c r="C1253" s="17">
        <f t="shared" si="463"/>
        <v>98</v>
      </c>
      <c r="D1253" s="17" t="str">
        <f t="shared" si="407"/>
        <v>20151120</v>
      </c>
      <c r="E1253" s="20" t="str">
        <f t="shared" si="432"/>
        <v>20151120098</v>
      </c>
      <c r="F1253" s="19">
        <v>40</v>
      </c>
      <c r="G1253" s="19">
        <v>9</v>
      </c>
      <c r="H1253" s="19">
        <v>4</v>
      </c>
      <c r="I1253" s="19">
        <v>10</v>
      </c>
      <c r="J1253" s="19">
        <v>39</v>
      </c>
      <c r="K1253" s="19">
        <v>42</v>
      </c>
      <c r="L1253" s="19">
        <v>8</v>
      </c>
      <c r="M1253" s="19">
        <f t="shared" si="404"/>
        <v>152</v>
      </c>
      <c r="N1253" s="27">
        <f t="shared" si="405"/>
        <v>42328</v>
      </c>
    </row>
    <row r="1254" spans="1:14" x14ac:dyDescent="0.25">
      <c r="A1254" s="15">
        <f t="shared" si="459"/>
        <v>2</v>
      </c>
      <c r="B1254" s="20">
        <f t="shared" ref="B1254:C1254" si="465">B1253+1</f>
        <v>1253</v>
      </c>
      <c r="C1254" s="17">
        <f t="shared" si="465"/>
        <v>99</v>
      </c>
      <c r="D1254" s="17" t="str">
        <f t="shared" si="407"/>
        <v>20151124</v>
      </c>
      <c r="E1254" s="20" t="str">
        <f t="shared" ref="E1254:E1287" si="466">CONCATENATE(D1254,TEXT(C1254,"000"))</f>
        <v>20151124099</v>
      </c>
      <c r="F1254" s="19">
        <v>48</v>
      </c>
      <c r="G1254" s="19">
        <v>1</v>
      </c>
      <c r="H1254" s="19">
        <v>9</v>
      </c>
      <c r="I1254" s="19">
        <v>29</v>
      </c>
      <c r="J1254" s="19">
        <v>28</v>
      </c>
      <c r="K1254" s="19">
        <v>13</v>
      </c>
      <c r="L1254" s="19">
        <v>45</v>
      </c>
      <c r="M1254" s="19">
        <f t="shared" si="404"/>
        <v>173</v>
      </c>
      <c r="N1254" s="27">
        <f t="shared" ref="N1254" si="467">N1253+4</f>
        <v>42332</v>
      </c>
    </row>
    <row r="1255" spans="1:14" x14ac:dyDescent="0.25">
      <c r="A1255" s="15">
        <f t="shared" si="459"/>
        <v>5</v>
      </c>
      <c r="B1255" s="20">
        <f t="shared" ref="B1255:C1255" si="468">B1254+1</f>
        <v>1254</v>
      </c>
      <c r="C1255" s="17">
        <f t="shared" si="468"/>
        <v>100</v>
      </c>
      <c r="D1255" s="17" t="str">
        <f t="shared" si="407"/>
        <v>20151127</v>
      </c>
      <c r="E1255" s="20" t="str">
        <f t="shared" si="466"/>
        <v>20151127100</v>
      </c>
      <c r="F1255" s="19">
        <v>4</v>
      </c>
      <c r="G1255" s="19">
        <v>41</v>
      </c>
      <c r="H1255" s="19">
        <v>5</v>
      </c>
      <c r="I1255" s="19">
        <v>23</v>
      </c>
      <c r="J1255" s="19">
        <v>40</v>
      </c>
      <c r="K1255" s="19">
        <v>25</v>
      </c>
      <c r="L1255" s="19">
        <v>11</v>
      </c>
      <c r="M1255" s="19">
        <f t="shared" si="404"/>
        <v>149</v>
      </c>
      <c r="N1255" s="27">
        <f t="shared" si="405"/>
        <v>42335</v>
      </c>
    </row>
    <row r="1256" spans="1:14" x14ac:dyDescent="0.25">
      <c r="A1256" s="15">
        <f t="shared" ref="A1256:A1264" si="469">WEEKDAY(N1256,2)</f>
        <v>2</v>
      </c>
      <c r="B1256" s="20">
        <f t="shared" ref="B1256:C1256" si="470">B1255+1</f>
        <v>1255</v>
      </c>
      <c r="C1256" s="17">
        <f t="shared" si="470"/>
        <v>101</v>
      </c>
      <c r="D1256" s="17" t="str">
        <f t="shared" si="407"/>
        <v>20151201</v>
      </c>
      <c r="E1256" s="20" t="str">
        <f t="shared" si="466"/>
        <v>20151201101</v>
      </c>
      <c r="F1256" s="19">
        <v>41</v>
      </c>
      <c r="G1256" s="19">
        <v>37</v>
      </c>
      <c r="H1256" s="19">
        <v>13</v>
      </c>
      <c r="I1256" s="19">
        <v>6</v>
      </c>
      <c r="J1256" s="19">
        <v>19</v>
      </c>
      <c r="K1256" s="19">
        <v>15</v>
      </c>
      <c r="L1256" s="19">
        <v>22</v>
      </c>
      <c r="M1256" s="19">
        <f t="shared" si="404"/>
        <v>153</v>
      </c>
      <c r="N1256" s="27">
        <f t="shared" ref="N1256" si="471">N1255+4</f>
        <v>42339</v>
      </c>
    </row>
    <row r="1257" spans="1:14" x14ac:dyDescent="0.25">
      <c r="A1257" s="15">
        <f t="shared" si="469"/>
        <v>5</v>
      </c>
      <c r="B1257" s="20">
        <f t="shared" ref="B1257:C1257" si="472">B1256+1</f>
        <v>1256</v>
      </c>
      <c r="C1257" s="17">
        <f t="shared" si="472"/>
        <v>102</v>
      </c>
      <c r="D1257" s="17" t="str">
        <f t="shared" si="407"/>
        <v>20151204</v>
      </c>
      <c r="E1257" s="20" t="str">
        <f t="shared" si="466"/>
        <v>20151204102</v>
      </c>
      <c r="F1257" s="19">
        <v>16</v>
      </c>
      <c r="G1257" s="19">
        <v>21</v>
      </c>
      <c r="H1257" s="19">
        <v>34</v>
      </c>
      <c r="I1257" s="19">
        <v>47</v>
      </c>
      <c r="J1257" s="19">
        <v>37</v>
      </c>
      <c r="K1257" s="19">
        <v>41</v>
      </c>
      <c r="L1257" s="19">
        <v>29</v>
      </c>
      <c r="M1257" s="19">
        <f t="shared" si="404"/>
        <v>225</v>
      </c>
      <c r="N1257" s="27">
        <f t="shared" si="405"/>
        <v>42342</v>
      </c>
    </row>
    <row r="1258" spans="1:14" x14ac:dyDescent="0.25">
      <c r="A1258" s="15">
        <f t="shared" si="469"/>
        <v>2</v>
      </c>
      <c r="B1258" s="20">
        <f t="shared" ref="B1258:C1258" si="473">B1257+1</f>
        <v>1257</v>
      </c>
      <c r="C1258" s="17">
        <f t="shared" si="473"/>
        <v>103</v>
      </c>
      <c r="D1258" s="17" t="str">
        <f t="shared" si="407"/>
        <v>20151208</v>
      </c>
      <c r="E1258" s="20" t="str">
        <f t="shared" si="466"/>
        <v>20151208103</v>
      </c>
      <c r="F1258" s="19">
        <v>15</v>
      </c>
      <c r="G1258" s="19">
        <v>8</v>
      </c>
      <c r="H1258" s="19">
        <v>40</v>
      </c>
      <c r="I1258" s="19">
        <v>43</v>
      </c>
      <c r="J1258" s="19">
        <v>36</v>
      </c>
      <c r="K1258" s="19">
        <v>32</v>
      </c>
      <c r="L1258" s="19">
        <v>3</v>
      </c>
      <c r="M1258" s="19">
        <f t="shared" si="404"/>
        <v>177</v>
      </c>
      <c r="N1258" s="27">
        <f t="shared" ref="N1258" si="474">N1257+4</f>
        <v>42346</v>
      </c>
    </row>
    <row r="1259" spans="1:14" x14ac:dyDescent="0.25">
      <c r="A1259" s="15">
        <f t="shared" si="469"/>
        <v>5</v>
      </c>
      <c r="B1259" s="20">
        <f t="shared" ref="B1259:C1259" si="475">B1258+1</f>
        <v>1258</v>
      </c>
      <c r="C1259" s="17">
        <f t="shared" si="475"/>
        <v>104</v>
      </c>
      <c r="D1259" s="17" t="str">
        <f t="shared" si="407"/>
        <v>20151211</v>
      </c>
      <c r="E1259" s="20" t="str">
        <f t="shared" si="466"/>
        <v>20151211104</v>
      </c>
      <c r="F1259" s="19">
        <v>42</v>
      </c>
      <c r="G1259" s="19">
        <v>25</v>
      </c>
      <c r="H1259" s="19">
        <v>1</v>
      </c>
      <c r="I1259" s="19">
        <v>43</v>
      </c>
      <c r="J1259" s="19">
        <v>4</v>
      </c>
      <c r="K1259" s="19">
        <v>29</v>
      </c>
      <c r="L1259" s="19">
        <v>11</v>
      </c>
      <c r="M1259" s="19">
        <f t="shared" si="404"/>
        <v>155</v>
      </c>
      <c r="N1259" s="27">
        <f t="shared" si="405"/>
        <v>42349</v>
      </c>
    </row>
    <row r="1260" spans="1:14" x14ac:dyDescent="0.25">
      <c r="A1260" s="15">
        <f t="shared" si="469"/>
        <v>2</v>
      </c>
      <c r="B1260" s="20">
        <f t="shared" ref="B1260:C1260" si="476">B1259+1</f>
        <v>1259</v>
      </c>
      <c r="C1260" s="17">
        <f t="shared" si="476"/>
        <v>105</v>
      </c>
      <c r="D1260" s="17" t="str">
        <f t="shared" si="407"/>
        <v>20151215</v>
      </c>
      <c r="E1260" s="20" t="str">
        <f t="shared" si="466"/>
        <v>20151215105</v>
      </c>
      <c r="F1260" s="19">
        <v>22</v>
      </c>
      <c r="G1260" s="19">
        <v>18</v>
      </c>
      <c r="H1260" s="19">
        <v>31</v>
      </c>
      <c r="I1260" s="19">
        <v>23</v>
      </c>
      <c r="J1260" s="19">
        <v>11</v>
      </c>
      <c r="K1260" s="19">
        <v>4</v>
      </c>
      <c r="L1260" s="19">
        <v>19</v>
      </c>
      <c r="M1260" s="19">
        <f t="shared" si="404"/>
        <v>128</v>
      </c>
      <c r="N1260" s="27">
        <f t="shared" ref="N1260" si="477">N1259+4</f>
        <v>42353</v>
      </c>
    </row>
    <row r="1261" spans="1:14" x14ac:dyDescent="0.25">
      <c r="A1261" s="15">
        <f t="shared" si="469"/>
        <v>5</v>
      </c>
      <c r="B1261" s="20">
        <f t="shared" ref="B1261:C1261" si="478">B1260+1</f>
        <v>1260</v>
      </c>
      <c r="C1261" s="17">
        <f t="shared" si="478"/>
        <v>106</v>
      </c>
      <c r="D1261" s="17" t="str">
        <f t="shared" si="407"/>
        <v>20151218</v>
      </c>
      <c r="E1261" s="20" t="str">
        <f t="shared" si="466"/>
        <v>20151218106</v>
      </c>
      <c r="F1261" s="19">
        <v>25</v>
      </c>
      <c r="G1261" s="19">
        <v>18</v>
      </c>
      <c r="H1261" s="19">
        <v>15</v>
      </c>
      <c r="I1261" s="19">
        <v>6</v>
      </c>
      <c r="J1261" s="19">
        <v>5</v>
      </c>
      <c r="K1261" s="19">
        <v>11</v>
      </c>
      <c r="L1261" s="19">
        <v>31</v>
      </c>
      <c r="M1261" s="19">
        <f t="shared" si="404"/>
        <v>111</v>
      </c>
      <c r="N1261" s="27">
        <f t="shared" si="405"/>
        <v>42356</v>
      </c>
    </row>
    <row r="1262" spans="1:14" x14ac:dyDescent="0.25">
      <c r="A1262" s="15">
        <f t="shared" si="469"/>
        <v>2</v>
      </c>
      <c r="B1262" s="20">
        <f t="shared" ref="B1262:C1262" si="479">B1261+1</f>
        <v>1261</v>
      </c>
      <c r="C1262" s="17">
        <f t="shared" si="479"/>
        <v>107</v>
      </c>
      <c r="D1262" s="17" t="str">
        <f t="shared" si="407"/>
        <v>20151222</v>
      </c>
      <c r="E1262" s="20" t="str">
        <f t="shared" si="466"/>
        <v>20151222107</v>
      </c>
      <c r="F1262" s="19">
        <v>29</v>
      </c>
      <c r="G1262" s="19">
        <v>49</v>
      </c>
      <c r="H1262" s="19">
        <v>37</v>
      </c>
      <c r="I1262" s="19">
        <v>12</v>
      </c>
      <c r="J1262" s="19">
        <v>13</v>
      </c>
      <c r="K1262" s="19">
        <v>8</v>
      </c>
      <c r="L1262" s="19">
        <v>43</v>
      </c>
      <c r="M1262" s="19">
        <f t="shared" si="404"/>
        <v>191</v>
      </c>
      <c r="N1262" s="27">
        <f t="shared" ref="N1262" si="480">N1261+4</f>
        <v>42360</v>
      </c>
    </row>
    <row r="1263" spans="1:14" x14ac:dyDescent="0.25">
      <c r="A1263" s="15">
        <f t="shared" si="469"/>
        <v>5</v>
      </c>
      <c r="B1263" s="20">
        <f t="shared" ref="B1263:C1263" si="481">B1262+1</f>
        <v>1262</v>
      </c>
      <c r="C1263" s="17">
        <f t="shared" si="481"/>
        <v>108</v>
      </c>
      <c r="D1263" s="17" t="str">
        <f t="shared" si="407"/>
        <v>20151225</v>
      </c>
      <c r="E1263" s="20" t="str">
        <f t="shared" si="466"/>
        <v>20151225108</v>
      </c>
      <c r="F1263" s="19">
        <v>12</v>
      </c>
      <c r="G1263" s="19">
        <v>7</v>
      </c>
      <c r="H1263" s="19">
        <v>3</v>
      </c>
      <c r="I1263" s="19">
        <v>16</v>
      </c>
      <c r="J1263" s="19">
        <v>30</v>
      </c>
      <c r="K1263" s="19">
        <v>11</v>
      </c>
      <c r="L1263" s="19">
        <v>13</v>
      </c>
      <c r="M1263" s="19">
        <f t="shared" si="404"/>
        <v>92</v>
      </c>
      <c r="N1263" s="27">
        <f t="shared" si="405"/>
        <v>42363</v>
      </c>
    </row>
    <row r="1264" spans="1:14" x14ac:dyDescent="0.25">
      <c r="A1264" s="15">
        <f t="shared" si="469"/>
        <v>2</v>
      </c>
      <c r="B1264" s="20">
        <f t="shared" ref="B1264:C1264" si="482">B1263+1</f>
        <v>1263</v>
      </c>
      <c r="C1264" s="17">
        <f t="shared" si="482"/>
        <v>109</v>
      </c>
      <c r="D1264" s="17" t="str">
        <f t="shared" si="407"/>
        <v>20151229</v>
      </c>
      <c r="E1264" s="20" t="str">
        <f t="shared" si="466"/>
        <v>20151229109</v>
      </c>
      <c r="F1264" s="19">
        <v>8</v>
      </c>
      <c r="G1264" s="19">
        <v>30</v>
      </c>
      <c r="H1264" s="19">
        <v>32</v>
      </c>
      <c r="I1264" s="19">
        <v>42</v>
      </c>
      <c r="J1264" s="19">
        <v>13</v>
      </c>
      <c r="K1264" s="19">
        <v>1</v>
      </c>
      <c r="L1264" s="19">
        <v>11</v>
      </c>
      <c r="M1264" s="19">
        <f t="shared" si="404"/>
        <v>137</v>
      </c>
      <c r="N1264" s="27">
        <f t="shared" ref="N1264:N1274" si="483">N1263+4</f>
        <v>42367</v>
      </c>
    </row>
    <row r="1265" spans="1:14" x14ac:dyDescent="0.25">
      <c r="A1265" s="15">
        <f t="shared" ref="A1265:A1269" si="484">WEEKDAY(N1265,2)</f>
        <v>5</v>
      </c>
      <c r="B1265" s="20">
        <f t="shared" ref="B1265" si="485">B1264+1</f>
        <v>1264</v>
      </c>
      <c r="C1265" s="17">
        <v>1</v>
      </c>
      <c r="D1265" s="17" t="str">
        <f t="shared" si="407"/>
        <v>20160101</v>
      </c>
      <c r="E1265" s="20" t="str">
        <f t="shared" si="466"/>
        <v>20160101001</v>
      </c>
      <c r="F1265" s="19">
        <v>16</v>
      </c>
      <c r="G1265" s="19">
        <v>41</v>
      </c>
      <c r="H1265" s="19">
        <v>29</v>
      </c>
      <c r="I1265" s="19">
        <v>19</v>
      </c>
      <c r="J1265" s="19">
        <v>24</v>
      </c>
      <c r="K1265" s="19">
        <v>43</v>
      </c>
      <c r="L1265" s="19">
        <v>32</v>
      </c>
      <c r="M1265" s="19">
        <f t="shared" si="404"/>
        <v>204</v>
      </c>
      <c r="N1265" s="27">
        <f t="shared" si="405"/>
        <v>42370</v>
      </c>
    </row>
    <row r="1266" spans="1:14" x14ac:dyDescent="0.25">
      <c r="A1266" s="15">
        <f t="shared" si="484"/>
        <v>2</v>
      </c>
      <c r="B1266" s="20">
        <f t="shared" ref="B1266:C1266" si="486">B1265+1</f>
        <v>1265</v>
      </c>
      <c r="C1266" s="17">
        <f t="shared" si="486"/>
        <v>2</v>
      </c>
      <c r="D1266" s="17" t="str">
        <f t="shared" si="407"/>
        <v>20160105</v>
      </c>
      <c r="E1266" s="20" t="str">
        <f t="shared" si="466"/>
        <v>20160105002</v>
      </c>
      <c r="F1266" s="19">
        <v>7</v>
      </c>
      <c r="G1266" s="19">
        <v>33</v>
      </c>
      <c r="H1266" s="19">
        <v>15</v>
      </c>
      <c r="I1266" s="19">
        <v>25</v>
      </c>
      <c r="J1266" s="19">
        <v>3</v>
      </c>
      <c r="K1266" s="19">
        <v>1</v>
      </c>
      <c r="L1266" s="19">
        <v>21</v>
      </c>
      <c r="M1266" s="19">
        <f t="shared" si="404"/>
        <v>105</v>
      </c>
      <c r="N1266" s="27">
        <f t="shared" si="483"/>
        <v>42374</v>
      </c>
    </row>
    <row r="1267" spans="1:14" x14ac:dyDescent="0.25">
      <c r="A1267" s="15">
        <f t="shared" si="484"/>
        <v>5</v>
      </c>
      <c r="B1267" s="20">
        <f t="shared" ref="B1267:C1267" si="487">B1266+1</f>
        <v>1266</v>
      </c>
      <c r="C1267" s="17">
        <f t="shared" si="487"/>
        <v>3</v>
      </c>
      <c r="D1267" s="17" t="str">
        <f t="shared" si="407"/>
        <v>20160108</v>
      </c>
      <c r="E1267" s="20" t="str">
        <f t="shared" si="466"/>
        <v>20160108003</v>
      </c>
      <c r="F1267" s="19">
        <v>13</v>
      </c>
      <c r="G1267" s="19">
        <v>28</v>
      </c>
      <c r="H1267" s="19">
        <v>44</v>
      </c>
      <c r="I1267" s="19">
        <v>3</v>
      </c>
      <c r="J1267" s="19">
        <v>48</v>
      </c>
      <c r="K1267" s="19">
        <v>10</v>
      </c>
      <c r="L1267" s="19">
        <v>1</v>
      </c>
      <c r="M1267" s="19">
        <f t="shared" si="404"/>
        <v>147</v>
      </c>
      <c r="N1267" s="27">
        <f t="shared" si="405"/>
        <v>42377</v>
      </c>
    </row>
    <row r="1268" spans="1:14" x14ac:dyDescent="0.25">
      <c r="A1268" s="15">
        <f t="shared" si="484"/>
        <v>2</v>
      </c>
      <c r="B1268" s="20">
        <f t="shared" ref="B1268:C1268" si="488">B1267+1</f>
        <v>1267</v>
      </c>
      <c r="C1268" s="17">
        <f t="shared" si="488"/>
        <v>4</v>
      </c>
      <c r="D1268" s="17" t="str">
        <f t="shared" si="407"/>
        <v>20160112</v>
      </c>
      <c r="E1268" s="20" t="str">
        <f t="shared" si="466"/>
        <v>20160112004</v>
      </c>
      <c r="F1268" s="19">
        <v>18</v>
      </c>
      <c r="G1268" s="19">
        <v>15</v>
      </c>
      <c r="H1268" s="19">
        <v>5</v>
      </c>
      <c r="I1268" s="19">
        <v>44</v>
      </c>
      <c r="J1268" s="19">
        <v>40</v>
      </c>
      <c r="K1268" s="19">
        <v>39</v>
      </c>
      <c r="L1268" s="19">
        <v>37</v>
      </c>
      <c r="M1268" s="19">
        <f t="shared" si="404"/>
        <v>198</v>
      </c>
      <c r="N1268" s="27">
        <f t="shared" si="483"/>
        <v>42381</v>
      </c>
    </row>
    <row r="1269" spans="1:14" x14ac:dyDescent="0.25">
      <c r="A1269" s="15">
        <f t="shared" si="484"/>
        <v>5</v>
      </c>
      <c r="B1269" s="20">
        <f t="shared" ref="B1269:C1269" si="489">B1268+1</f>
        <v>1268</v>
      </c>
      <c r="C1269" s="17">
        <f t="shared" si="489"/>
        <v>5</v>
      </c>
      <c r="D1269" s="17" t="str">
        <f t="shared" si="407"/>
        <v>20160115</v>
      </c>
      <c r="E1269" s="20" t="str">
        <f t="shared" si="466"/>
        <v>20160115005</v>
      </c>
      <c r="F1269" s="19">
        <v>27</v>
      </c>
      <c r="G1269" s="19">
        <v>11</v>
      </c>
      <c r="H1269" s="19">
        <v>42</v>
      </c>
      <c r="I1269" s="19">
        <v>6</v>
      </c>
      <c r="J1269" s="19">
        <v>16</v>
      </c>
      <c r="K1269" s="19">
        <v>17</v>
      </c>
      <c r="L1269" s="19">
        <v>35</v>
      </c>
      <c r="M1269" s="19">
        <f t="shared" si="404"/>
        <v>154</v>
      </c>
      <c r="N1269" s="27">
        <f t="shared" si="405"/>
        <v>42384</v>
      </c>
    </row>
    <row r="1270" spans="1:14" x14ac:dyDescent="0.25">
      <c r="A1270" s="15">
        <f t="shared" ref="A1270:A1285" si="490">WEEKDAY(N1270,2)</f>
        <v>2</v>
      </c>
      <c r="B1270" s="20">
        <f t="shared" ref="B1270:C1270" si="491">B1269+1</f>
        <v>1269</v>
      </c>
      <c r="C1270" s="17">
        <f t="shared" si="491"/>
        <v>6</v>
      </c>
      <c r="D1270" s="17" t="str">
        <f t="shared" si="407"/>
        <v>20160119</v>
      </c>
      <c r="E1270" s="20" t="str">
        <f t="shared" si="466"/>
        <v>20160119006</v>
      </c>
      <c r="F1270" s="19">
        <v>14</v>
      </c>
      <c r="G1270" s="19">
        <v>9</v>
      </c>
      <c r="H1270" s="19">
        <v>46</v>
      </c>
      <c r="I1270" s="19">
        <v>4</v>
      </c>
      <c r="J1270" s="19">
        <v>23</v>
      </c>
      <c r="K1270" s="19">
        <v>44</v>
      </c>
      <c r="L1270" s="19">
        <v>41</v>
      </c>
      <c r="M1270" s="19">
        <f t="shared" si="404"/>
        <v>181</v>
      </c>
      <c r="N1270" s="27">
        <f t="shared" si="483"/>
        <v>42388</v>
      </c>
    </row>
    <row r="1271" spans="1:14" x14ac:dyDescent="0.25">
      <c r="A1271" s="15">
        <f t="shared" si="490"/>
        <v>5</v>
      </c>
      <c r="B1271" s="20">
        <f t="shared" ref="B1271:C1271" si="492">B1270+1</f>
        <v>1270</v>
      </c>
      <c r="C1271" s="17">
        <f t="shared" si="492"/>
        <v>7</v>
      </c>
      <c r="D1271" s="17" t="str">
        <f t="shared" si="407"/>
        <v>20160122</v>
      </c>
      <c r="E1271" s="20" t="str">
        <f t="shared" si="466"/>
        <v>20160122007</v>
      </c>
      <c r="F1271" s="19">
        <v>46</v>
      </c>
      <c r="G1271" s="19">
        <v>20</v>
      </c>
      <c r="H1271" s="19">
        <v>10</v>
      </c>
      <c r="I1271" s="19">
        <v>17</v>
      </c>
      <c r="J1271" s="19">
        <v>15</v>
      </c>
      <c r="K1271" s="19">
        <v>43</v>
      </c>
      <c r="L1271" s="19">
        <v>37</v>
      </c>
      <c r="M1271" s="19">
        <f t="shared" si="404"/>
        <v>188</v>
      </c>
      <c r="N1271" s="27">
        <f t="shared" si="405"/>
        <v>42391</v>
      </c>
    </row>
    <row r="1272" spans="1:14" x14ac:dyDescent="0.25">
      <c r="A1272" s="15">
        <f t="shared" si="490"/>
        <v>2</v>
      </c>
      <c r="B1272" s="20">
        <f t="shared" ref="B1272:C1272" si="493">B1271+1</f>
        <v>1271</v>
      </c>
      <c r="C1272" s="17">
        <f t="shared" si="493"/>
        <v>8</v>
      </c>
      <c r="D1272" s="17" t="str">
        <f t="shared" si="407"/>
        <v>20160126</v>
      </c>
      <c r="E1272" s="20" t="str">
        <f t="shared" si="466"/>
        <v>20160126008</v>
      </c>
      <c r="F1272" s="19">
        <v>17</v>
      </c>
      <c r="G1272" s="19">
        <v>46</v>
      </c>
      <c r="H1272" s="19">
        <v>35</v>
      </c>
      <c r="I1272" s="19">
        <v>11</v>
      </c>
      <c r="J1272" s="19">
        <v>13</v>
      </c>
      <c r="K1272" s="19">
        <v>39</v>
      </c>
      <c r="L1272" s="19">
        <v>2</v>
      </c>
      <c r="M1272" s="19">
        <f t="shared" si="404"/>
        <v>163</v>
      </c>
      <c r="N1272" s="27">
        <f t="shared" si="483"/>
        <v>42395</v>
      </c>
    </row>
    <row r="1273" spans="1:14" x14ac:dyDescent="0.25">
      <c r="A1273" s="15">
        <f t="shared" si="490"/>
        <v>5</v>
      </c>
      <c r="B1273" s="20">
        <f t="shared" ref="B1273:C1273" si="494">B1272+1</f>
        <v>1272</v>
      </c>
      <c r="C1273" s="17">
        <f t="shared" si="494"/>
        <v>9</v>
      </c>
      <c r="D1273" s="17" t="str">
        <f t="shared" si="407"/>
        <v>20160129</v>
      </c>
      <c r="E1273" s="20" t="str">
        <f t="shared" si="466"/>
        <v>20160129009</v>
      </c>
      <c r="F1273" s="19">
        <v>16</v>
      </c>
      <c r="G1273" s="19">
        <v>38</v>
      </c>
      <c r="H1273" s="19">
        <v>35</v>
      </c>
      <c r="I1273" s="19">
        <v>45</v>
      </c>
      <c r="J1273" s="19">
        <v>48</v>
      </c>
      <c r="K1273" s="19">
        <v>44</v>
      </c>
      <c r="L1273" s="19">
        <v>27</v>
      </c>
      <c r="M1273" s="19">
        <f t="shared" si="404"/>
        <v>253</v>
      </c>
      <c r="N1273" s="27">
        <f t="shared" si="405"/>
        <v>42398</v>
      </c>
    </row>
    <row r="1274" spans="1:14" x14ac:dyDescent="0.25">
      <c r="A1274" s="15">
        <f t="shared" si="490"/>
        <v>2</v>
      </c>
      <c r="B1274" s="20">
        <f t="shared" ref="B1274:C1274" si="495">B1273+1</f>
        <v>1273</v>
      </c>
      <c r="C1274" s="17">
        <f t="shared" si="495"/>
        <v>10</v>
      </c>
      <c r="D1274" s="17" t="str">
        <f t="shared" si="407"/>
        <v>20160202</v>
      </c>
      <c r="E1274" s="20" t="str">
        <f t="shared" si="466"/>
        <v>20160202010</v>
      </c>
      <c r="F1274" s="19">
        <v>48</v>
      </c>
      <c r="G1274" s="19">
        <v>15</v>
      </c>
      <c r="H1274" s="19">
        <v>21</v>
      </c>
      <c r="I1274" s="19">
        <v>26</v>
      </c>
      <c r="J1274" s="19">
        <v>43</v>
      </c>
      <c r="K1274" s="19">
        <v>23</v>
      </c>
      <c r="L1274" s="19">
        <v>34</v>
      </c>
      <c r="M1274" s="19">
        <f t="shared" si="404"/>
        <v>210</v>
      </c>
      <c r="N1274" s="27">
        <f t="shared" si="483"/>
        <v>42402</v>
      </c>
    </row>
    <row r="1275" spans="1:14" x14ac:dyDescent="0.25">
      <c r="A1275" s="15">
        <f t="shared" si="490"/>
        <v>5</v>
      </c>
      <c r="B1275" s="20">
        <f t="shared" ref="B1275:C1275" si="496">B1274+1</f>
        <v>1274</v>
      </c>
      <c r="C1275" s="17">
        <f t="shared" si="496"/>
        <v>11</v>
      </c>
      <c r="D1275" s="17" t="str">
        <f t="shared" si="407"/>
        <v>20160205</v>
      </c>
      <c r="E1275" s="20" t="str">
        <f t="shared" si="466"/>
        <v>20160205011</v>
      </c>
      <c r="F1275" s="19">
        <v>41</v>
      </c>
      <c r="G1275" s="19">
        <v>5</v>
      </c>
      <c r="H1275" s="19">
        <v>30</v>
      </c>
      <c r="I1275" s="19">
        <v>4</v>
      </c>
      <c r="J1275" s="19">
        <v>26</v>
      </c>
      <c r="K1275" s="19">
        <v>38</v>
      </c>
      <c r="L1275" s="19">
        <v>28</v>
      </c>
      <c r="M1275" s="19">
        <f t="shared" si="404"/>
        <v>172</v>
      </c>
      <c r="N1275" s="27">
        <f t="shared" si="405"/>
        <v>42405</v>
      </c>
    </row>
    <row r="1276" spans="1:14" x14ac:dyDescent="0.25">
      <c r="A1276" s="15">
        <f t="shared" si="490"/>
        <v>7</v>
      </c>
      <c r="B1276" s="20">
        <f t="shared" ref="B1276:C1276" si="497">B1275+1</f>
        <v>1275</v>
      </c>
      <c r="C1276" s="17">
        <f t="shared" si="497"/>
        <v>12</v>
      </c>
      <c r="D1276" s="17" t="str">
        <f t="shared" si="407"/>
        <v>20160207</v>
      </c>
      <c r="E1276" s="20" t="str">
        <f t="shared" si="466"/>
        <v>20160207012</v>
      </c>
      <c r="F1276" s="19">
        <v>21</v>
      </c>
      <c r="G1276" s="19">
        <v>11</v>
      </c>
      <c r="H1276" s="19">
        <v>4</v>
      </c>
      <c r="I1276" s="19">
        <v>37</v>
      </c>
      <c r="J1276" s="19">
        <v>35</v>
      </c>
      <c r="K1276" s="19">
        <v>25</v>
      </c>
      <c r="L1276" s="19">
        <v>43</v>
      </c>
      <c r="M1276" s="19">
        <f t="shared" si="404"/>
        <v>176</v>
      </c>
      <c r="N1276" s="27">
        <f>N1275+2</f>
        <v>42407</v>
      </c>
    </row>
    <row r="1277" spans="1:14" x14ac:dyDescent="0.25">
      <c r="A1277" s="15">
        <f t="shared" si="490"/>
        <v>1</v>
      </c>
      <c r="B1277" s="20">
        <f t="shared" ref="B1277:C1277" si="498">B1276+1</f>
        <v>1276</v>
      </c>
      <c r="C1277" s="17">
        <f t="shared" si="498"/>
        <v>13</v>
      </c>
      <c r="D1277" s="17" t="str">
        <f t="shared" si="407"/>
        <v>20160208</v>
      </c>
      <c r="E1277" s="20" t="str">
        <f t="shared" si="466"/>
        <v>20160208013</v>
      </c>
      <c r="F1277" s="19">
        <v>27</v>
      </c>
      <c r="G1277" s="19">
        <v>12</v>
      </c>
      <c r="H1277" s="19">
        <v>8</v>
      </c>
      <c r="I1277" s="19">
        <v>32</v>
      </c>
      <c r="J1277" s="19">
        <v>13</v>
      </c>
      <c r="K1277" s="19">
        <v>16</v>
      </c>
      <c r="L1277" s="19">
        <v>24</v>
      </c>
      <c r="M1277" s="19">
        <f t="shared" si="404"/>
        <v>132</v>
      </c>
      <c r="N1277" s="27">
        <f t="shared" ref="N1277:N1283" si="499">N1276+1</f>
        <v>42408</v>
      </c>
    </row>
    <row r="1278" spans="1:14" x14ac:dyDescent="0.25">
      <c r="A1278" s="15">
        <f t="shared" si="490"/>
        <v>2</v>
      </c>
      <c r="B1278" s="20">
        <f t="shared" ref="B1278:C1278" si="500">B1277+1</f>
        <v>1277</v>
      </c>
      <c r="C1278" s="17">
        <f t="shared" si="500"/>
        <v>14</v>
      </c>
      <c r="D1278" s="17" t="str">
        <f t="shared" si="407"/>
        <v>20160209</v>
      </c>
      <c r="E1278" s="20" t="str">
        <f t="shared" si="466"/>
        <v>20160209014</v>
      </c>
      <c r="F1278" s="19">
        <v>31</v>
      </c>
      <c r="G1278" s="19">
        <v>25</v>
      </c>
      <c r="H1278" s="19">
        <v>9</v>
      </c>
      <c r="I1278" s="19">
        <v>24</v>
      </c>
      <c r="J1278" s="19">
        <v>45</v>
      </c>
      <c r="K1278" s="19">
        <v>37</v>
      </c>
      <c r="L1278" s="19">
        <v>12</v>
      </c>
      <c r="M1278" s="19">
        <f t="shared" si="404"/>
        <v>183</v>
      </c>
      <c r="N1278" s="27">
        <f t="shared" si="499"/>
        <v>42409</v>
      </c>
    </row>
    <row r="1279" spans="1:14" x14ac:dyDescent="0.25">
      <c r="A1279" s="15">
        <f t="shared" si="490"/>
        <v>3</v>
      </c>
      <c r="B1279" s="20">
        <f t="shared" ref="B1279:C1279" si="501">B1278+1</f>
        <v>1278</v>
      </c>
      <c r="C1279" s="17">
        <f t="shared" si="501"/>
        <v>15</v>
      </c>
      <c r="D1279" s="17" t="str">
        <f t="shared" si="407"/>
        <v>20160210</v>
      </c>
      <c r="E1279" s="20" t="str">
        <f t="shared" si="466"/>
        <v>20160210015</v>
      </c>
      <c r="F1279" s="19">
        <v>19</v>
      </c>
      <c r="G1279" s="19">
        <v>32</v>
      </c>
      <c r="H1279" s="19">
        <v>22</v>
      </c>
      <c r="I1279" s="19">
        <v>47</v>
      </c>
      <c r="J1279" s="19">
        <v>18</v>
      </c>
      <c r="K1279" s="19">
        <v>44</v>
      </c>
      <c r="L1279" s="19">
        <v>9</v>
      </c>
      <c r="M1279" s="19">
        <f t="shared" si="404"/>
        <v>191</v>
      </c>
      <c r="N1279" s="27">
        <f t="shared" si="499"/>
        <v>42410</v>
      </c>
    </row>
    <row r="1280" spans="1:14" x14ac:dyDescent="0.25">
      <c r="A1280" s="15">
        <f t="shared" si="490"/>
        <v>4</v>
      </c>
      <c r="B1280" s="20">
        <f t="shared" ref="B1280:C1280" si="502">B1279+1</f>
        <v>1279</v>
      </c>
      <c r="C1280" s="17">
        <f t="shared" si="502"/>
        <v>16</v>
      </c>
      <c r="D1280" s="17" t="str">
        <f t="shared" si="407"/>
        <v>20160211</v>
      </c>
      <c r="E1280" s="20" t="str">
        <f t="shared" si="466"/>
        <v>20160211016</v>
      </c>
      <c r="F1280" s="19">
        <v>3</v>
      </c>
      <c r="G1280" s="19">
        <v>34</v>
      </c>
      <c r="H1280" s="19">
        <v>13</v>
      </c>
      <c r="I1280" s="19">
        <v>48</v>
      </c>
      <c r="J1280" s="19">
        <v>29</v>
      </c>
      <c r="K1280" s="19">
        <v>30</v>
      </c>
      <c r="L1280" s="19">
        <v>28</v>
      </c>
      <c r="M1280" s="19">
        <f t="shared" si="404"/>
        <v>185</v>
      </c>
      <c r="N1280" s="27">
        <f t="shared" si="499"/>
        <v>42411</v>
      </c>
    </row>
    <row r="1281" spans="1:14" x14ac:dyDescent="0.25">
      <c r="A1281" s="15">
        <f t="shared" si="490"/>
        <v>5</v>
      </c>
      <c r="B1281" s="20">
        <f t="shared" ref="B1281:C1281" si="503">B1280+1</f>
        <v>1280</v>
      </c>
      <c r="C1281" s="17">
        <f t="shared" si="503"/>
        <v>17</v>
      </c>
      <c r="D1281" s="17" t="str">
        <f t="shared" si="407"/>
        <v>20160212</v>
      </c>
      <c r="E1281" s="20" t="str">
        <f t="shared" si="466"/>
        <v>20160212017</v>
      </c>
      <c r="F1281" s="19">
        <v>32</v>
      </c>
      <c r="G1281" s="19">
        <v>22</v>
      </c>
      <c r="H1281" s="19">
        <v>6</v>
      </c>
      <c r="I1281" s="19">
        <v>10</v>
      </c>
      <c r="J1281" s="19">
        <v>11</v>
      </c>
      <c r="K1281" s="19">
        <v>45</v>
      </c>
      <c r="L1281" s="19">
        <v>4</v>
      </c>
      <c r="M1281" s="19">
        <f t="shared" si="404"/>
        <v>130</v>
      </c>
      <c r="N1281" s="27">
        <f t="shared" si="499"/>
        <v>42412</v>
      </c>
    </row>
    <row r="1282" spans="1:14" x14ac:dyDescent="0.25">
      <c r="A1282" s="15">
        <f t="shared" si="490"/>
        <v>6</v>
      </c>
      <c r="B1282" s="20">
        <f t="shared" ref="B1282:C1282" si="504">B1281+1</f>
        <v>1281</v>
      </c>
      <c r="C1282" s="17">
        <f t="shared" si="504"/>
        <v>18</v>
      </c>
      <c r="D1282" s="17" t="str">
        <f t="shared" si="407"/>
        <v>20160213</v>
      </c>
      <c r="E1282" s="20" t="str">
        <f t="shared" si="466"/>
        <v>20160213018</v>
      </c>
      <c r="F1282" s="19">
        <v>6</v>
      </c>
      <c r="G1282" s="19">
        <v>18</v>
      </c>
      <c r="H1282" s="19">
        <v>29</v>
      </c>
      <c r="I1282" s="19">
        <v>35</v>
      </c>
      <c r="J1282" s="19">
        <v>4</v>
      </c>
      <c r="K1282" s="19">
        <v>48</v>
      </c>
      <c r="L1282" s="19">
        <v>20</v>
      </c>
      <c r="M1282" s="19">
        <f t="shared" si="404"/>
        <v>160</v>
      </c>
      <c r="N1282" s="27">
        <f t="shared" si="499"/>
        <v>42413</v>
      </c>
    </row>
    <row r="1283" spans="1:14" x14ac:dyDescent="0.25">
      <c r="A1283" s="15">
        <f t="shared" si="490"/>
        <v>7</v>
      </c>
      <c r="B1283" s="20">
        <f t="shared" ref="B1283:C1283" si="505">B1282+1</f>
        <v>1282</v>
      </c>
      <c r="C1283" s="17">
        <f t="shared" si="505"/>
        <v>19</v>
      </c>
      <c r="D1283" s="17" t="str">
        <f t="shared" si="407"/>
        <v>20160214</v>
      </c>
      <c r="E1283" s="20" t="str">
        <f t="shared" si="466"/>
        <v>20160214019</v>
      </c>
      <c r="F1283" s="19">
        <v>21</v>
      </c>
      <c r="G1283" s="19">
        <v>3</v>
      </c>
      <c r="H1283" s="19">
        <v>26</v>
      </c>
      <c r="I1283" s="19">
        <v>16</v>
      </c>
      <c r="J1283" s="19">
        <v>20</v>
      </c>
      <c r="K1283" s="19">
        <v>1</v>
      </c>
      <c r="L1283" s="19">
        <v>22</v>
      </c>
      <c r="M1283" s="19">
        <f t="shared" ref="M1283:M1323" si="506">SUM(F1283:L1283)</f>
        <v>109</v>
      </c>
      <c r="N1283" s="27">
        <f t="shared" si="499"/>
        <v>42414</v>
      </c>
    </row>
    <row r="1284" spans="1:14" x14ac:dyDescent="0.25">
      <c r="A1284" s="15">
        <f t="shared" si="490"/>
        <v>7</v>
      </c>
      <c r="B1284" s="20">
        <f t="shared" ref="B1284:C1284" si="507">B1283+1</f>
        <v>1283</v>
      </c>
      <c r="C1284" s="17">
        <f t="shared" si="507"/>
        <v>20</v>
      </c>
      <c r="D1284" s="17" t="str">
        <f t="shared" ref="D1284:D1347" si="508">CONCATENATE(TEXT(YEAR(N1284),"0000"),TEXT(MONTH(N1284),"00"),TEXT(DAY(N1284),"00"))</f>
        <v>20160214</v>
      </c>
      <c r="E1284" s="20" t="str">
        <f t="shared" si="466"/>
        <v>20160214020</v>
      </c>
      <c r="F1284" s="19">
        <v>23</v>
      </c>
      <c r="G1284" s="19">
        <v>33</v>
      </c>
      <c r="H1284" s="19">
        <v>11</v>
      </c>
      <c r="I1284" s="19">
        <v>34</v>
      </c>
      <c r="J1284" s="19">
        <v>40</v>
      </c>
      <c r="K1284" s="19">
        <v>29</v>
      </c>
      <c r="L1284" s="19">
        <v>6</v>
      </c>
      <c r="M1284" s="19">
        <f t="shared" si="506"/>
        <v>176</v>
      </c>
      <c r="N1284" s="27">
        <v>42414</v>
      </c>
    </row>
    <row r="1285" spans="1:14" x14ac:dyDescent="0.25">
      <c r="A1285" s="15">
        <f t="shared" si="490"/>
        <v>5</v>
      </c>
      <c r="B1285" s="20">
        <f t="shared" ref="B1285:C1285" si="509">B1284+1</f>
        <v>1284</v>
      </c>
      <c r="C1285" s="17">
        <f t="shared" si="509"/>
        <v>21</v>
      </c>
      <c r="D1285" s="17" t="str">
        <f t="shared" si="508"/>
        <v>20160219</v>
      </c>
      <c r="E1285" s="20" t="str">
        <f t="shared" si="466"/>
        <v>20160219021</v>
      </c>
      <c r="F1285" s="19">
        <v>23</v>
      </c>
      <c r="G1285" s="19">
        <v>20</v>
      </c>
      <c r="H1285" s="19">
        <v>44</v>
      </c>
      <c r="I1285" s="19">
        <v>30</v>
      </c>
      <c r="J1285" s="19">
        <v>11</v>
      </c>
      <c r="K1285" s="19">
        <v>39</v>
      </c>
      <c r="L1285" s="19">
        <v>49</v>
      </c>
      <c r="M1285" s="19">
        <f t="shared" si="506"/>
        <v>216</v>
      </c>
      <c r="N1285" s="27">
        <f>N1284+5</f>
        <v>42419</v>
      </c>
    </row>
    <row r="1286" spans="1:14" x14ac:dyDescent="0.25">
      <c r="A1286" s="15">
        <f t="shared" ref="A1286:A1287" si="510">WEEKDAY(N1286,2)</f>
        <v>2</v>
      </c>
      <c r="B1286" s="20">
        <f t="shared" ref="B1286:C1286" si="511">B1285+1</f>
        <v>1285</v>
      </c>
      <c r="C1286" s="17">
        <f t="shared" si="511"/>
        <v>22</v>
      </c>
      <c r="D1286" s="17" t="str">
        <f t="shared" si="508"/>
        <v>20160223</v>
      </c>
      <c r="E1286" s="20" t="str">
        <f t="shared" si="466"/>
        <v>20160223022</v>
      </c>
      <c r="F1286" s="19">
        <v>20</v>
      </c>
      <c r="G1286" s="19">
        <v>14</v>
      </c>
      <c r="H1286" s="19">
        <v>19</v>
      </c>
      <c r="I1286" s="19">
        <v>43</v>
      </c>
      <c r="J1286" s="19">
        <v>45</v>
      </c>
      <c r="K1286" s="19">
        <v>10</v>
      </c>
      <c r="L1286" s="19">
        <v>22</v>
      </c>
      <c r="M1286" s="19">
        <f t="shared" si="506"/>
        <v>173</v>
      </c>
      <c r="N1286" s="27">
        <f t="shared" ref="N1286:N1288" si="512">N1285+4</f>
        <v>42423</v>
      </c>
    </row>
    <row r="1287" spans="1:14" x14ac:dyDescent="0.25">
      <c r="A1287" s="15">
        <f t="shared" si="510"/>
        <v>5</v>
      </c>
      <c r="B1287" s="20">
        <f t="shared" ref="B1287:C1287" si="513">B1286+1</f>
        <v>1286</v>
      </c>
      <c r="C1287" s="17">
        <f t="shared" si="513"/>
        <v>23</v>
      </c>
      <c r="D1287" s="17" t="str">
        <f t="shared" si="508"/>
        <v>20160226</v>
      </c>
      <c r="E1287" s="20" t="str">
        <f t="shared" si="466"/>
        <v>20160226023</v>
      </c>
      <c r="F1287" s="19">
        <v>3</v>
      </c>
      <c r="G1287" s="19">
        <v>46</v>
      </c>
      <c r="H1287" s="19">
        <v>21</v>
      </c>
      <c r="I1287" s="19">
        <v>9</v>
      </c>
      <c r="J1287" s="19">
        <v>17</v>
      </c>
      <c r="K1287" s="19">
        <v>41</v>
      </c>
      <c r="L1287" s="19">
        <v>27</v>
      </c>
      <c r="M1287" s="19">
        <f t="shared" si="506"/>
        <v>164</v>
      </c>
      <c r="N1287" s="27">
        <f t="shared" ref="N1287" si="514">N1286+3</f>
        <v>42426</v>
      </c>
    </row>
    <row r="1288" spans="1:14" x14ac:dyDescent="0.25">
      <c r="A1288" s="15">
        <f t="shared" ref="A1288:A1305" si="515">WEEKDAY(N1288,2)</f>
        <v>2</v>
      </c>
      <c r="B1288" s="20">
        <f t="shared" ref="B1288:C1288" si="516">B1287+1</f>
        <v>1287</v>
      </c>
      <c r="C1288" s="17">
        <f t="shared" si="516"/>
        <v>24</v>
      </c>
      <c r="D1288" s="17" t="str">
        <f t="shared" si="508"/>
        <v>20160301</v>
      </c>
      <c r="E1288" s="20" t="str">
        <f t="shared" ref="E1288:E1305" si="517">CONCATENATE(D1288,TEXT(C1288,"000"))</f>
        <v>20160301024</v>
      </c>
      <c r="F1288" s="19">
        <v>34</v>
      </c>
      <c r="G1288" s="19">
        <v>17</v>
      </c>
      <c r="H1288" s="19">
        <v>23</v>
      </c>
      <c r="I1288" s="19">
        <v>14</v>
      </c>
      <c r="J1288" s="19">
        <v>7</v>
      </c>
      <c r="K1288" s="19">
        <v>22</v>
      </c>
      <c r="L1288" s="19">
        <v>12</v>
      </c>
      <c r="M1288" s="19">
        <f t="shared" si="506"/>
        <v>129</v>
      </c>
      <c r="N1288" s="27">
        <f t="shared" si="512"/>
        <v>42430</v>
      </c>
    </row>
    <row r="1289" spans="1:14" x14ac:dyDescent="0.25">
      <c r="A1289" s="15">
        <f t="shared" si="515"/>
        <v>5</v>
      </c>
      <c r="B1289" s="20">
        <f t="shared" ref="B1289:C1289" si="518">B1288+1</f>
        <v>1288</v>
      </c>
      <c r="C1289" s="17">
        <f t="shared" si="518"/>
        <v>25</v>
      </c>
      <c r="D1289" s="17" t="str">
        <f t="shared" si="508"/>
        <v>20160304</v>
      </c>
      <c r="E1289" s="20" t="str">
        <f t="shared" si="517"/>
        <v>20160304025</v>
      </c>
      <c r="F1289" s="19">
        <v>29</v>
      </c>
      <c r="G1289" s="19">
        <v>7</v>
      </c>
      <c r="H1289" s="19">
        <v>5</v>
      </c>
      <c r="I1289" s="19">
        <v>12</v>
      </c>
      <c r="J1289" s="19">
        <v>22</v>
      </c>
      <c r="K1289" s="19">
        <v>17</v>
      </c>
      <c r="L1289" s="19">
        <v>4</v>
      </c>
      <c r="M1289" s="19">
        <f t="shared" si="506"/>
        <v>96</v>
      </c>
      <c r="N1289" s="27">
        <f t="shared" ref="N1289:N1345" si="519">N1288+3</f>
        <v>42433</v>
      </c>
    </row>
    <row r="1290" spans="1:14" x14ac:dyDescent="0.25">
      <c r="A1290" s="15">
        <f t="shared" si="515"/>
        <v>2</v>
      </c>
      <c r="B1290" s="20">
        <f t="shared" ref="B1290:C1290" si="520">B1289+1</f>
        <v>1289</v>
      </c>
      <c r="C1290" s="17">
        <f t="shared" si="520"/>
        <v>26</v>
      </c>
      <c r="D1290" s="17" t="str">
        <f t="shared" si="508"/>
        <v>20160308</v>
      </c>
      <c r="E1290" s="20" t="str">
        <f t="shared" si="517"/>
        <v>20160308026</v>
      </c>
      <c r="F1290" s="19">
        <v>3</v>
      </c>
      <c r="G1290" s="19">
        <v>30</v>
      </c>
      <c r="H1290" s="19">
        <v>27</v>
      </c>
      <c r="I1290" s="19">
        <v>39</v>
      </c>
      <c r="J1290" s="19">
        <v>41</v>
      </c>
      <c r="K1290" s="19">
        <v>35</v>
      </c>
      <c r="L1290" s="19">
        <v>32</v>
      </c>
      <c r="M1290" s="19">
        <f t="shared" si="506"/>
        <v>207</v>
      </c>
      <c r="N1290" s="27">
        <f t="shared" ref="N1290:N1344" si="521">N1289+4</f>
        <v>42437</v>
      </c>
    </row>
    <row r="1291" spans="1:14" x14ac:dyDescent="0.25">
      <c r="A1291" s="15">
        <f t="shared" si="515"/>
        <v>5</v>
      </c>
      <c r="B1291" s="20">
        <f t="shared" ref="B1291:C1291" si="522">B1290+1</f>
        <v>1290</v>
      </c>
      <c r="C1291" s="17">
        <f t="shared" si="522"/>
        <v>27</v>
      </c>
      <c r="D1291" s="17" t="str">
        <f t="shared" si="508"/>
        <v>20160311</v>
      </c>
      <c r="E1291" s="20" t="str">
        <f t="shared" si="517"/>
        <v>20160311027</v>
      </c>
      <c r="F1291" s="19">
        <v>9</v>
      </c>
      <c r="G1291" s="19">
        <v>34</v>
      </c>
      <c r="H1291" s="19">
        <v>49</v>
      </c>
      <c r="I1291" s="19">
        <v>36</v>
      </c>
      <c r="J1291" s="19">
        <v>16</v>
      </c>
      <c r="K1291" s="19">
        <v>30</v>
      </c>
      <c r="L1291" s="19">
        <v>31</v>
      </c>
      <c r="M1291" s="19">
        <f t="shared" si="506"/>
        <v>205</v>
      </c>
      <c r="N1291" s="27">
        <f t="shared" si="519"/>
        <v>42440</v>
      </c>
    </row>
    <row r="1292" spans="1:14" x14ac:dyDescent="0.25">
      <c r="A1292" s="15">
        <f t="shared" si="515"/>
        <v>2</v>
      </c>
      <c r="B1292" s="20">
        <f t="shared" ref="B1292:C1292" si="523">B1291+1</f>
        <v>1291</v>
      </c>
      <c r="C1292" s="17">
        <f t="shared" si="523"/>
        <v>28</v>
      </c>
      <c r="D1292" s="17" t="str">
        <f t="shared" si="508"/>
        <v>20160315</v>
      </c>
      <c r="E1292" s="20" t="str">
        <f t="shared" si="517"/>
        <v>20160315028</v>
      </c>
      <c r="F1292" s="19">
        <v>14</v>
      </c>
      <c r="G1292" s="19">
        <v>48</v>
      </c>
      <c r="H1292" s="19">
        <v>6</v>
      </c>
      <c r="I1292" s="19">
        <v>30</v>
      </c>
      <c r="J1292" s="19">
        <v>42</v>
      </c>
      <c r="K1292" s="19">
        <v>47</v>
      </c>
      <c r="L1292" s="19">
        <v>18</v>
      </c>
      <c r="M1292" s="19">
        <f t="shared" si="506"/>
        <v>205</v>
      </c>
      <c r="N1292" s="27">
        <f t="shared" si="521"/>
        <v>42444</v>
      </c>
    </row>
    <row r="1293" spans="1:14" x14ac:dyDescent="0.25">
      <c r="A1293" s="15">
        <f t="shared" si="515"/>
        <v>5</v>
      </c>
      <c r="B1293" s="20">
        <f t="shared" ref="B1293:C1293" si="524">B1292+1</f>
        <v>1292</v>
      </c>
      <c r="C1293" s="17">
        <f t="shared" si="524"/>
        <v>29</v>
      </c>
      <c r="D1293" s="17" t="str">
        <f t="shared" si="508"/>
        <v>20160318</v>
      </c>
      <c r="E1293" s="20" t="str">
        <f t="shared" si="517"/>
        <v>20160318029</v>
      </c>
      <c r="F1293" s="19">
        <v>4</v>
      </c>
      <c r="G1293" s="19">
        <v>18</v>
      </c>
      <c r="H1293" s="19">
        <v>1</v>
      </c>
      <c r="I1293" s="19">
        <v>3</v>
      </c>
      <c r="J1293" s="19">
        <v>25</v>
      </c>
      <c r="K1293" s="19">
        <v>47</v>
      </c>
      <c r="L1293" s="19">
        <v>13</v>
      </c>
      <c r="M1293" s="19">
        <f t="shared" si="506"/>
        <v>111</v>
      </c>
      <c r="N1293" s="27">
        <f t="shared" si="519"/>
        <v>42447</v>
      </c>
    </row>
    <row r="1294" spans="1:14" x14ac:dyDescent="0.25">
      <c r="A1294" s="15">
        <f t="shared" si="515"/>
        <v>2</v>
      </c>
      <c r="B1294" s="20">
        <f t="shared" ref="B1294:C1294" si="525">B1293+1</f>
        <v>1293</v>
      </c>
      <c r="C1294" s="17">
        <f t="shared" si="525"/>
        <v>30</v>
      </c>
      <c r="D1294" s="17" t="str">
        <f t="shared" si="508"/>
        <v>20160322</v>
      </c>
      <c r="E1294" s="20" t="str">
        <f t="shared" si="517"/>
        <v>20160322030</v>
      </c>
      <c r="F1294" s="19">
        <v>33</v>
      </c>
      <c r="G1294" s="19">
        <v>7</v>
      </c>
      <c r="H1294" s="19">
        <v>16</v>
      </c>
      <c r="I1294" s="19">
        <v>20</v>
      </c>
      <c r="J1294" s="19">
        <v>30</v>
      </c>
      <c r="K1294" s="19">
        <v>11</v>
      </c>
      <c r="L1294" s="19">
        <v>6</v>
      </c>
      <c r="M1294" s="19">
        <f t="shared" si="506"/>
        <v>123</v>
      </c>
      <c r="N1294" s="27">
        <f t="shared" si="521"/>
        <v>42451</v>
      </c>
    </row>
    <row r="1295" spans="1:14" x14ac:dyDescent="0.25">
      <c r="A1295" s="15">
        <f t="shared" si="515"/>
        <v>5</v>
      </c>
      <c r="B1295" s="20">
        <f t="shared" ref="B1295:C1295" si="526">B1294+1</f>
        <v>1294</v>
      </c>
      <c r="C1295" s="17">
        <f t="shared" si="526"/>
        <v>31</v>
      </c>
      <c r="D1295" s="17" t="str">
        <f t="shared" si="508"/>
        <v>20160325</v>
      </c>
      <c r="E1295" s="20" t="str">
        <f t="shared" si="517"/>
        <v>20160325031</v>
      </c>
      <c r="F1295" s="19">
        <v>37</v>
      </c>
      <c r="G1295" s="19">
        <v>41</v>
      </c>
      <c r="H1295" s="19">
        <v>7</v>
      </c>
      <c r="I1295" s="19">
        <v>11</v>
      </c>
      <c r="J1295" s="19">
        <v>40</v>
      </c>
      <c r="K1295" s="19">
        <v>22</v>
      </c>
      <c r="L1295" s="19">
        <v>20</v>
      </c>
      <c r="M1295" s="19">
        <f t="shared" si="506"/>
        <v>178</v>
      </c>
      <c r="N1295" s="27">
        <f t="shared" si="519"/>
        <v>42454</v>
      </c>
    </row>
    <row r="1296" spans="1:14" x14ac:dyDescent="0.25">
      <c r="A1296" s="15">
        <f t="shared" si="515"/>
        <v>2</v>
      </c>
      <c r="B1296" s="20">
        <f t="shared" ref="B1296:C1296" si="527">B1295+1</f>
        <v>1295</v>
      </c>
      <c r="C1296" s="17">
        <f t="shared" si="527"/>
        <v>32</v>
      </c>
      <c r="D1296" s="17" t="str">
        <f t="shared" si="508"/>
        <v>20160329</v>
      </c>
      <c r="E1296" s="20" t="str">
        <f t="shared" si="517"/>
        <v>20160329032</v>
      </c>
      <c r="F1296" s="19">
        <v>47</v>
      </c>
      <c r="G1296" s="19">
        <v>18</v>
      </c>
      <c r="H1296" s="19">
        <v>46</v>
      </c>
      <c r="I1296" s="19">
        <v>1</v>
      </c>
      <c r="J1296" s="19">
        <v>34</v>
      </c>
      <c r="K1296" s="19">
        <v>17</v>
      </c>
      <c r="L1296" s="19">
        <v>25</v>
      </c>
      <c r="M1296" s="19">
        <f t="shared" si="506"/>
        <v>188</v>
      </c>
      <c r="N1296" s="27">
        <f t="shared" si="521"/>
        <v>42458</v>
      </c>
    </row>
    <row r="1297" spans="1:14" x14ac:dyDescent="0.25">
      <c r="A1297" s="15">
        <f t="shared" si="515"/>
        <v>5</v>
      </c>
      <c r="B1297" s="20">
        <f t="shared" ref="B1297:C1297" si="528">B1296+1</f>
        <v>1296</v>
      </c>
      <c r="C1297" s="17">
        <f t="shared" si="528"/>
        <v>33</v>
      </c>
      <c r="D1297" s="17" t="str">
        <f t="shared" si="508"/>
        <v>20160401</v>
      </c>
      <c r="E1297" s="20" t="str">
        <f t="shared" si="517"/>
        <v>20160401033</v>
      </c>
      <c r="F1297" s="19">
        <v>39</v>
      </c>
      <c r="G1297" s="19">
        <v>12</v>
      </c>
      <c r="H1297" s="19">
        <v>16</v>
      </c>
      <c r="I1297" s="19">
        <v>29</v>
      </c>
      <c r="J1297" s="19">
        <v>8</v>
      </c>
      <c r="K1297" s="19">
        <v>37</v>
      </c>
      <c r="L1297" s="19">
        <v>40</v>
      </c>
      <c r="M1297" s="19">
        <f t="shared" si="506"/>
        <v>181</v>
      </c>
      <c r="N1297" s="27">
        <f t="shared" si="519"/>
        <v>42461</v>
      </c>
    </row>
    <row r="1298" spans="1:14" x14ac:dyDescent="0.25">
      <c r="A1298" s="15">
        <f t="shared" si="515"/>
        <v>2</v>
      </c>
      <c r="B1298" s="20">
        <f t="shared" ref="B1298:C1298" si="529">B1297+1</f>
        <v>1297</v>
      </c>
      <c r="C1298" s="17">
        <f t="shared" si="529"/>
        <v>34</v>
      </c>
      <c r="D1298" s="17" t="str">
        <f t="shared" si="508"/>
        <v>20160405</v>
      </c>
      <c r="E1298" s="20" t="str">
        <f t="shared" si="517"/>
        <v>20160405034</v>
      </c>
      <c r="F1298" s="19">
        <v>14</v>
      </c>
      <c r="G1298" s="19">
        <v>32</v>
      </c>
      <c r="H1298" s="19">
        <v>38</v>
      </c>
      <c r="I1298" s="19">
        <v>43</v>
      </c>
      <c r="J1298" s="19">
        <v>23</v>
      </c>
      <c r="K1298" s="19">
        <v>26</v>
      </c>
      <c r="L1298" s="19">
        <v>3</v>
      </c>
      <c r="M1298" s="19">
        <f t="shared" si="506"/>
        <v>179</v>
      </c>
      <c r="N1298" s="27">
        <f t="shared" si="521"/>
        <v>42465</v>
      </c>
    </row>
    <row r="1299" spans="1:14" x14ac:dyDescent="0.25">
      <c r="A1299" s="15">
        <f t="shared" si="515"/>
        <v>5</v>
      </c>
      <c r="B1299" s="20">
        <f t="shared" ref="B1299:C1299" si="530">B1298+1</f>
        <v>1298</v>
      </c>
      <c r="C1299" s="17">
        <f t="shared" si="530"/>
        <v>35</v>
      </c>
      <c r="D1299" s="17" t="str">
        <f t="shared" si="508"/>
        <v>20160408</v>
      </c>
      <c r="E1299" s="20" t="str">
        <f t="shared" si="517"/>
        <v>20160408035</v>
      </c>
      <c r="F1299" s="19">
        <v>36</v>
      </c>
      <c r="G1299" s="19">
        <v>45</v>
      </c>
      <c r="H1299" s="19">
        <v>7</v>
      </c>
      <c r="I1299" s="19">
        <v>30</v>
      </c>
      <c r="J1299" s="19">
        <v>13</v>
      </c>
      <c r="K1299" s="19">
        <v>2</v>
      </c>
      <c r="L1299" s="19">
        <v>43</v>
      </c>
      <c r="M1299" s="19">
        <f t="shared" si="506"/>
        <v>176</v>
      </c>
      <c r="N1299" s="27">
        <f t="shared" si="519"/>
        <v>42468</v>
      </c>
    </row>
    <row r="1300" spans="1:14" x14ac:dyDescent="0.25">
      <c r="A1300" s="15">
        <f t="shared" si="515"/>
        <v>2</v>
      </c>
      <c r="B1300" s="20">
        <f t="shared" ref="B1300:C1300" si="531">B1299+1</f>
        <v>1299</v>
      </c>
      <c r="C1300" s="17">
        <f t="shared" si="531"/>
        <v>36</v>
      </c>
      <c r="D1300" s="17" t="str">
        <f t="shared" si="508"/>
        <v>20160412</v>
      </c>
      <c r="E1300" s="20" t="str">
        <f t="shared" si="517"/>
        <v>20160412036</v>
      </c>
      <c r="F1300" s="19">
        <v>19</v>
      </c>
      <c r="G1300" s="19">
        <v>11</v>
      </c>
      <c r="H1300" s="19">
        <v>49</v>
      </c>
      <c r="I1300" s="19">
        <v>45</v>
      </c>
      <c r="J1300" s="19">
        <v>39</v>
      </c>
      <c r="K1300" s="19">
        <v>14</v>
      </c>
      <c r="L1300" s="19">
        <v>23</v>
      </c>
      <c r="M1300" s="19">
        <f t="shared" si="506"/>
        <v>200</v>
      </c>
      <c r="N1300" s="27">
        <f t="shared" si="521"/>
        <v>42472</v>
      </c>
    </row>
    <row r="1301" spans="1:14" x14ac:dyDescent="0.25">
      <c r="A1301" s="15">
        <f t="shared" si="515"/>
        <v>5</v>
      </c>
      <c r="B1301" s="20">
        <f t="shared" ref="B1301:C1301" si="532">B1300+1</f>
        <v>1300</v>
      </c>
      <c r="C1301" s="17">
        <f t="shared" si="532"/>
        <v>37</v>
      </c>
      <c r="D1301" s="17" t="str">
        <f t="shared" si="508"/>
        <v>20160415</v>
      </c>
      <c r="E1301" s="20" t="str">
        <f t="shared" si="517"/>
        <v>20160415037</v>
      </c>
      <c r="F1301" s="19">
        <v>28</v>
      </c>
      <c r="G1301" s="19">
        <v>47</v>
      </c>
      <c r="H1301" s="19">
        <v>13</v>
      </c>
      <c r="I1301" s="19">
        <v>45</v>
      </c>
      <c r="J1301" s="19">
        <v>17</v>
      </c>
      <c r="K1301" s="19">
        <v>9</v>
      </c>
      <c r="L1301" s="19">
        <v>3</v>
      </c>
      <c r="M1301" s="19">
        <f t="shared" si="506"/>
        <v>162</v>
      </c>
      <c r="N1301" s="27">
        <f t="shared" si="519"/>
        <v>42475</v>
      </c>
    </row>
    <row r="1302" spans="1:14" x14ac:dyDescent="0.25">
      <c r="A1302" s="15">
        <f t="shared" si="515"/>
        <v>2</v>
      </c>
      <c r="B1302" s="20">
        <f t="shared" ref="B1302:C1302" si="533">B1301+1</f>
        <v>1301</v>
      </c>
      <c r="C1302" s="17">
        <f t="shared" si="533"/>
        <v>38</v>
      </c>
      <c r="D1302" s="17" t="str">
        <f t="shared" si="508"/>
        <v>20160419</v>
      </c>
      <c r="E1302" s="20" t="str">
        <f t="shared" si="517"/>
        <v>20160419038</v>
      </c>
      <c r="F1302" s="19">
        <v>12</v>
      </c>
      <c r="G1302" s="19">
        <v>41</v>
      </c>
      <c r="H1302" s="19">
        <v>47</v>
      </c>
      <c r="I1302" s="19">
        <v>46</v>
      </c>
      <c r="J1302" s="19">
        <v>39</v>
      </c>
      <c r="K1302" s="19">
        <v>21</v>
      </c>
      <c r="L1302" s="19">
        <v>14</v>
      </c>
      <c r="M1302" s="19">
        <f t="shared" si="506"/>
        <v>220</v>
      </c>
      <c r="N1302" s="27">
        <f t="shared" si="521"/>
        <v>42479</v>
      </c>
    </row>
    <row r="1303" spans="1:14" x14ac:dyDescent="0.25">
      <c r="A1303" s="15">
        <f t="shared" si="515"/>
        <v>5</v>
      </c>
      <c r="B1303" s="20">
        <f t="shared" ref="B1303:C1303" si="534">B1302+1</f>
        <v>1302</v>
      </c>
      <c r="C1303" s="17">
        <f t="shared" si="534"/>
        <v>39</v>
      </c>
      <c r="D1303" s="17" t="str">
        <f t="shared" si="508"/>
        <v>20160422</v>
      </c>
      <c r="E1303" s="20" t="str">
        <f t="shared" si="517"/>
        <v>20160422039</v>
      </c>
      <c r="F1303" s="19">
        <v>48</v>
      </c>
      <c r="G1303" s="19">
        <v>33</v>
      </c>
      <c r="H1303" s="19">
        <v>46</v>
      </c>
      <c r="I1303" s="19">
        <v>19</v>
      </c>
      <c r="J1303" s="19">
        <v>12</v>
      </c>
      <c r="K1303" s="19">
        <v>23</v>
      </c>
      <c r="L1303" s="19">
        <v>29</v>
      </c>
      <c r="M1303" s="19">
        <f t="shared" si="506"/>
        <v>210</v>
      </c>
      <c r="N1303" s="27">
        <f t="shared" si="519"/>
        <v>42482</v>
      </c>
    </row>
    <row r="1304" spans="1:14" x14ac:dyDescent="0.25">
      <c r="A1304" s="15">
        <f t="shared" si="515"/>
        <v>2</v>
      </c>
      <c r="B1304" s="20">
        <f t="shared" ref="B1304:C1304" si="535">B1303+1</f>
        <v>1303</v>
      </c>
      <c r="C1304" s="17">
        <f t="shared" si="535"/>
        <v>40</v>
      </c>
      <c r="D1304" s="17" t="str">
        <f t="shared" si="508"/>
        <v>20160426</v>
      </c>
      <c r="E1304" s="20" t="str">
        <f t="shared" si="517"/>
        <v>20160426040</v>
      </c>
      <c r="F1304" s="19">
        <v>12</v>
      </c>
      <c r="G1304" s="19">
        <v>6</v>
      </c>
      <c r="H1304" s="19">
        <v>34</v>
      </c>
      <c r="I1304" s="19">
        <v>43</v>
      </c>
      <c r="J1304" s="19">
        <v>21</v>
      </c>
      <c r="K1304" s="19">
        <v>25</v>
      </c>
      <c r="L1304" s="19">
        <v>28</v>
      </c>
      <c r="M1304" s="19">
        <f t="shared" si="506"/>
        <v>169</v>
      </c>
      <c r="N1304" s="27">
        <f t="shared" si="521"/>
        <v>42486</v>
      </c>
    </row>
    <row r="1305" spans="1:14" x14ac:dyDescent="0.25">
      <c r="A1305" s="15">
        <f t="shared" si="515"/>
        <v>5</v>
      </c>
      <c r="B1305" s="20">
        <f t="shared" ref="B1305:C1305" si="536">B1304+1</f>
        <v>1304</v>
      </c>
      <c r="C1305" s="17">
        <f t="shared" si="536"/>
        <v>41</v>
      </c>
      <c r="D1305" s="17" t="str">
        <f t="shared" si="508"/>
        <v>20160429</v>
      </c>
      <c r="E1305" s="20" t="str">
        <f t="shared" si="517"/>
        <v>20160429041</v>
      </c>
      <c r="F1305" s="19">
        <v>8</v>
      </c>
      <c r="G1305" s="19">
        <v>27</v>
      </c>
      <c r="H1305" s="19">
        <v>36</v>
      </c>
      <c r="I1305" s="19">
        <v>31</v>
      </c>
      <c r="J1305" s="19">
        <v>14</v>
      </c>
      <c r="K1305" s="19">
        <v>40</v>
      </c>
      <c r="L1305" s="19">
        <v>3</v>
      </c>
      <c r="M1305" s="19">
        <f t="shared" si="506"/>
        <v>159</v>
      </c>
      <c r="N1305" s="27">
        <f t="shared" si="519"/>
        <v>42489</v>
      </c>
    </row>
    <row r="1306" spans="1:14" x14ac:dyDescent="0.25">
      <c r="A1306" s="15">
        <f t="shared" ref="A1306:A1323" si="537">WEEKDAY(N1306,2)</f>
        <v>2</v>
      </c>
      <c r="B1306" s="20">
        <f t="shared" ref="B1306:C1306" si="538">B1305+1</f>
        <v>1305</v>
      </c>
      <c r="C1306" s="17">
        <f t="shared" si="538"/>
        <v>42</v>
      </c>
      <c r="D1306" s="17" t="str">
        <f t="shared" si="508"/>
        <v>20160503</v>
      </c>
      <c r="E1306" s="20" t="str">
        <f t="shared" ref="E1306:E1348" si="539">CONCATENATE(D1306,TEXT(C1306,"000"))</f>
        <v>20160503042</v>
      </c>
      <c r="F1306" s="19">
        <v>40</v>
      </c>
      <c r="G1306" s="19">
        <v>1</v>
      </c>
      <c r="H1306" s="19">
        <v>7</v>
      </c>
      <c r="I1306" s="19">
        <v>17</v>
      </c>
      <c r="J1306" s="19">
        <v>43</v>
      </c>
      <c r="K1306" s="19">
        <v>41</v>
      </c>
      <c r="L1306" s="19">
        <v>33</v>
      </c>
      <c r="M1306" s="19">
        <f t="shared" si="506"/>
        <v>182</v>
      </c>
      <c r="N1306" s="27">
        <f t="shared" si="521"/>
        <v>42493</v>
      </c>
    </row>
    <row r="1307" spans="1:14" x14ac:dyDescent="0.25">
      <c r="A1307" s="15">
        <f t="shared" si="537"/>
        <v>5</v>
      </c>
      <c r="B1307" s="20">
        <f t="shared" ref="B1307:C1307" si="540">B1306+1</f>
        <v>1306</v>
      </c>
      <c r="C1307" s="17">
        <f t="shared" si="540"/>
        <v>43</v>
      </c>
      <c r="D1307" s="17" t="str">
        <f t="shared" si="508"/>
        <v>20160506</v>
      </c>
      <c r="E1307" s="20" t="str">
        <f t="shared" si="539"/>
        <v>20160506043</v>
      </c>
      <c r="F1307" s="19">
        <v>26</v>
      </c>
      <c r="G1307" s="19">
        <v>48</v>
      </c>
      <c r="H1307" s="19">
        <v>1</v>
      </c>
      <c r="I1307" s="19">
        <v>42</v>
      </c>
      <c r="J1307" s="19">
        <v>39</v>
      </c>
      <c r="K1307" s="19">
        <v>37</v>
      </c>
      <c r="L1307" s="19">
        <v>41</v>
      </c>
      <c r="M1307" s="19">
        <f t="shared" si="506"/>
        <v>234</v>
      </c>
      <c r="N1307" s="27">
        <f t="shared" si="519"/>
        <v>42496</v>
      </c>
    </row>
    <row r="1308" spans="1:14" x14ac:dyDescent="0.25">
      <c r="A1308" s="15">
        <f t="shared" si="537"/>
        <v>2</v>
      </c>
      <c r="B1308" s="20">
        <f t="shared" ref="B1308:C1308" si="541">B1307+1</f>
        <v>1307</v>
      </c>
      <c r="C1308" s="17">
        <f t="shared" si="541"/>
        <v>44</v>
      </c>
      <c r="D1308" s="17" t="str">
        <f t="shared" si="508"/>
        <v>20160510</v>
      </c>
      <c r="E1308" s="20" t="str">
        <f t="shared" si="539"/>
        <v>20160510044</v>
      </c>
      <c r="F1308" s="19">
        <v>36</v>
      </c>
      <c r="G1308" s="19">
        <v>38</v>
      </c>
      <c r="H1308" s="19">
        <v>22</v>
      </c>
      <c r="I1308" s="19">
        <v>3</v>
      </c>
      <c r="J1308" s="19">
        <v>4</v>
      </c>
      <c r="K1308" s="19">
        <v>8</v>
      </c>
      <c r="L1308" s="19">
        <v>7</v>
      </c>
      <c r="M1308" s="19">
        <f t="shared" si="506"/>
        <v>118</v>
      </c>
      <c r="N1308" s="27">
        <f t="shared" si="521"/>
        <v>42500</v>
      </c>
    </row>
    <row r="1309" spans="1:14" x14ac:dyDescent="0.25">
      <c r="A1309" s="15">
        <f t="shared" si="537"/>
        <v>5</v>
      </c>
      <c r="B1309" s="20">
        <f t="shared" ref="B1309:C1309" si="542">B1308+1</f>
        <v>1308</v>
      </c>
      <c r="C1309" s="17">
        <f t="shared" si="542"/>
        <v>45</v>
      </c>
      <c r="D1309" s="17" t="str">
        <f t="shared" si="508"/>
        <v>20160513</v>
      </c>
      <c r="E1309" s="20" t="str">
        <f t="shared" si="539"/>
        <v>20160513045</v>
      </c>
      <c r="F1309" s="19">
        <v>10</v>
      </c>
      <c r="G1309" s="19">
        <v>31</v>
      </c>
      <c r="H1309" s="19">
        <v>35</v>
      </c>
      <c r="I1309" s="19">
        <v>38</v>
      </c>
      <c r="J1309" s="19">
        <v>22</v>
      </c>
      <c r="K1309" s="19">
        <v>3</v>
      </c>
      <c r="L1309" s="19">
        <v>37</v>
      </c>
      <c r="M1309" s="19">
        <f t="shared" si="506"/>
        <v>176</v>
      </c>
      <c r="N1309" s="27">
        <f t="shared" si="519"/>
        <v>42503</v>
      </c>
    </row>
    <row r="1310" spans="1:14" x14ac:dyDescent="0.25">
      <c r="A1310" s="15">
        <f t="shared" si="537"/>
        <v>2</v>
      </c>
      <c r="B1310" s="20">
        <f t="shared" ref="B1310:C1310" si="543">B1309+1</f>
        <v>1309</v>
      </c>
      <c r="C1310" s="17">
        <f t="shared" si="543"/>
        <v>46</v>
      </c>
      <c r="D1310" s="17" t="str">
        <f t="shared" si="508"/>
        <v>20160517</v>
      </c>
      <c r="E1310" s="20" t="str">
        <f t="shared" si="539"/>
        <v>20160517046</v>
      </c>
      <c r="F1310" s="19">
        <v>2</v>
      </c>
      <c r="G1310" s="19">
        <v>42</v>
      </c>
      <c r="H1310" s="19">
        <v>3</v>
      </c>
      <c r="I1310" s="19">
        <v>20</v>
      </c>
      <c r="J1310" s="19">
        <v>23</v>
      </c>
      <c r="K1310" s="19">
        <v>34</v>
      </c>
      <c r="L1310" s="19">
        <v>40</v>
      </c>
      <c r="M1310" s="19">
        <f t="shared" si="506"/>
        <v>164</v>
      </c>
      <c r="N1310" s="27">
        <f t="shared" si="521"/>
        <v>42507</v>
      </c>
    </row>
    <row r="1311" spans="1:14" x14ac:dyDescent="0.25">
      <c r="A1311" s="15">
        <f t="shared" si="537"/>
        <v>5</v>
      </c>
      <c r="B1311" s="20">
        <f t="shared" ref="B1311:C1311" si="544">B1310+1</f>
        <v>1310</v>
      </c>
      <c r="C1311" s="17">
        <f t="shared" si="544"/>
        <v>47</v>
      </c>
      <c r="D1311" s="17" t="str">
        <f t="shared" si="508"/>
        <v>20160520</v>
      </c>
      <c r="E1311" s="20" t="str">
        <f t="shared" si="539"/>
        <v>20160520047</v>
      </c>
      <c r="F1311" s="19">
        <v>40</v>
      </c>
      <c r="G1311" s="19">
        <v>25</v>
      </c>
      <c r="H1311" s="19">
        <v>43</v>
      </c>
      <c r="I1311" s="19">
        <v>10</v>
      </c>
      <c r="J1311" s="19">
        <v>5</v>
      </c>
      <c r="K1311" s="19">
        <v>30</v>
      </c>
      <c r="L1311" s="19">
        <v>26</v>
      </c>
      <c r="M1311" s="19">
        <f t="shared" si="506"/>
        <v>179</v>
      </c>
      <c r="N1311" s="27">
        <f t="shared" si="519"/>
        <v>42510</v>
      </c>
    </row>
    <row r="1312" spans="1:14" x14ac:dyDescent="0.25">
      <c r="A1312" s="15">
        <f t="shared" si="537"/>
        <v>2</v>
      </c>
      <c r="B1312" s="20">
        <f t="shared" ref="B1312:C1312" si="545">B1311+1</f>
        <v>1311</v>
      </c>
      <c r="C1312" s="17">
        <f t="shared" si="545"/>
        <v>48</v>
      </c>
      <c r="D1312" s="17" t="str">
        <f t="shared" si="508"/>
        <v>20160524</v>
      </c>
      <c r="E1312" s="20" t="str">
        <f t="shared" si="539"/>
        <v>20160524048</v>
      </c>
      <c r="F1312" s="19">
        <v>8</v>
      </c>
      <c r="G1312" s="19">
        <v>21</v>
      </c>
      <c r="H1312" s="19">
        <v>13</v>
      </c>
      <c r="I1312" s="19">
        <v>33</v>
      </c>
      <c r="J1312" s="19">
        <v>39</v>
      </c>
      <c r="K1312" s="19">
        <v>6</v>
      </c>
      <c r="L1312" s="19">
        <v>45</v>
      </c>
      <c r="M1312" s="19">
        <f t="shared" si="506"/>
        <v>165</v>
      </c>
      <c r="N1312" s="27">
        <f t="shared" si="521"/>
        <v>42514</v>
      </c>
    </row>
    <row r="1313" spans="1:14" x14ac:dyDescent="0.25">
      <c r="A1313" s="15">
        <f t="shared" si="537"/>
        <v>5</v>
      </c>
      <c r="B1313" s="20">
        <f t="shared" ref="B1313:C1313" si="546">B1312+1</f>
        <v>1312</v>
      </c>
      <c r="C1313" s="17">
        <f t="shared" si="546"/>
        <v>49</v>
      </c>
      <c r="D1313" s="17" t="str">
        <f t="shared" si="508"/>
        <v>20160527</v>
      </c>
      <c r="E1313" s="20" t="str">
        <f t="shared" si="539"/>
        <v>20160527049</v>
      </c>
      <c r="F1313" s="19">
        <v>2</v>
      </c>
      <c r="G1313" s="19">
        <v>24</v>
      </c>
      <c r="H1313" s="19">
        <v>13</v>
      </c>
      <c r="I1313" s="19">
        <v>39</v>
      </c>
      <c r="J1313" s="19">
        <v>9</v>
      </c>
      <c r="K1313" s="19">
        <v>16</v>
      </c>
      <c r="L1313" s="19">
        <v>41</v>
      </c>
      <c r="M1313" s="19">
        <f t="shared" si="506"/>
        <v>144</v>
      </c>
      <c r="N1313" s="27">
        <f t="shared" si="519"/>
        <v>42517</v>
      </c>
    </row>
    <row r="1314" spans="1:14" x14ac:dyDescent="0.25">
      <c r="A1314" s="15">
        <f t="shared" si="537"/>
        <v>2</v>
      </c>
      <c r="B1314" s="20">
        <f t="shared" ref="B1314:C1314" si="547">B1313+1</f>
        <v>1313</v>
      </c>
      <c r="C1314" s="17">
        <f t="shared" si="547"/>
        <v>50</v>
      </c>
      <c r="D1314" s="17" t="str">
        <f t="shared" si="508"/>
        <v>20160531</v>
      </c>
      <c r="E1314" s="20" t="str">
        <f t="shared" si="539"/>
        <v>20160531050</v>
      </c>
      <c r="F1314" s="19">
        <v>1</v>
      </c>
      <c r="G1314" s="19">
        <v>46</v>
      </c>
      <c r="H1314" s="19">
        <v>32</v>
      </c>
      <c r="I1314" s="19">
        <v>5</v>
      </c>
      <c r="J1314" s="19">
        <v>2</v>
      </c>
      <c r="K1314" s="19">
        <v>45</v>
      </c>
      <c r="L1314" s="19">
        <v>43</v>
      </c>
      <c r="M1314" s="19">
        <f t="shared" si="506"/>
        <v>174</v>
      </c>
      <c r="N1314" s="27">
        <f t="shared" si="521"/>
        <v>42521</v>
      </c>
    </row>
    <row r="1315" spans="1:14" x14ac:dyDescent="0.25">
      <c r="A1315" s="15">
        <f t="shared" si="537"/>
        <v>5</v>
      </c>
      <c r="B1315" s="20">
        <f t="shared" ref="B1315:C1315" si="548">B1314+1</f>
        <v>1314</v>
      </c>
      <c r="C1315" s="17">
        <f t="shared" si="548"/>
        <v>51</v>
      </c>
      <c r="D1315" s="17" t="str">
        <f t="shared" si="508"/>
        <v>20160603</v>
      </c>
      <c r="E1315" s="20" t="str">
        <f t="shared" si="539"/>
        <v>20160603051</v>
      </c>
      <c r="F1315" s="19">
        <v>10</v>
      </c>
      <c r="G1315" s="19">
        <v>3</v>
      </c>
      <c r="H1315" s="19">
        <v>41</v>
      </c>
      <c r="I1315" s="19">
        <v>33</v>
      </c>
      <c r="J1315" s="19">
        <v>27</v>
      </c>
      <c r="K1315" s="19">
        <v>44</v>
      </c>
      <c r="L1315" s="19">
        <v>7</v>
      </c>
      <c r="M1315" s="19">
        <f t="shared" si="506"/>
        <v>165</v>
      </c>
      <c r="N1315" s="27">
        <f t="shared" si="519"/>
        <v>42524</v>
      </c>
    </row>
    <row r="1316" spans="1:14" x14ac:dyDescent="0.25">
      <c r="A1316" s="15">
        <f t="shared" si="537"/>
        <v>2</v>
      </c>
      <c r="B1316" s="20">
        <f t="shared" ref="B1316:C1316" si="549">B1315+1</f>
        <v>1315</v>
      </c>
      <c r="C1316" s="17">
        <f t="shared" si="549"/>
        <v>52</v>
      </c>
      <c r="D1316" s="17" t="str">
        <f t="shared" si="508"/>
        <v>20160607</v>
      </c>
      <c r="E1316" s="20" t="str">
        <f t="shared" si="539"/>
        <v>20160607052</v>
      </c>
      <c r="F1316" s="19">
        <v>5</v>
      </c>
      <c r="G1316" s="19">
        <v>39</v>
      </c>
      <c r="H1316" s="19">
        <v>31</v>
      </c>
      <c r="I1316" s="19">
        <v>8</v>
      </c>
      <c r="J1316" s="19">
        <v>44</v>
      </c>
      <c r="K1316" s="19">
        <v>23</v>
      </c>
      <c r="L1316" s="19">
        <v>19</v>
      </c>
      <c r="M1316" s="19">
        <f t="shared" si="506"/>
        <v>169</v>
      </c>
      <c r="N1316" s="27">
        <f t="shared" si="521"/>
        <v>42528</v>
      </c>
    </row>
    <row r="1317" spans="1:14" x14ac:dyDescent="0.25">
      <c r="A1317" s="15">
        <f t="shared" si="537"/>
        <v>5</v>
      </c>
      <c r="B1317" s="20">
        <f t="shared" ref="B1317:C1317" si="550">B1316+1</f>
        <v>1316</v>
      </c>
      <c r="C1317" s="17">
        <f t="shared" si="550"/>
        <v>53</v>
      </c>
      <c r="D1317" s="17" t="str">
        <f t="shared" si="508"/>
        <v>20160610</v>
      </c>
      <c r="E1317" s="20" t="str">
        <f t="shared" si="539"/>
        <v>20160610053</v>
      </c>
      <c r="F1317" s="19">
        <v>23</v>
      </c>
      <c r="G1317" s="19">
        <v>4</v>
      </c>
      <c r="H1317" s="19">
        <v>48</v>
      </c>
      <c r="I1317" s="19">
        <v>22</v>
      </c>
      <c r="J1317" s="19">
        <v>15</v>
      </c>
      <c r="K1317" s="19">
        <v>13</v>
      </c>
      <c r="L1317" s="19">
        <v>3</v>
      </c>
      <c r="M1317" s="19">
        <f t="shared" si="506"/>
        <v>128</v>
      </c>
      <c r="N1317" s="27">
        <f t="shared" si="519"/>
        <v>42531</v>
      </c>
    </row>
    <row r="1318" spans="1:14" x14ac:dyDescent="0.25">
      <c r="A1318" s="15">
        <f t="shared" si="537"/>
        <v>2</v>
      </c>
      <c r="B1318" s="20">
        <f t="shared" ref="B1318:C1318" si="551">B1317+1</f>
        <v>1317</v>
      </c>
      <c r="C1318" s="17">
        <f t="shared" si="551"/>
        <v>54</v>
      </c>
      <c r="D1318" s="17" t="str">
        <f t="shared" si="508"/>
        <v>20160614</v>
      </c>
      <c r="E1318" s="20" t="str">
        <f t="shared" si="539"/>
        <v>20160614054</v>
      </c>
      <c r="F1318" s="19">
        <v>33</v>
      </c>
      <c r="G1318" s="19">
        <v>12</v>
      </c>
      <c r="H1318" s="19">
        <v>37</v>
      </c>
      <c r="I1318" s="19">
        <v>35</v>
      </c>
      <c r="J1318" s="19">
        <v>13</v>
      </c>
      <c r="K1318" s="19">
        <v>16</v>
      </c>
      <c r="L1318" s="19">
        <v>18</v>
      </c>
      <c r="M1318" s="19">
        <f t="shared" si="506"/>
        <v>164</v>
      </c>
      <c r="N1318" s="27">
        <f t="shared" si="521"/>
        <v>42535</v>
      </c>
    </row>
    <row r="1319" spans="1:14" x14ac:dyDescent="0.25">
      <c r="A1319" s="15">
        <f t="shared" si="537"/>
        <v>5</v>
      </c>
      <c r="B1319" s="20">
        <f t="shared" ref="B1319:C1319" si="552">B1318+1</f>
        <v>1318</v>
      </c>
      <c r="C1319" s="17">
        <f t="shared" si="552"/>
        <v>55</v>
      </c>
      <c r="D1319" s="17" t="str">
        <f t="shared" si="508"/>
        <v>20160617</v>
      </c>
      <c r="E1319" s="20" t="str">
        <f t="shared" si="539"/>
        <v>20160617055</v>
      </c>
      <c r="F1319" s="19">
        <v>17</v>
      </c>
      <c r="G1319" s="19">
        <v>21</v>
      </c>
      <c r="H1319" s="19">
        <v>31</v>
      </c>
      <c r="I1319" s="19">
        <v>10</v>
      </c>
      <c r="J1319" s="19">
        <v>7</v>
      </c>
      <c r="K1319" s="19">
        <v>20</v>
      </c>
      <c r="L1319" s="19">
        <v>49</v>
      </c>
      <c r="M1319" s="19">
        <f t="shared" si="506"/>
        <v>155</v>
      </c>
      <c r="N1319" s="27">
        <f t="shared" si="519"/>
        <v>42538</v>
      </c>
    </row>
    <row r="1320" spans="1:14" x14ac:dyDescent="0.25">
      <c r="A1320" s="15">
        <f t="shared" si="537"/>
        <v>2</v>
      </c>
      <c r="B1320" s="20">
        <f t="shared" ref="B1320:C1320" si="553">B1319+1</f>
        <v>1319</v>
      </c>
      <c r="C1320" s="17">
        <f t="shared" si="553"/>
        <v>56</v>
      </c>
      <c r="D1320" s="17" t="str">
        <f t="shared" si="508"/>
        <v>20160621</v>
      </c>
      <c r="E1320" s="20" t="str">
        <f t="shared" si="539"/>
        <v>20160621056</v>
      </c>
      <c r="F1320" s="19">
        <v>36</v>
      </c>
      <c r="G1320" s="19">
        <v>27</v>
      </c>
      <c r="H1320" s="19">
        <v>2</v>
      </c>
      <c r="I1320" s="19">
        <v>49</v>
      </c>
      <c r="J1320" s="19">
        <v>35</v>
      </c>
      <c r="K1320" s="19">
        <v>34</v>
      </c>
      <c r="L1320" s="19">
        <v>26</v>
      </c>
      <c r="M1320" s="19">
        <f t="shared" si="506"/>
        <v>209</v>
      </c>
      <c r="N1320" s="27">
        <f t="shared" si="521"/>
        <v>42542</v>
      </c>
    </row>
    <row r="1321" spans="1:14" x14ac:dyDescent="0.25">
      <c r="A1321" s="15">
        <f t="shared" si="537"/>
        <v>5</v>
      </c>
      <c r="B1321" s="20">
        <f t="shared" ref="B1321:C1321" si="554">B1320+1</f>
        <v>1320</v>
      </c>
      <c r="C1321" s="17">
        <f t="shared" si="554"/>
        <v>57</v>
      </c>
      <c r="D1321" s="17" t="str">
        <f t="shared" si="508"/>
        <v>20160624</v>
      </c>
      <c r="E1321" s="20" t="str">
        <f t="shared" si="539"/>
        <v>20160624057</v>
      </c>
      <c r="F1321" s="19">
        <v>17</v>
      </c>
      <c r="G1321" s="19">
        <v>14</v>
      </c>
      <c r="H1321" s="19">
        <v>39</v>
      </c>
      <c r="I1321" s="19">
        <v>41</v>
      </c>
      <c r="J1321" s="19">
        <v>27</v>
      </c>
      <c r="K1321" s="19">
        <v>28</v>
      </c>
      <c r="L1321" s="19">
        <v>18</v>
      </c>
      <c r="M1321" s="19">
        <f t="shared" si="506"/>
        <v>184</v>
      </c>
      <c r="N1321" s="27">
        <f t="shared" si="519"/>
        <v>42545</v>
      </c>
    </row>
    <row r="1322" spans="1:14" x14ac:dyDescent="0.25">
      <c r="A1322" s="15">
        <f t="shared" si="537"/>
        <v>2</v>
      </c>
      <c r="B1322" s="20">
        <f t="shared" ref="B1322:C1322" si="555">B1321+1</f>
        <v>1321</v>
      </c>
      <c r="C1322" s="17">
        <f t="shared" si="555"/>
        <v>58</v>
      </c>
      <c r="D1322" s="17" t="str">
        <f t="shared" si="508"/>
        <v>20160628</v>
      </c>
      <c r="E1322" s="20" t="str">
        <f t="shared" si="539"/>
        <v>20160628058</v>
      </c>
      <c r="F1322" s="19">
        <v>25</v>
      </c>
      <c r="G1322" s="19">
        <v>46</v>
      </c>
      <c r="H1322" s="19">
        <v>45</v>
      </c>
      <c r="I1322" s="19">
        <v>8</v>
      </c>
      <c r="J1322" s="19">
        <v>39</v>
      </c>
      <c r="K1322" s="19">
        <v>7</v>
      </c>
      <c r="L1322" s="19">
        <v>38</v>
      </c>
      <c r="M1322" s="19">
        <f t="shared" si="506"/>
        <v>208</v>
      </c>
      <c r="N1322" s="27">
        <f t="shared" si="521"/>
        <v>42549</v>
      </c>
    </row>
    <row r="1323" spans="1:14" x14ac:dyDescent="0.25">
      <c r="A1323" s="15">
        <f t="shared" si="537"/>
        <v>5</v>
      </c>
      <c r="B1323" s="20">
        <f t="shared" ref="B1323:C1323" si="556">B1322+1</f>
        <v>1322</v>
      </c>
      <c r="C1323" s="17">
        <f t="shared" si="556"/>
        <v>59</v>
      </c>
      <c r="D1323" s="17" t="str">
        <f t="shared" si="508"/>
        <v>20160701</v>
      </c>
      <c r="E1323" s="20" t="str">
        <f t="shared" si="539"/>
        <v>20160701059</v>
      </c>
      <c r="F1323" s="19">
        <v>41</v>
      </c>
      <c r="G1323" s="19">
        <v>34</v>
      </c>
      <c r="H1323" s="19">
        <v>20</v>
      </c>
      <c r="I1323" s="19">
        <v>43</v>
      </c>
      <c r="J1323" s="19">
        <v>24</v>
      </c>
      <c r="K1323" s="19">
        <v>8</v>
      </c>
      <c r="L1323" s="19">
        <v>32</v>
      </c>
      <c r="M1323" s="19">
        <f t="shared" si="506"/>
        <v>202</v>
      </c>
      <c r="N1323" s="27">
        <f t="shared" si="519"/>
        <v>42552</v>
      </c>
    </row>
    <row r="1324" spans="1:14" x14ac:dyDescent="0.25">
      <c r="A1324" s="15">
        <f t="shared" ref="A1324:A1327" si="557">WEEKDAY(N1324,2)</f>
        <v>2</v>
      </c>
      <c r="B1324" s="20">
        <f t="shared" ref="B1324:C1324" si="558">B1323+1</f>
        <v>1323</v>
      </c>
      <c r="C1324" s="17">
        <f t="shared" si="558"/>
        <v>60</v>
      </c>
      <c r="D1324" s="17" t="str">
        <f t="shared" si="508"/>
        <v>20160705</v>
      </c>
      <c r="E1324" s="20" t="str">
        <f t="shared" si="539"/>
        <v>20160705060</v>
      </c>
      <c r="F1324" s="19">
        <v>9</v>
      </c>
      <c r="G1324" s="19">
        <v>17</v>
      </c>
      <c r="H1324" s="19">
        <v>40</v>
      </c>
      <c r="I1324" s="19">
        <v>6</v>
      </c>
      <c r="J1324" s="19">
        <v>15</v>
      </c>
      <c r="K1324" s="19">
        <v>47</v>
      </c>
      <c r="L1324" s="19">
        <v>24</v>
      </c>
      <c r="M1324" s="19">
        <f t="shared" ref="M1324:M1387" si="559">SUM(F1324:L1324)</f>
        <v>158</v>
      </c>
      <c r="N1324" s="27">
        <f t="shared" si="521"/>
        <v>42556</v>
      </c>
    </row>
    <row r="1325" spans="1:14" x14ac:dyDescent="0.25">
      <c r="A1325" s="15">
        <f t="shared" si="557"/>
        <v>5</v>
      </c>
      <c r="B1325" s="20">
        <f t="shared" ref="B1325:C1325" si="560">B1324+1</f>
        <v>1324</v>
      </c>
      <c r="C1325" s="17">
        <f t="shared" si="560"/>
        <v>61</v>
      </c>
      <c r="D1325" s="17" t="str">
        <f t="shared" si="508"/>
        <v>20160708</v>
      </c>
      <c r="E1325" s="20" t="str">
        <f t="shared" si="539"/>
        <v>20160708061</v>
      </c>
      <c r="F1325" s="19">
        <v>13</v>
      </c>
      <c r="G1325" s="19">
        <v>10</v>
      </c>
      <c r="H1325" s="19">
        <v>9</v>
      </c>
      <c r="I1325" s="19">
        <v>19</v>
      </c>
      <c r="J1325" s="19">
        <v>35</v>
      </c>
      <c r="K1325" s="19">
        <v>23</v>
      </c>
      <c r="L1325" s="19">
        <v>38</v>
      </c>
      <c r="M1325" s="19">
        <f t="shared" si="559"/>
        <v>147</v>
      </c>
      <c r="N1325" s="27">
        <f t="shared" si="519"/>
        <v>42559</v>
      </c>
    </row>
    <row r="1326" spans="1:14" x14ac:dyDescent="0.25">
      <c r="A1326" s="15">
        <f t="shared" si="557"/>
        <v>2</v>
      </c>
      <c r="B1326" s="20">
        <f t="shared" ref="B1326:C1326" si="561">B1325+1</f>
        <v>1325</v>
      </c>
      <c r="C1326" s="17">
        <f t="shared" si="561"/>
        <v>62</v>
      </c>
      <c r="D1326" s="17" t="str">
        <f t="shared" si="508"/>
        <v>20160712</v>
      </c>
      <c r="E1326" s="20" t="str">
        <f t="shared" si="539"/>
        <v>20160712062</v>
      </c>
      <c r="F1326" s="19">
        <v>42</v>
      </c>
      <c r="G1326" s="19">
        <v>31</v>
      </c>
      <c r="H1326" s="19">
        <v>46</v>
      </c>
      <c r="I1326" s="19">
        <v>43</v>
      </c>
      <c r="J1326" s="19">
        <v>25</v>
      </c>
      <c r="K1326" s="19">
        <v>34</v>
      </c>
      <c r="L1326" s="19">
        <v>5</v>
      </c>
      <c r="M1326" s="19">
        <f t="shared" si="559"/>
        <v>226</v>
      </c>
      <c r="N1326" s="27">
        <f t="shared" si="521"/>
        <v>42563</v>
      </c>
    </row>
    <row r="1327" spans="1:14" x14ac:dyDescent="0.25">
      <c r="A1327" s="15">
        <f t="shared" si="557"/>
        <v>5</v>
      </c>
      <c r="B1327" s="20">
        <f t="shared" ref="B1327:C1327" si="562">B1326+1</f>
        <v>1326</v>
      </c>
      <c r="C1327" s="17">
        <f t="shared" si="562"/>
        <v>63</v>
      </c>
      <c r="D1327" s="17" t="str">
        <f t="shared" si="508"/>
        <v>20160715</v>
      </c>
      <c r="E1327" s="20" t="str">
        <f t="shared" si="539"/>
        <v>20160715063</v>
      </c>
      <c r="F1327" s="19">
        <v>29</v>
      </c>
      <c r="G1327" s="19">
        <v>24</v>
      </c>
      <c r="H1327" s="19">
        <v>25</v>
      </c>
      <c r="I1327" s="19">
        <v>35</v>
      </c>
      <c r="J1327" s="19">
        <v>33</v>
      </c>
      <c r="K1327" s="19">
        <v>38</v>
      </c>
      <c r="L1327" s="19">
        <v>49</v>
      </c>
      <c r="M1327" s="19">
        <f t="shared" si="559"/>
        <v>233</v>
      </c>
      <c r="N1327" s="27">
        <f t="shared" si="519"/>
        <v>42566</v>
      </c>
    </row>
    <row r="1328" spans="1:14" x14ac:dyDescent="0.25">
      <c r="A1328" s="15">
        <f t="shared" ref="A1328:A1329" si="563">WEEKDAY(N1328,2)</f>
        <v>2</v>
      </c>
      <c r="B1328" s="20">
        <f t="shared" ref="B1328:C1328" si="564">B1327+1</f>
        <v>1327</v>
      </c>
      <c r="C1328" s="17">
        <f t="shared" si="564"/>
        <v>64</v>
      </c>
      <c r="D1328" s="17" t="str">
        <f t="shared" si="508"/>
        <v>20160719</v>
      </c>
      <c r="E1328" s="20" t="str">
        <f t="shared" si="539"/>
        <v>20160719064</v>
      </c>
      <c r="F1328" s="19">
        <v>7</v>
      </c>
      <c r="G1328" s="19">
        <v>46</v>
      </c>
      <c r="H1328" s="19">
        <v>40</v>
      </c>
      <c r="I1328" s="19">
        <v>33</v>
      </c>
      <c r="J1328" s="19">
        <v>45</v>
      </c>
      <c r="K1328" s="19">
        <v>13</v>
      </c>
      <c r="L1328" s="19">
        <v>39</v>
      </c>
      <c r="M1328" s="19">
        <f t="shared" si="559"/>
        <v>223</v>
      </c>
      <c r="N1328" s="27">
        <f t="shared" si="521"/>
        <v>42570</v>
      </c>
    </row>
    <row r="1329" spans="1:14" x14ac:dyDescent="0.25">
      <c r="A1329" s="15">
        <f t="shared" si="563"/>
        <v>5</v>
      </c>
      <c r="B1329" s="20">
        <f t="shared" ref="B1329:C1329" si="565">B1328+1</f>
        <v>1328</v>
      </c>
      <c r="C1329" s="17">
        <f t="shared" si="565"/>
        <v>65</v>
      </c>
      <c r="D1329" s="17" t="str">
        <f t="shared" si="508"/>
        <v>20160722</v>
      </c>
      <c r="E1329" s="20" t="str">
        <f t="shared" si="539"/>
        <v>20160722065</v>
      </c>
      <c r="F1329" s="19">
        <v>17</v>
      </c>
      <c r="G1329" s="19">
        <v>10</v>
      </c>
      <c r="H1329" s="19">
        <v>33</v>
      </c>
      <c r="I1329" s="19">
        <v>2</v>
      </c>
      <c r="J1329" s="19">
        <v>49</v>
      </c>
      <c r="K1329" s="19">
        <v>27</v>
      </c>
      <c r="L1329" s="19">
        <v>15</v>
      </c>
      <c r="M1329" s="19">
        <f t="shared" si="559"/>
        <v>153</v>
      </c>
      <c r="N1329" s="27">
        <f t="shared" si="519"/>
        <v>42573</v>
      </c>
    </row>
    <row r="1330" spans="1:14" x14ac:dyDescent="0.25">
      <c r="A1330" s="15">
        <f t="shared" ref="A1330:A1331" si="566">WEEKDAY(N1330,2)</f>
        <v>2</v>
      </c>
      <c r="B1330" s="20">
        <f t="shared" ref="B1330:C1330" si="567">B1329+1</f>
        <v>1329</v>
      </c>
      <c r="C1330" s="17">
        <f t="shared" si="567"/>
        <v>66</v>
      </c>
      <c r="D1330" s="17" t="str">
        <f t="shared" si="508"/>
        <v>20160726</v>
      </c>
      <c r="E1330" s="20" t="str">
        <f t="shared" si="539"/>
        <v>20160726066</v>
      </c>
      <c r="F1330" s="19">
        <v>35</v>
      </c>
      <c r="G1330" s="19">
        <v>41</v>
      </c>
      <c r="H1330" s="19">
        <v>19</v>
      </c>
      <c r="I1330" s="19">
        <v>22</v>
      </c>
      <c r="J1330" s="19">
        <v>9</v>
      </c>
      <c r="K1330" s="19">
        <v>15</v>
      </c>
      <c r="L1330" s="19">
        <v>37</v>
      </c>
      <c r="M1330" s="19">
        <f t="shared" si="559"/>
        <v>178</v>
      </c>
      <c r="N1330" s="27">
        <f t="shared" si="521"/>
        <v>42577</v>
      </c>
    </row>
    <row r="1331" spans="1:14" x14ac:dyDescent="0.25">
      <c r="A1331" s="15">
        <f t="shared" si="566"/>
        <v>5</v>
      </c>
      <c r="B1331" s="20">
        <f t="shared" ref="B1331:C1331" si="568">B1330+1</f>
        <v>1330</v>
      </c>
      <c r="C1331" s="17">
        <f t="shared" si="568"/>
        <v>67</v>
      </c>
      <c r="D1331" s="17" t="str">
        <f t="shared" si="508"/>
        <v>20160729</v>
      </c>
      <c r="E1331" s="20" t="str">
        <f t="shared" si="539"/>
        <v>20160729067</v>
      </c>
      <c r="F1331" s="19">
        <v>28</v>
      </c>
      <c r="G1331" s="19">
        <v>9</v>
      </c>
      <c r="H1331" s="19">
        <v>27</v>
      </c>
      <c r="I1331" s="19">
        <v>15</v>
      </c>
      <c r="J1331" s="19">
        <v>30</v>
      </c>
      <c r="K1331" s="19">
        <v>41</v>
      </c>
      <c r="L1331" s="19">
        <v>13</v>
      </c>
      <c r="M1331" s="19">
        <f t="shared" si="559"/>
        <v>163</v>
      </c>
      <c r="N1331" s="27">
        <f t="shared" si="519"/>
        <v>42580</v>
      </c>
    </row>
    <row r="1332" spans="1:14" x14ac:dyDescent="0.25">
      <c r="A1332" s="15">
        <f t="shared" ref="A1332:A1333" si="569">WEEKDAY(N1332,2)</f>
        <v>2</v>
      </c>
      <c r="B1332" s="20">
        <f t="shared" ref="B1332:C1332" si="570">B1331+1</f>
        <v>1331</v>
      </c>
      <c r="C1332" s="17">
        <f t="shared" si="570"/>
        <v>68</v>
      </c>
      <c r="D1332" s="17" t="str">
        <f t="shared" si="508"/>
        <v>20160802</v>
      </c>
      <c r="E1332" s="20" t="str">
        <f t="shared" si="539"/>
        <v>20160802068</v>
      </c>
      <c r="F1332" s="19">
        <v>15</v>
      </c>
      <c r="G1332" s="19">
        <v>4</v>
      </c>
      <c r="H1332" s="19">
        <v>20</v>
      </c>
      <c r="I1332" s="19">
        <v>22</v>
      </c>
      <c r="J1332" s="19">
        <v>28</v>
      </c>
      <c r="K1332" s="19">
        <v>29</v>
      </c>
      <c r="L1332" s="19">
        <v>1</v>
      </c>
      <c r="M1332" s="19">
        <f t="shared" si="559"/>
        <v>119</v>
      </c>
      <c r="N1332" s="27">
        <f t="shared" si="521"/>
        <v>42584</v>
      </c>
    </row>
    <row r="1333" spans="1:14" x14ac:dyDescent="0.25">
      <c r="A1333" s="15">
        <f t="shared" si="569"/>
        <v>5</v>
      </c>
      <c r="B1333" s="20">
        <f t="shared" ref="B1333:C1333" si="571">B1332+1</f>
        <v>1332</v>
      </c>
      <c r="C1333" s="17">
        <f t="shared" si="571"/>
        <v>69</v>
      </c>
      <c r="D1333" s="17" t="str">
        <f t="shared" si="508"/>
        <v>20160805</v>
      </c>
      <c r="E1333" s="20" t="str">
        <f t="shared" si="539"/>
        <v>20160805069</v>
      </c>
      <c r="F1333" s="19">
        <v>27</v>
      </c>
      <c r="G1333" s="19">
        <v>40</v>
      </c>
      <c r="H1333" s="19">
        <v>2</v>
      </c>
      <c r="I1333" s="19">
        <v>35</v>
      </c>
      <c r="J1333" s="19">
        <v>22</v>
      </c>
      <c r="K1333" s="19">
        <v>1</v>
      </c>
      <c r="L1333" s="19">
        <v>33</v>
      </c>
      <c r="M1333" s="19">
        <f t="shared" si="559"/>
        <v>160</v>
      </c>
      <c r="N1333" s="27">
        <f t="shared" si="519"/>
        <v>42587</v>
      </c>
    </row>
    <row r="1334" spans="1:14" x14ac:dyDescent="0.25">
      <c r="A1334" s="15">
        <f t="shared" ref="A1334:A1338" si="572">WEEKDAY(N1334,2)</f>
        <v>2</v>
      </c>
      <c r="B1334" s="20">
        <f t="shared" ref="B1334:C1334" si="573">B1333+1</f>
        <v>1333</v>
      </c>
      <c r="C1334" s="17">
        <f t="shared" si="573"/>
        <v>70</v>
      </c>
      <c r="D1334" s="17" t="str">
        <f t="shared" si="508"/>
        <v>20160809</v>
      </c>
      <c r="E1334" s="20" t="str">
        <f t="shared" si="539"/>
        <v>20160809070</v>
      </c>
      <c r="F1334" s="19">
        <v>15</v>
      </c>
      <c r="G1334" s="19">
        <v>37</v>
      </c>
      <c r="H1334" s="19">
        <v>35</v>
      </c>
      <c r="I1334" s="19">
        <v>17</v>
      </c>
      <c r="J1334" s="19">
        <v>45</v>
      </c>
      <c r="K1334" s="19">
        <v>30</v>
      </c>
      <c r="L1334" s="19">
        <v>41</v>
      </c>
      <c r="M1334" s="19">
        <f t="shared" si="559"/>
        <v>220</v>
      </c>
      <c r="N1334" s="27">
        <f t="shared" si="521"/>
        <v>42591</v>
      </c>
    </row>
    <row r="1335" spans="1:14" x14ac:dyDescent="0.25">
      <c r="A1335" s="15">
        <f t="shared" si="572"/>
        <v>5</v>
      </c>
      <c r="B1335" s="20">
        <f t="shared" ref="B1335:C1335" si="574">B1334+1</f>
        <v>1334</v>
      </c>
      <c r="C1335" s="17">
        <f t="shared" si="574"/>
        <v>71</v>
      </c>
      <c r="D1335" s="17" t="str">
        <f t="shared" si="508"/>
        <v>20160812</v>
      </c>
      <c r="E1335" s="20" t="str">
        <f t="shared" si="539"/>
        <v>20160812071</v>
      </c>
      <c r="F1335" s="19">
        <v>8</v>
      </c>
      <c r="G1335" s="19">
        <v>35</v>
      </c>
      <c r="H1335" s="19">
        <v>43</v>
      </c>
      <c r="I1335" s="19">
        <v>33</v>
      </c>
      <c r="J1335" s="19">
        <v>20</v>
      </c>
      <c r="K1335" s="19">
        <v>42</v>
      </c>
      <c r="L1335" s="19">
        <v>10</v>
      </c>
      <c r="M1335" s="19">
        <f t="shared" si="559"/>
        <v>191</v>
      </c>
      <c r="N1335" s="27">
        <f t="shared" si="519"/>
        <v>42594</v>
      </c>
    </row>
    <row r="1336" spans="1:14" x14ac:dyDescent="0.25">
      <c r="A1336" s="15">
        <f t="shared" si="572"/>
        <v>2</v>
      </c>
      <c r="B1336" s="20">
        <f t="shared" ref="B1336:C1336" si="575">B1335+1</f>
        <v>1335</v>
      </c>
      <c r="C1336" s="17">
        <f t="shared" si="575"/>
        <v>72</v>
      </c>
      <c r="D1336" s="17" t="str">
        <f t="shared" si="508"/>
        <v>20160816</v>
      </c>
      <c r="E1336" s="20" t="str">
        <f t="shared" si="539"/>
        <v>20160816072</v>
      </c>
      <c r="F1336" s="19">
        <v>29</v>
      </c>
      <c r="G1336" s="19">
        <v>20</v>
      </c>
      <c r="H1336" s="19">
        <v>14</v>
      </c>
      <c r="I1336" s="19">
        <v>15</v>
      </c>
      <c r="J1336" s="19">
        <v>5</v>
      </c>
      <c r="K1336" s="19">
        <v>27</v>
      </c>
      <c r="L1336" s="19">
        <v>35</v>
      </c>
      <c r="M1336" s="19">
        <f t="shared" si="559"/>
        <v>145</v>
      </c>
      <c r="N1336" s="27">
        <f t="shared" si="521"/>
        <v>42598</v>
      </c>
    </row>
    <row r="1337" spans="1:14" x14ac:dyDescent="0.25">
      <c r="A1337" s="15">
        <f t="shared" si="572"/>
        <v>5</v>
      </c>
      <c r="B1337" s="20">
        <f t="shared" ref="B1337:C1337" si="576">B1336+1</f>
        <v>1336</v>
      </c>
      <c r="C1337" s="17">
        <f t="shared" si="576"/>
        <v>73</v>
      </c>
      <c r="D1337" s="17" t="str">
        <f t="shared" si="508"/>
        <v>20160819</v>
      </c>
      <c r="E1337" s="20" t="str">
        <f t="shared" si="539"/>
        <v>20160819073</v>
      </c>
      <c r="F1337" s="19">
        <v>19</v>
      </c>
      <c r="G1337" s="19">
        <v>26</v>
      </c>
      <c r="H1337" s="19">
        <v>44</v>
      </c>
      <c r="I1337" s="19">
        <v>46</v>
      </c>
      <c r="J1337" s="19">
        <v>5</v>
      </c>
      <c r="K1337" s="19">
        <v>48</v>
      </c>
      <c r="L1337" s="19">
        <v>36</v>
      </c>
      <c r="M1337" s="19">
        <f t="shared" si="559"/>
        <v>224</v>
      </c>
      <c r="N1337" s="27">
        <f t="shared" si="519"/>
        <v>42601</v>
      </c>
    </row>
    <row r="1338" spans="1:14" x14ac:dyDescent="0.25">
      <c r="A1338" s="15">
        <f t="shared" si="572"/>
        <v>2</v>
      </c>
      <c r="B1338" s="20">
        <f t="shared" ref="B1338:C1339" si="577">B1337+1</f>
        <v>1337</v>
      </c>
      <c r="C1338" s="17">
        <f t="shared" si="577"/>
        <v>74</v>
      </c>
      <c r="D1338" s="17" t="str">
        <f t="shared" si="508"/>
        <v>20160823</v>
      </c>
      <c r="E1338" s="20" t="str">
        <f t="shared" si="539"/>
        <v>20160823074</v>
      </c>
      <c r="F1338" s="19">
        <v>44</v>
      </c>
      <c r="G1338" s="19">
        <v>26</v>
      </c>
      <c r="H1338" s="19">
        <v>38</v>
      </c>
      <c r="I1338" s="19">
        <v>25</v>
      </c>
      <c r="J1338" s="19">
        <v>48</v>
      </c>
      <c r="K1338" s="19">
        <v>37</v>
      </c>
      <c r="L1338" s="19">
        <v>31</v>
      </c>
      <c r="M1338" s="19">
        <f t="shared" si="559"/>
        <v>249</v>
      </c>
      <c r="N1338" s="27">
        <f t="shared" si="521"/>
        <v>42605</v>
      </c>
    </row>
    <row r="1339" spans="1:14" x14ac:dyDescent="0.25">
      <c r="A1339" s="15">
        <f t="shared" ref="A1339" si="578">WEEKDAY(N1339,2)</f>
        <v>5</v>
      </c>
      <c r="B1339" s="20">
        <f t="shared" si="577"/>
        <v>1338</v>
      </c>
      <c r="C1339" s="17">
        <f t="shared" si="577"/>
        <v>75</v>
      </c>
      <c r="D1339" s="17" t="str">
        <f t="shared" si="508"/>
        <v>20160826</v>
      </c>
      <c r="E1339" s="20" t="str">
        <f t="shared" si="539"/>
        <v>20160826075</v>
      </c>
      <c r="F1339" s="19">
        <v>34</v>
      </c>
      <c r="G1339" s="19">
        <v>49</v>
      </c>
      <c r="H1339" s="19">
        <v>28</v>
      </c>
      <c r="I1339" s="19">
        <v>9</v>
      </c>
      <c r="J1339" s="19">
        <v>42</v>
      </c>
      <c r="K1339" s="19">
        <v>41</v>
      </c>
      <c r="L1339" s="19">
        <v>6</v>
      </c>
      <c r="M1339" s="19">
        <f t="shared" si="559"/>
        <v>209</v>
      </c>
      <c r="N1339" s="27">
        <f t="shared" si="519"/>
        <v>42608</v>
      </c>
    </row>
    <row r="1340" spans="1:14" x14ac:dyDescent="0.25">
      <c r="A1340" s="15">
        <f t="shared" ref="A1340:A1345" si="579">WEEKDAY(N1340,2)</f>
        <v>2</v>
      </c>
      <c r="B1340" s="20">
        <f t="shared" ref="B1340:C1340" si="580">B1339+1</f>
        <v>1339</v>
      </c>
      <c r="C1340" s="17">
        <f t="shared" si="580"/>
        <v>76</v>
      </c>
      <c r="D1340" s="17" t="str">
        <f t="shared" si="508"/>
        <v>20160830</v>
      </c>
      <c r="E1340" s="20" t="str">
        <f t="shared" si="539"/>
        <v>20160830076</v>
      </c>
      <c r="F1340" s="19">
        <v>1</v>
      </c>
      <c r="G1340" s="19">
        <v>46</v>
      </c>
      <c r="H1340" s="19">
        <v>36</v>
      </c>
      <c r="I1340" s="19">
        <v>27</v>
      </c>
      <c r="J1340" s="19">
        <v>11</v>
      </c>
      <c r="K1340" s="19">
        <v>18</v>
      </c>
      <c r="L1340" s="19">
        <v>26</v>
      </c>
      <c r="M1340" s="19">
        <f t="shared" si="559"/>
        <v>165</v>
      </c>
      <c r="N1340" s="27">
        <f t="shared" si="521"/>
        <v>42612</v>
      </c>
    </row>
    <row r="1341" spans="1:14" x14ac:dyDescent="0.25">
      <c r="A1341" s="15">
        <f t="shared" si="579"/>
        <v>5</v>
      </c>
      <c r="B1341" s="20">
        <f t="shared" ref="B1341:C1341" si="581">B1340+1</f>
        <v>1340</v>
      </c>
      <c r="C1341" s="17">
        <f t="shared" si="581"/>
        <v>77</v>
      </c>
      <c r="D1341" s="17" t="str">
        <f t="shared" si="508"/>
        <v>20160902</v>
      </c>
      <c r="E1341" s="20" t="str">
        <f t="shared" si="539"/>
        <v>20160902077</v>
      </c>
      <c r="F1341" s="19">
        <v>9</v>
      </c>
      <c r="G1341" s="19">
        <v>45</v>
      </c>
      <c r="H1341" s="19">
        <v>46</v>
      </c>
      <c r="I1341" s="19">
        <v>11</v>
      </c>
      <c r="J1341" s="19">
        <v>20</v>
      </c>
      <c r="K1341" s="19">
        <v>21</v>
      </c>
      <c r="L1341" s="19">
        <v>42</v>
      </c>
      <c r="M1341" s="19">
        <f t="shared" si="559"/>
        <v>194</v>
      </c>
      <c r="N1341" s="27">
        <f t="shared" si="519"/>
        <v>42615</v>
      </c>
    </row>
    <row r="1342" spans="1:14" x14ac:dyDescent="0.25">
      <c r="A1342" s="15">
        <f t="shared" si="579"/>
        <v>2</v>
      </c>
      <c r="B1342" s="20">
        <f t="shared" ref="B1342:C1342" si="582">B1341+1</f>
        <v>1341</v>
      </c>
      <c r="C1342" s="17">
        <f t="shared" si="582"/>
        <v>78</v>
      </c>
      <c r="D1342" s="17" t="str">
        <f t="shared" si="508"/>
        <v>20160906</v>
      </c>
      <c r="E1342" s="20" t="str">
        <f t="shared" si="539"/>
        <v>20160906078</v>
      </c>
      <c r="F1342" s="19">
        <v>7</v>
      </c>
      <c r="G1342" s="19">
        <v>4</v>
      </c>
      <c r="H1342" s="19">
        <v>28</v>
      </c>
      <c r="I1342" s="19">
        <v>20</v>
      </c>
      <c r="J1342" s="19">
        <v>45</v>
      </c>
      <c r="K1342" s="19">
        <v>23</v>
      </c>
      <c r="L1342" s="19">
        <v>35</v>
      </c>
      <c r="M1342" s="19">
        <f t="shared" si="559"/>
        <v>162</v>
      </c>
      <c r="N1342" s="27">
        <f t="shared" si="521"/>
        <v>42619</v>
      </c>
    </row>
    <row r="1343" spans="1:14" x14ac:dyDescent="0.25">
      <c r="A1343" s="15">
        <f t="shared" si="579"/>
        <v>5</v>
      </c>
      <c r="B1343" s="20">
        <f t="shared" ref="B1343:C1343" si="583">B1342+1</f>
        <v>1342</v>
      </c>
      <c r="C1343" s="17">
        <f t="shared" si="583"/>
        <v>79</v>
      </c>
      <c r="D1343" s="17" t="str">
        <f t="shared" si="508"/>
        <v>20160909</v>
      </c>
      <c r="E1343" s="20" t="str">
        <f t="shared" si="539"/>
        <v>20160909079</v>
      </c>
      <c r="F1343" s="19">
        <v>41</v>
      </c>
      <c r="G1343" s="19">
        <v>12</v>
      </c>
      <c r="H1343" s="19">
        <v>1</v>
      </c>
      <c r="I1343" s="19">
        <v>44</v>
      </c>
      <c r="J1343" s="19">
        <v>36</v>
      </c>
      <c r="K1343" s="19">
        <v>35</v>
      </c>
      <c r="L1343" s="19">
        <v>21</v>
      </c>
      <c r="M1343" s="19">
        <f t="shared" si="559"/>
        <v>190</v>
      </c>
      <c r="N1343" s="27">
        <f t="shared" si="519"/>
        <v>42622</v>
      </c>
    </row>
    <row r="1344" spans="1:14" x14ac:dyDescent="0.25">
      <c r="A1344" s="15">
        <f t="shared" si="579"/>
        <v>2</v>
      </c>
      <c r="B1344" s="20">
        <f t="shared" ref="B1344:C1344" si="584">B1343+1</f>
        <v>1343</v>
      </c>
      <c r="C1344" s="17">
        <f t="shared" si="584"/>
        <v>80</v>
      </c>
      <c r="D1344" s="17" t="str">
        <f t="shared" si="508"/>
        <v>20160913</v>
      </c>
      <c r="E1344" s="20" t="str">
        <f t="shared" si="539"/>
        <v>20160913080</v>
      </c>
      <c r="F1344" s="19">
        <v>3</v>
      </c>
      <c r="G1344" s="19">
        <v>41</v>
      </c>
      <c r="H1344" s="19">
        <v>16</v>
      </c>
      <c r="I1344" s="19">
        <v>40</v>
      </c>
      <c r="J1344" s="19">
        <v>22</v>
      </c>
      <c r="K1344" s="19">
        <v>33</v>
      </c>
      <c r="L1344" s="19">
        <v>39</v>
      </c>
      <c r="M1344" s="19">
        <f t="shared" si="559"/>
        <v>194</v>
      </c>
      <c r="N1344" s="27">
        <f t="shared" si="521"/>
        <v>42626</v>
      </c>
    </row>
    <row r="1345" spans="1:14" x14ac:dyDescent="0.25">
      <c r="A1345" s="15">
        <f t="shared" si="579"/>
        <v>5</v>
      </c>
      <c r="B1345" s="20">
        <f t="shared" ref="B1345:C1345" si="585">B1344+1</f>
        <v>1344</v>
      </c>
      <c r="C1345" s="17">
        <f t="shared" si="585"/>
        <v>81</v>
      </c>
      <c r="D1345" s="17" t="str">
        <f t="shared" si="508"/>
        <v>20160916</v>
      </c>
      <c r="E1345" s="20" t="str">
        <f t="shared" si="539"/>
        <v>20160916081</v>
      </c>
      <c r="F1345" s="19">
        <v>34</v>
      </c>
      <c r="G1345" s="19">
        <v>31</v>
      </c>
      <c r="H1345" s="19">
        <v>49</v>
      </c>
      <c r="I1345" s="19">
        <v>30</v>
      </c>
      <c r="J1345" s="19">
        <v>17</v>
      </c>
      <c r="K1345" s="19">
        <v>23</v>
      </c>
      <c r="L1345" s="19">
        <v>36</v>
      </c>
      <c r="M1345" s="19">
        <f t="shared" si="559"/>
        <v>220</v>
      </c>
      <c r="N1345" s="27">
        <f t="shared" si="519"/>
        <v>42629</v>
      </c>
    </row>
    <row r="1346" spans="1:14" x14ac:dyDescent="0.25">
      <c r="A1346" s="15">
        <f t="shared" ref="A1346:A1347" si="586">WEEKDAY(N1346,2)</f>
        <v>2</v>
      </c>
      <c r="B1346" s="20">
        <f t="shared" ref="B1346:C1346" si="587">B1345+1</f>
        <v>1345</v>
      </c>
      <c r="C1346" s="17">
        <f t="shared" si="587"/>
        <v>82</v>
      </c>
      <c r="D1346" s="17" t="str">
        <f t="shared" si="508"/>
        <v>20160920</v>
      </c>
      <c r="E1346" s="20" t="str">
        <f t="shared" si="539"/>
        <v>20160920082</v>
      </c>
      <c r="F1346" s="19">
        <v>22</v>
      </c>
      <c r="G1346" s="19">
        <v>7</v>
      </c>
      <c r="H1346" s="19">
        <v>17</v>
      </c>
      <c r="I1346" s="19">
        <v>44</v>
      </c>
      <c r="J1346" s="19">
        <v>4</v>
      </c>
      <c r="K1346" s="19">
        <v>45</v>
      </c>
      <c r="L1346" s="19">
        <v>32</v>
      </c>
      <c r="M1346" s="19">
        <f t="shared" si="559"/>
        <v>171</v>
      </c>
      <c r="N1346" s="27">
        <f t="shared" ref="N1346:N1408" si="588">N1345+4</f>
        <v>42633</v>
      </c>
    </row>
    <row r="1347" spans="1:14" x14ac:dyDescent="0.25">
      <c r="A1347" s="15">
        <f t="shared" si="586"/>
        <v>5</v>
      </c>
      <c r="B1347" s="20">
        <f t="shared" ref="B1347:C1349" si="589">B1346+1</f>
        <v>1346</v>
      </c>
      <c r="C1347" s="17">
        <f t="shared" si="589"/>
        <v>83</v>
      </c>
      <c r="D1347" s="17" t="str">
        <f t="shared" si="508"/>
        <v>20160923</v>
      </c>
      <c r="E1347" s="20" t="str">
        <f t="shared" si="539"/>
        <v>20160923083</v>
      </c>
      <c r="F1347" s="19">
        <v>1</v>
      </c>
      <c r="G1347" s="19">
        <v>43</v>
      </c>
      <c r="H1347" s="19">
        <v>33</v>
      </c>
      <c r="I1347" s="19">
        <v>29</v>
      </c>
      <c r="J1347" s="19">
        <v>31</v>
      </c>
      <c r="K1347" s="19">
        <v>2</v>
      </c>
      <c r="L1347" s="19">
        <v>40</v>
      </c>
      <c r="M1347" s="19">
        <f t="shared" si="559"/>
        <v>179</v>
      </c>
      <c r="N1347" s="27">
        <f t="shared" ref="N1347:N1409" si="590">N1346+3</f>
        <v>42636</v>
      </c>
    </row>
    <row r="1348" spans="1:14" x14ac:dyDescent="0.25">
      <c r="A1348" s="15">
        <f t="shared" ref="A1348" si="591">WEEKDAY(N1348,2)</f>
        <v>2</v>
      </c>
      <c r="B1348" s="20">
        <f t="shared" si="589"/>
        <v>1347</v>
      </c>
      <c r="C1348" s="17">
        <f t="shared" si="589"/>
        <v>84</v>
      </c>
      <c r="D1348" s="17" t="str">
        <f t="shared" ref="D1348:D1411" si="592">CONCATENATE(TEXT(YEAR(N1348),"0000"),TEXT(MONTH(N1348),"00"),TEXT(DAY(N1348),"00"))</f>
        <v>20160927</v>
      </c>
      <c r="E1348" s="20" t="str">
        <f t="shared" si="539"/>
        <v>20160927084</v>
      </c>
      <c r="F1348" s="19">
        <v>35</v>
      </c>
      <c r="G1348" s="19">
        <v>15</v>
      </c>
      <c r="H1348" s="19">
        <v>48</v>
      </c>
      <c r="I1348" s="19">
        <v>14</v>
      </c>
      <c r="J1348" s="19">
        <v>16</v>
      </c>
      <c r="K1348" s="19">
        <v>46</v>
      </c>
      <c r="L1348" s="19">
        <v>2</v>
      </c>
      <c r="M1348" s="19">
        <f t="shared" si="559"/>
        <v>176</v>
      </c>
      <c r="N1348" s="27">
        <f t="shared" si="588"/>
        <v>42640</v>
      </c>
    </row>
    <row r="1349" spans="1:14" x14ac:dyDescent="0.25">
      <c r="A1349" s="15">
        <f t="shared" ref="A1349" si="593">WEEKDAY(N1349,2)</f>
        <v>5</v>
      </c>
      <c r="B1349" s="20">
        <f t="shared" si="589"/>
        <v>1348</v>
      </c>
      <c r="C1349" s="17">
        <f t="shared" si="589"/>
        <v>85</v>
      </c>
      <c r="D1349" s="17" t="str">
        <f t="shared" si="592"/>
        <v>20160930</v>
      </c>
      <c r="E1349" s="20" t="str">
        <f t="shared" ref="E1349" si="594">CONCATENATE(D1349,TEXT(C1349,"000"))</f>
        <v>20160930085</v>
      </c>
      <c r="F1349" s="19">
        <v>48</v>
      </c>
      <c r="G1349" s="19">
        <v>4</v>
      </c>
      <c r="H1349" s="19">
        <v>10</v>
      </c>
      <c r="I1349" s="19">
        <v>31</v>
      </c>
      <c r="J1349" s="19">
        <v>38</v>
      </c>
      <c r="K1349" s="19">
        <v>40</v>
      </c>
      <c r="L1349" s="19">
        <v>5</v>
      </c>
      <c r="M1349" s="19">
        <f t="shared" si="559"/>
        <v>176</v>
      </c>
      <c r="N1349" s="27">
        <f t="shared" si="590"/>
        <v>42643</v>
      </c>
    </row>
    <row r="1350" spans="1:14" x14ac:dyDescent="0.25">
      <c r="A1350" s="15">
        <f t="shared" ref="A1350:A1354" si="595">WEEKDAY(N1350,2)</f>
        <v>2</v>
      </c>
      <c r="B1350" s="20">
        <f t="shared" ref="B1350:C1350" si="596">B1349+1</f>
        <v>1349</v>
      </c>
      <c r="C1350" s="17">
        <f t="shared" si="596"/>
        <v>86</v>
      </c>
      <c r="D1350" s="17" t="str">
        <f t="shared" si="592"/>
        <v>20161004</v>
      </c>
      <c r="E1350" s="20" t="str">
        <f t="shared" ref="E1350:E1354" si="597">CONCATENATE(D1350,TEXT(C1350,"000"))</f>
        <v>20161004086</v>
      </c>
      <c r="F1350" s="19">
        <v>23</v>
      </c>
      <c r="G1350" s="19">
        <v>11</v>
      </c>
      <c r="H1350" s="19">
        <v>30</v>
      </c>
      <c r="I1350" s="19">
        <v>35</v>
      </c>
      <c r="J1350" s="19">
        <v>44</v>
      </c>
      <c r="K1350" s="19">
        <v>40</v>
      </c>
      <c r="L1350" s="19">
        <v>7</v>
      </c>
      <c r="M1350" s="19">
        <f t="shared" si="559"/>
        <v>190</v>
      </c>
      <c r="N1350" s="27">
        <f t="shared" si="588"/>
        <v>42647</v>
      </c>
    </row>
    <row r="1351" spans="1:14" x14ac:dyDescent="0.25">
      <c r="A1351" s="15">
        <f t="shared" si="595"/>
        <v>5</v>
      </c>
      <c r="B1351" s="20">
        <f t="shared" ref="B1351:C1351" si="598">B1350+1</f>
        <v>1350</v>
      </c>
      <c r="C1351" s="17">
        <f t="shared" si="598"/>
        <v>87</v>
      </c>
      <c r="D1351" s="17" t="str">
        <f t="shared" si="592"/>
        <v>20161007</v>
      </c>
      <c r="E1351" s="20" t="str">
        <f t="shared" si="597"/>
        <v>20161007087</v>
      </c>
      <c r="F1351" s="19">
        <v>10</v>
      </c>
      <c r="G1351" s="19">
        <v>16</v>
      </c>
      <c r="H1351" s="19">
        <v>30</v>
      </c>
      <c r="I1351" s="19">
        <v>42</v>
      </c>
      <c r="J1351" s="19">
        <v>33</v>
      </c>
      <c r="K1351" s="19">
        <v>37</v>
      </c>
      <c r="L1351" s="19">
        <v>43</v>
      </c>
      <c r="M1351" s="19">
        <f t="shared" si="559"/>
        <v>211</v>
      </c>
      <c r="N1351" s="27">
        <f t="shared" si="590"/>
        <v>42650</v>
      </c>
    </row>
    <row r="1352" spans="1:14" x14ac:dyDescent="0.25">
      <c r="A1352" s="15">
        <f t="shared" si="595"/>
        <v>2</v>
      </c>
      <c r="B1352" s="20">
        <f t="shared" ref="B1352:C1352" si="599">B1351+1</f>
        <v>1351</v>
      </c>
      <c r="C1352" s="17">
        <f t="shared" si="599"/>
        <v>88</v>
      </c>
      <c r="D1352" s="17" t="str">
        <f t="shared" si="592"/>
        <v>20161011</v>
      </c>
      <c r="E1352" s="20" t="str">
        <f t="shared" si="597"/>
        <v>20161011088</v>
      </c>
      <c r="F1352" s="19">
        <v>37</v>
      </c>
      <c r="G1352" s="19">
        <v>39</v>
      </c>
      <c r="H1352" s="19">
        <v>2</v>
      </c>
      <c r="I1352" s="19">
        <v>8</v>
      </c>
      <c r="J1352" s="19">
        <v>13</v>
      </c>
      <c r="K1352" s="19">
        <v>14</v>
      </c>
      <c r="L1352" s="19">
        <v>38</v>
      </c>
      <c r="M1352" s="19">
        <f t="shared" si="559"/>
        <v>151</v>
      </c>
      <c r="N1352" s="27">
        <f t="shared" si="588"/>
        <v>42654</v>
      </c>
    </row>
    <row r="1353" spans="1:14" x14ac:dyDescent="0.25">
      <c r="A1353" s="15">
        <f t="shared" si="595"/>
        <v>5</v>
      </c>
      <c r="B1353" s="20">
        <f t="shared" ref="B1353:C1353" si="600">B1352+1</f>
        <v>1352</v>
      </c>
      <c r="C1353" s="17">
        <f t="shared" si="600"/>
        <v>89</v>
      </c>
      <c r="D1353" s="17" t="str">
        <f t="shared" si="592"/>
        <v>20161014</v>
      </c>
      <c r="E1353" s="20" t="str">
        <f t="shared" si="597"/>
        <v>20161014089</v>
      </c>
      <c r="F1353" s="19">
        <v>23</v>
      </c>
      <c r="G1353" s="19">
        <v>10</v>
      </c>
      <c r="H1353" s="19">
        <v>30</v>
      </c>
      <c r="I1353" s="19">
        <v>44</v>
      </c>
      <c r="J1353" s="19">
        <v>29</v>
      </c>
      <c r="K1353" s="19">
        <v>47</v>
      </c>
      <c r="L1353" s="19">
        <v>7</v>
      </c>
      <c r="M1353" s="19">
        <f t="shared" si="559"/>
        <v>190</v>
      </c>
      <c r="N1353" s="27">
        <f t="shared" si="590"/>
        <v>42657</v>
      </c>
    </row>
    <row r="1354" spans="1:14" x14ac:dyDescent="0.25">
      <c r="A1354" s="15">
        <f t="shared" si="595"/>
        <v>2</v>
      </c>
      <c r="B1354" s="20">
        <f t="shared" ref="B1354:C1355" si="601">B1353+1</f>
        <v>1353</v>
      </c>
      <c r="C1354" s="17">
        <f t="shared" si="601"/>
        <v>90</v>
      </c>
      <c r="D1354" s="17" t="str">
        <f t="shared" si="592"/>
        <v>20161018</v>
      </c>
      <c r="E1354" s="20" t="str">
        <f t="shared" si="597"/>
        <v>20161018090</v>
      </c>
      <c r="F1354" s="19">
        <v>44</v>
      </c>
      <c r="G1354" s="19">
        <v>15</v>
      </c>
      <c r="H1354" s="19">
        <v>14</v>
      </c>
      <c r="I1354" s="19">
        <v>47</v>
      </c>
      <c r="J1354" s="19">
        <v>16</v>
      </c>
      <c r="K1354" s="19">
        <v>24</v>
      </c>
      <c r="L1354" s="19">
        <v>21</v>
      </c>
      <c r="M1354" s="19">
        <f t="shared" si="559"/>
        <v>181</v>
      </c>
      <c r="N1354" s="27">
        <f t="shared" si="588"/>
        <v>42661</v>
      </c>
    </row>
    <row r="1355" spans="1:14" x14ac:dyDescent="0.25">
      <c r="A1355" s="15">
        <f t="shared" ref="A1355" si="602">WEEKDAY(N1355,2)</f>
        <v>5</v>
      </c>
      <c r="B1355" s="20">
        <f t="shared" si="601"/>
        <v>1354</v>
      </c>
      <c r="C1355" s="17">
        <f t="shared" si="601"/>
        <v>91</v>
      </c>
      <c r="D1355" s="17" t="str">
        <f t="shared" si="592"/>
        <v>20161021</v>
      </c>
      <c r="E1355" s="20" t="str">
        <f t="shared" ref="E1355:E1357" si="603">CONCATENATE(D1355,TEXT(C1355,"000"))</f>
        <v>20161021091</v>
      </c>
      <c r="F1355" s="19">
        <v>33</v>
      </c>
      <c r="G1355" s="19">
        <v>32</v>
      </c>
      <c r="H1355" s="19">
        <v>2</v>
      </c>
      <c r="I1355" s="19">
        <v>8</v>
      </c>
      <c r="J1355" s="19">
        <v>21</v>
      </c>
      <c r="K1355" s="19">
        <v>37</v>
      </c>
      <c r="L1355" s="19">
        <v>15</v>
      </c>
      <c r="M1355" s="19">
        <f t="shared" si="559"/>
        <v>148</v>
      </c>
      <c r="N1355" s="27">
        <f t="shared" si="590"/>
        <v>42664</v>
      </c>
    </row>
    <row r="1356" spans="1:14" x14ac:dyDescent="0.25">
      <c r="A1356" s="15">
        <f t="shared" ref="A1356:A1357" si="604">WEEKDAY(N1356,2)</f>
        <v>2</v>
      </c>
      <c r="B1356" s="20">
        <f t="shared" ref="B1356:C1356" si="605">B1355+1</f>
        <v>1355</v>
      </c>
      <c r="C1356" s="17">
        <f t="shared" si="605"/>
        <v>92</v>
      </c>
      <c r="D1356" s="17" t="str">
        <f t="shared" si="592"/>
        <v>20161025</v>
      </c>
      <c r="E1356" s="20" t="str">
        <f t="shared" si="603"/>
        <v>20161025092</v>
      </c>
      <c r="F1356" s="19">
        <v>34</v>
      </c>
      <c r="G1356" s="19">
        <v>15</v>
      </c>
      <c r="H1356" s="19">
        <v>25</v>
      </c>
      <c r="I1356" s="19">
        <v>27</v>
      </c>
      <c r="J1356" s="19">
        <v>33</v>
      </c>
      <c r="K1356" s="19">
        <v>5</v>
      </c>
      <c r="L1356" s="19">
        <v>43</v>
      </c>
      <c r="M1356" s="19">
        <f t="shared" si="559"/>
        <v>182</v>
      </c>
      <c r="N1356" s="27">
        <f t="shared" si="588"/>
        <v>42668</v>
      </c>
    </row>
    <row r="1357" spans="1:14" x14ac:dyDescent="0.25">
      <c r="A1357" s="15">
        <f t="shared" si="604"/>
        <v>5</v>
      </c>
      <c r="B1357" s="20">
        <f t="shared" ref="B1357:C1357" si="606">B1356+1</f>
        <v>1356</v>
      </c>
      <c r="C1357" s="17">
        <f t="shared" si="606"/>
        <v>93</v>
      </c>
      <c r="D1357" s="17" t="str">
        <f t="shared" si="592"/>
        <v>20161028</v>
      </c>
      <c r="E1357" s="20" t="str">
        <f t="shared" si="603"/>
        <v>20161028093</v>
      </c>
      <c r="F1357" s="19">
        <v>10</v>
      </c>
      <c r="G1357" s="19">
        <v>38</v>
      </c>
      <c r="H1357" s="19">
        <v>13</v>
      </c>
      <c r="I1357" s="19">
        <v>1</v>
      </c>
      <c r="J1357" s="19">
        <v>33</v>
      </c>
      <c r="K1357" s="19">
        <v>37</v>
      </c>
      <c r="L1357" s="19">
        <v>40</v>
      </c>
      <c r="M1357" s="19">
        <f t="shared" si="559"/>
        <v>172</v>
      </c>
      <c r="N1357" s="27">
        <f t="shared" si="590"/>
        <v>42671</v>
      </c>
    </row>
    <row r="1358" spans="1:14" x14ac:dyDescent="0.25">
      <c r="A1358" s="15">
        <f t="shared" ref="A1358:A1362" si="607">WEEKDAY(N1358,2)</f>
        <v>2</v>
      </c>
      <c r="B1358" s="20">
        <f t="shared" ref="B1358:C1358" si="608">B1357+1</f>
        <v>1357</v>
      </c>
      <c r="C1358" s="17">
        <f t="shared" si="608"/>
        <v>94</v>
      </c>
      <c r="D1358" s="17" t="str">
        <f t="shared" si="592"/>
        <v>20161101</v>
      </c>
      <c r="E1358" s="20" t="str">
        <f t="shared" ref="E1358:E1362" si="609">CONCATENATE(D1358,TEXT(C1358,"000"))</f>
        <v>20161101094</v>
      </c>
      <c r="F1358" s="19">
        <v>11</v>
      </c>
      <c r="G1358" s="19">
        <v>10</v>
      </c>
      <c r="H1358" s="19">
        <v>49</v>
      </c>
      <c r="I1358" s="19">
        <v>20</v>
      </c>
      <c r="J1358" s="19">
        <v>15</v>
      </c>
      <c r="K1358" s="19">
        <v>31</v>
      </c>
      <c r="L1358" s="19">
        <v>44</v>
      </c>
      <c r="M1358" s="19">
        <f t="shared" si="559"/>
        <v>180</v>
      </c>
      <c r="N1358" s="27">
        <f t="shared" si="588"/>
        <v>42675</v>
      </c>
    </row>
    <row r="1359" spans="1:14" x14ac:dyDescent="0.25">
      <c r="A1359" s="15">
        <f t="shared" si="607"/>
        <v>5</v>
      </c>
      <c r="B1359" s="20">
        <f t="shared" ref="B1359:C1359" si="610">B1358+1</f>
        <v>1358</v>
      </c>
      <c r="C1359" s="17">
        <f t="shared" si="610"/>
        <v>95</v>
      </c>
      <c r="D1359" s="17" t="str">
        <f t="shared" si="592"/>
        <v>20161104</v>
      </c>
      <c r="E1359" s="20" t="str">
        <f t="shared" si="609"/>
        <v>20161104095</v>
      </c>
      <c r="F1359" s="19">
        <v>49</v>
      </c>
      <c r="G1359" s="19">
        <v>38</v>
      </c>
      <c r="H1359" s="19">
        <v>2</v>
      </c>
      <c r="I1359" s="19">
        <v>3</v>
      </c>
      <c r="J1359" s="19">
        <v>17</v>
      </c>
      <c r="K1359" s="19">
        <v>28</v>
      </c>
      <c r="L1359" s="19">
        <v>21</v>
      </c>
      <c r="M1359" s="19">
        <f t="shared" si="559"/>
        <v>158</v>
      </c>
      <c r="N1359" s="27">
        <f t="shared" si="590"/>
        <v>42678</v>
      </c>
    </row>
    <row r="1360" spans="1:14" x14ac:dyDescent="0.25">
      <c r="A1360" s="15">
        <f t="shared" si="607"/>
        <v>2</v>
      </c>
      <c r="B1360" s="20">
        <f t="shared" ref="B1360:C1360" si="611">B1359+1</f>
        <v>1359</v>
      </c>
      <c r="C1360" s="17">
        <f t="shared" si="611"/>
        <v>96</v>
      </c>
      <c r="D1360" s="17" t="str">
        <f t="shared" si="592"/>
        <v>20161108</v>
      </c>
      <c r="E1360" s="20" t="str">
        <f t="shared" si="609"/>
        <v>20161108096</v>
      </c>
      <c r="F1360" s="19">
        <v>22</v>
      </c>
      <c r="G1360" s="19">
        <v>17</v>
      </c>
      <c r="H1360" s="19">
        <v>6</v>
      </c>
      <c r="I1360" s="19">
        <v>49</v>
      </c>
      <c r="J1360" s="19">
        <v>11</v>
      </c>
      <c r="K1360" s="19">
        <v>3</v>
      </c>
      <c r="L1360" s="19">
        <v>44</v>
      </c>
      <c r="M1360" s="19">
        <f t="shared" si="559"/>
        <v>152</v>
      </c>
      <c r="N1360" s="27">
        <f t="shared" si="588"/>
        <v>42682</v>
      </c>
    </row>
    <row r="1361" spans="1:14" x14ac:dyDescent="0.25">
      <c r="A1361" s="15">
        <f t="shared" si="607"/>
        <v>5</v>
      </c>
      <c r="B1361" s="20">
        <f t="shared" ref="B1361:C1361" si="612">B1360+1</f>
        <v>1360</v>
      </c>
      <c r="C1361" s="17">
        <f t="shared" si="612"/>
        <v>97</v>
      </c>
      <c r="D1361" s="17" t="str">
        <f t="shared" si="592"/>
        <v>20161111</v>
      </c>
      <c r="E1361" s="20" t="str">
        <f t="shared" si="609"/>
        <v>20161111097</v>
      </c>
      <c r="F1361" s="19">
        <v>8</v>
      </c>
      <c r="G1361" s="19">
        <v>28</v>
      </c>
      <c r="H1361" s="19">
        <v>7</v>
      </c>
      <c r="I1361" s="19">
        <v>32</v>
      </c>
      <c r="J1361" s="19">
        <v>2</v>
      </c>
      <c r="K1361" s="19">
        <v>22</v>
      </c>
      <c r="L1361" s="19">
        <v>20</v>
      </c>
      <c r="M1361" s="19">
        <f t="shared" si="559"/>
        <v>119</v>
      </c>
      <c r="N1361" s="27">
        <f t="shared" si="590"/>
        <v>42685</v>
      </c>
    </row>
    <row r="1362" spans="1:14" x14ac:dyDescent="0.25">
      <c r="A1362" s="15">
        <f t="shared" si="607"/>
        <v>2</v>
      </c>
      <c r="B1362" s="20">
        <f t="shared" ref="B1362:C1362" si="613">B1361+1</f>
        <v>1361</v>
      </c>
      <c r="C1362" s="17">
        <f t="shared" si="613"/>
        <v>98</v>
      </c>
      <c r="D1362" s="17" t="str">
        <f t="shared" si="592"/>
        <v>20161115</v>
      </c>
      <c r="E1362" s="20" t="str">
        <f t="shared" si="609"/>
        <v>20161115098</v>
      </c>
      <c r="F1362" s="19">
        <v>8</v>
      </c>
      <c r="G1362" s="19">
        <v>33</v>
      </c>
      <c r="H1362" s="19">
        <v>41</v>
      </c>
      <c r="I1362" s="19">
        <v>43</v>
      </c>
      <c r="J1362" s="19">
        <v>25</v>
      </c>
      <c r="K1362" s="19">
        <v>7</v>
      </c>
      <c r="L1362" s="19">
        <v>6</v>
      </c>
      <c r="M1362" s="19">
        <f t="shared" si="559"/>
        <v>163</v>
      </c>
      <c r="N1362" s="27">
        <f t="shared" si="588"/>
        <v>42689</v>
      </c>
    </row>
    <row r="1363" spans="1:14" x14ac:dyDescent="0.25">
      <c r="A1363" s="15">
        <f t="shared" ref="A1363:A1385" si="614">WEEKDAY(N1363,2)</f>
        <v>5</v>
      </c>
      <c r="B1363" s="20">
        <f t="shared" ref="B1363:C1363" si="615">B1362+1</f>
        <v>1362</v>
      </c>
      <c r="C1363" s="17">
        <f t="shared" si="615"/>
        <v>99</v>
      </c>
      <c r="D1363" s="17" t="str">
        <f t="shared" si="592"/>
        <v>20161118</v>
      </c>
      <c r="E1363" s="20" t="str">
        <f t="shared" ref="E1363:E1394" si="616">CONCATENATE(D1363,TEXT(C1363,"000"))</f>
        <v>20161118099</v>
      </c>
      <c r="F1363" s="19">
        <v>26</v>
      </c>
      <c r="G1363" s="19">
        <v>6</v>
      </c>
      <c r="H1363" s="19">
        <v>18</v>
      </c>
      <c r="I1363" s="19">
        <v>25</v>
      </c>
      <c r="J1363" s="19">
        <v>34</v>
      </c>
      <c r="K1363" s="19">
        <v>24</v>
      </c>
      <c r="L1363" s="19">
        <v>19</v>
      </c>
      <c r="M1363" s="19">
        <f t="shared" si="559"/>
        <v>152</v>
      </c>
      <c r="N1363" s="27">
        <f t="shared" si="590"/>
        <v>42692</v>
      </c>
    </row>
    <row r="1364" spans="1:14" x14ac:dyDescent="0.25">
      <c r="A1364" s="15">
        <f t="shared" si="614"/>
        <v>2</v>
      </c>
      <c r="B1364" s="20">
        <f t="shared" ref="B1364:C1364" si="617">B1363+1</f>
        <v>1363</v>
      </c>
      <c r="C1364" s="17">
        <f t="shared" si="617"/>
        <v>100</v>
      </c>
      <c r="D1364" s="17" t="str">
        <f t="shared" si="592"/>
        <v>20161122</v>
      </c>
      <c r="E1364" s="20" t="str">
        <f t="shared" si="616"/>
        <v>20161122100</v>
      </c>
      <c r="F1364" s="19">
        <v>34</v>
      </c>
      <c r="G1364" s="19">
        <v>21</v>
      </c>
      <c r="H1364" s="19">
        <v>25</v>
      </c>
      <c r="I1364" s="19">
        <v>44</v>
      </c>
      <c r="J1364" s="19">
        <v>1</v>
      </c>
      <c r="K1364" s="19">
        <v>24</v>
      </c>
      <c r="L1364" s="19">
        <v>19</v>
      </c>
      <c r="M1364" s="19">
        <f t="shared" si="559"/>
        <v>168</v>
      </c>
      <c r="N1364" s="27">
        <f t="shared" si="588"/>
        <v>42696</v>
      </c>
    </row>
    <row r="1365" spans="1:14" x14ac:dyDescent="0.25">
      <c r="A1365" s="15">
        <f t="shared" si="614"/>
        <v>5</v>
      </c>
      <c r="B1365" s="20">
        <f t="shared" ref="B1365:C1365" si="618">B1364+1</f>
        <v>1364</v>
      </c>
      <c r="C1365" s="17">
        <f t="shared" si="618"/>
        <v>101</v>
      </c>
      <c r="D1365" s="17" t="str">
        <f t="shared" si="592"/>
        <v>20161125</v>
      </c>
      <c r="E1365" s="20" t="str">
        <f t="shared" si="616"/>
        <v>20161125101</v>
      </c>
      <c r="F1365" s="19">
        <v>3</v>
      </c>
      <c r="G1365" s="19">
        <v>28</v>
      </c>
      <c r="H1365" s="19">
        <v>42</v>
      </c>
      <c r="I1365" s="19">
        <v>1</v>
      </c>
      <c r="J1365" s="19">
        <v>37</v>
      </c>
      <c r="K1365" s="19">
        <v>22</v>
      </c>
      <c r="L1365" s="19">
        <v>10</v>
      </c>
      <c r="M1365" s="19">
        <f t="shared" si="559"/>
        <v>143</v>
      </c>
      <c r="N1365" s="27">
        <f t="shared" si="590"/>
        <v>42699</v>
      </c>
    </row>
    <row r="1366" spans="1:14" x14ac:dyDescent="0.25">
      <c r="A1366" s="15">
        <f t="shared" si="614"/>
        <v>2</v>
      </c>
      <c r="B1366" s="20">
        <f t="shared" ref="B1366:C1366" si="619">B1365+1</f>
        <v>1365</v>
      </c>
      <c r="C1366" s="17">
        <f t="shared" si="619"/>
        <v>102</v>
      </c>
      <c r="D1366" s="17" t="str">
        <f t="shared" si="592"/>
        <v>20161129</v>
      </c>
      <c r="E1366" s="20" t="str">
        <f t="shared" si="616"/>
        <v>20161129102</v>
      </c>
      <c r="F1366" s="19">
        <v>3</v>
      </c>
      <c r="G1366" s="19">
        <v>26</v>
      </c>
      <c r="H1366" s="19">
        <v>28</v>
      </c>
      <c r="I1366" s="19">
        <v>38</v>
      </c>
      <c r="J1366" s="19">
        <v>40</v>
      </c>
      <c r="K1366" s="19">
        <v>21</v>
      </c>
      <c r="L1366" s="19">
        <v>42</v>
      </c>
      <c r="M1366" s="19">
        <f t="shared" si="559"/>
        <v>198</v>
      </c>
      <c r="N1366" s="27">
        <f t="shared" si="588"/>
        <v>42703</v>
      </c>
    </row>
    <row r="1367" spans="1:14" x14ac:dyDescent="0.25">
      <c r="A1367" s="15">
        <f t="shared" si="614"/>
        <v>5</v>
      </c>
      <c r="B1367" s="20">
        <f t="shared" ref="B1367:C1367" si="620">B1366+1</f>
        <v>1366</v>
      </c>
      <c r="C1367" s="17">
        <f t="shared" si="620"/>
        <v>103</v>
      </c>
      <c r="D1367" s="17" t="str">
        <f t="shared" si="592"/>
        <v>20161202</v>
      </c>
      <c r="E1367" s="20" t="str">
        <f t="shared" si="616"/>
        <v>20161202103</v>
      </c>
      <c r="F1367" s="19">
        <v>5</v>
      </c>
      <c r="G1367" s="19">
        <v>25</v>
      </c>
      <c r="H1367" s="19">
        <v>34</v>
      </c>
      <c r="I1367" s="19">
        <v>26</v>
      </c>
      <c r="J1367" s="19">
        <v>49</v>
      </c>
      <c r="K1367" s="19">
        <v>40</v>
      </c>
      <c r="L1367" s="19">
        <v>47</v>
      </c>
      <c r="M1367" s="19">
        <f t="shared" si="559"/>
        <v>226</v>
      </c>
      <c r="N1367" s="27">
        <f t="shared" si="590"/>
        <v>42706</v>
      </c>
    </row>
    <row r="1368" spans="1:14" x14ac:dyDescent="0.25">
      <c r="A1368" s="15">
        <f t="shared" si="614"/>
        <v>2</v>
      </c>
      <c r="B1368" s="20">
        <f t="shared" ref="B1368:C1368" si="621">B1367+1</f>
        <v>1367</v>
      </c>
      <c r="C1368" s="17">
        <f t="shared" si="621"/>
        <v>104</v>
      </c>
      <c r="D1368" s="17" t="str">
        <f t="shared" si="592"/>
        <v>20161206</v>
      </c>
      <c r="E1368" s="20" t="str">
        <f t="shared" si="616"/>
        <v>20161206104</v>
      </c>
      <c r="F1368" s="19">
        <v>46</v>
      </c>
      <c r="G1368" s="19">
        <v>41</v>
      </c>
      <c r="H1368" s="19">
        <v>30</v>
      </c>
      <c r="I1368" s="19">
        <v>32</v>
      </c>
      <c r="J1368" s="19">
        <v>27</v>
      </c>
      <c r="K1368" s="19">
        <v>44</v>
      </c>
      <c r="L1368" s="19">
        <v>42</v>
      </c>
      <c r="M1368" s="19">
        <f t="shared" si="559"/>
        <v>262</v>
      </c>
      <c r="N1368" s="27">
        <f t="shared" si="588"/>
        <v>42710</v>
      </c>
    </row>
    <row r="1369" spans="1:14" x14ac:dyDescent="0.25">
      <c r="A1369" s="15">
        <f t="shared" si="614"/>
        <v>5</v>
      </c>
      <c r="B1369" s="20">
        <f t="shared" ref="B1369:C1369" si="622">B1368+1</f>
        <v>1368</v>
      </c>
      <c r="C1369" s="17">
        <f t="shared" si="622"/>
        <v>105</v>
      </c>
      <c r="D1369" s="17" t="str">
        <f t="shared" si="592"/>
        <v>20161209</v>
      </c>
      <c r="E1369" s="20" t="str">
        <f t="shared" si="616"/>
        <v>20161209105</v>
      </c>
      <c r="F1369" s="19">
        <v>12</v>
      </c>
      <c r="G1369" s="19">
        <v>38</v>
      </c>
      <c r="H1369" s="19">
        <v>42</v>
      </c>
      <c r="I1369" s="19">
        <v>49</v>
      </c>
      <c r="J1369" s="19">
        <v>44</v>
      </c>
      <c r="K1369" s="19">
        <v>28</v>
      </c>
      <c r="L1369" s="19">
        <v>2</v>
      </c>
      <c r="M1369" s="19">
        <f t="shared" si="559"/>
        <v>215</v>
      </c>
      <c r="N1369" s="27">
        <f t="shared" si="590"/>
        <v>42713</v>
      </c>
    </row>
    <row r="1370" spans="1:14" x14ac:dyDescent="0.25">
      <c r="A1370" s="15">
        <f t="shared" si="614"/>
        <v>2</v>
      </c>
      <c r="B1370" s="20">
        <f t="shared" ref="B1370:C1370" si="623">B1369+1</f>
        <v>1369</v>
      </c>
      <c r="C1370" s="17">
        <f t="shared" si="623"/>
        <v>106</v>
      </c>
      <c r="D1370" s="17" t="str">
        <f t="shared" si="592"/>
        <v>20161213</v>
      </c>
      <c r="E1370" s="20" t="str">
        <f t="shared" si="616"/>
        <v>20161213106</v>
      </c>
      <c r="F1370" s="19">
        <v>36</v>
      </c>
      <c r="G1370" s="19">
        <v>29</v>
      </c>
      <c r="H1370" s="19">
        <v>49</v>
      </c>
      <c r="I1370" s="19">
        <v>39</v>
      </c>
      <c r="J1370" s="19">
        <v>33</v>
      </c>
      <c r="K1370" s="19">
        <v>19</v>
      </c>
      <c r="L1370" s="19">
        <v>6</v>
      </c>
      <c r="M1370" s="19">
        <f t="shared" si="559"/>
        <v>211</v>
      </c>
      <c r="N1370" s="27">
        <f t="shared" si="588"/>
        <v>42717</v>
      </c>
    </row>
    <row r="1371" spans="1:14" x14ac:dyDescent="0.25">
      <c r="A1371" s="15">
        <f t="shared" si="614"/>
        <v>5</v>
      </c>
      <c r="B1371" s="20">
        <f t="shared" ref="B1371:C1371" si="624">B1370+1</f>
        <v>1370</v>
      </c>
      <c r="C1371" s="17">
        <f t="shared" si="624"/>
        <v>107</v>
      </c>
      <c r="D1371" s="17" t="str">
        <f t="shared" si="592"/>
        <v>20161216</v>
      </c>
      <c r="E1371" s="20" t="str">
        <f t="shared" si="616"/>
        <v>20161216107</v>
      </c>
      <c r="F1371" s="19">
        <v>25</v>
      </c>
      <c r="G1371" s="19">
        <v>36</v>
      </c>
      <c r="H1371" s="19">
        <v>42</v>
      </c>
      <c r="I1371" s="19">
        <v>19</v>
      </c>
      <c r="J1371" s="19">
        <v>11</v>
      </c>
      <c r="K1371" s="19">
        <v>34</v>
      </c>
      <c r="L1371" s="19">
        <v>8</v>
      </c>
      <c r="M1371" s="19">
        <f t="shared" si="559"/>
        <v>175</v>
      </c>
      <c r="N1371" s="27">
        <f t="shared" si="590"/>
        <v>42720</v>
      </c>
    </row>
    <row r="1372" spans="1:14" x14ac:dyDescent="0.25">
      <c r="A1372" s="15">
        <f t="shared" si="614"/>
        <v>2</v>
      </c>
      <c r="B1372" s="20">
        <f t="shared" ref="B1372:C1372" si="625">B1371+1</f>
        <v>1371</v>
      </c>
      <c r="C1372" s="17">
        <f t="shared" si="625"/>
        <v>108</v>
      </c>
      <c r="D1372" s="17" t="str">
        <f t="shared" si="592"/>
        <v>20161220</v>
      </c>
      <c r="E1372" s="20" t="str">
        <f t="shared" si="616"/>
        <v>20161220108</v>
      </c>
      <c r="F1372" s="19">
        <v>35</v>
      </c>
      <c r="G1372" s="19">
        <v>36</v>
      </c>
      <c r="H1372" s="19">
        <v>46</v>
      </c>
      <c r="I1372" s="19">
        <v>1</v>
      </c>
      <c r="J1372" s="19">
        <v>29</v>
      </c>
      <c r="K1372" s="19">
        <v>44</v>
      </c>
      <c r="L1372" s="19">
        <v>6</v>
      </c>
      <c r="M1372" s="19">
        <f t="shared" si="559"/>
        <v>197</v>
      </c>
      <c r="N1372" s="27">
        <f t="shared" si="588"/>
        <v>42724</v>
      </c>
    </row>
    <row r="1373" spans="1:14" x14ac:dyDescent="0.25">
      <c r="A1373" s="15">
        <f t="shared" si="614"/>
        <v>5</v>
      </c>
      <c r="B1373" s="20">
        <f t="shared" ref="B1373:C1373" si="626">B1372+1</f>
        <v>1372</v>
      </c>
      <c r="C1373" s="17">
        <f t="shared" si="626"/>
        <v>109</v>
      </c>
      <c r="D1373" s="17" t="str">
        <f t="shared" si="592"/>
        <v>20161223</v>
      </c>
      <c r="E1373" s="20" t="str">
        <f t="shared" si="616"/>
        <v>20161223109</v>
      </c>
      <c r="F1373" s="19">
        <v>38</v>
      </c>
      <c r="G1373" s="19">
        <v>42</v>
      </c>
      <c r="H1373" s="19">
        <v>23</v>
      </c>
      <c r="I1373" s="19">
        <v>28</v>
      </c>
      <c r="J1373" s="19">
        <v>41</v>
      </c>
      <c r="K1373" s="19">
        <v>8</v>
      </c>
      <c r="L1373" s="19">
        <v>30</v>
      </c>
      <c r="M1373" s="19">
        <f t="shared" si="559"/>
        <v>210</v>
      </c>
      <c r="N1373" s="27">
        <f t="shared" si="590"/>
        <v>42727</v>
      </c>
    </row>
    <row r="1374" spans="1:14" x14ac:dyDescent="0.25">
      <c r="A1374" s="15">
        <f t="shared" si="614"/>
        <v>2</v>
      </c>
      <c r="B1374" s="20">
        <f t="shared" ref="B1374:C1374" si="627">B1373+1</f>
        <v>1373</v>
      </c>
      <c r="C1374" s="17">
        <f t="shared" si="627"/>
        <v>110</v>
      </c>
      <c r="D1374" s="17" t="str">
        <f t="shared" si="592"/>
        <v>20161227</v>
      </c>
      <c r="E1374" s="20" t="str">
        <f t="shared" si="616"/>
        <v>20161227110</v>
      </c>
      <c r="F1374" s="19">
        <v>40</v>
      </c>
      <c r="G1374" s="19">
        <v>26</v>
      </c>
      <c r="H1374" s="19">
        <v>29</v>
      </c>
      <c r="I1374" s="19">
        <v>10</v>
      </c>
      <c r="J1374" s="19">
        <v>31</v>
      </c>
      <c r="K1374" s="19">
        <v>25</v>
      </c>
      <c r="L1374" s="19">
        <v>2</v>
      </c>
      <c r="M1374" s="19">
        <f t="shared" si="559"/>
        <v>163</v>
      </c>
      <c r="N1374" s="27">
        <f t="shared" si="588"/>
        <v>42731</v>
      </c>
    </row>
    <row r="1375" spans="1:14" x14ac:dyDescent="0.25">
      <c r="A1375" s="15">
        <f t="shared" si="614"/>
        <v>5</v>
      </c>
      <c r="B1375" s="20">
        <f t="shared" ref="B1375:C1375" si="628">B1374+1</f>
        <v>1374</v>
      </c>
      <c r="C1375" s="17">
        <f t="shared" si="628"/>
        <v>111</v>
      </c>
      <c r="D1375" s="17" t="str">
        <f t="shared" si="592"/>
        <v>20161230</v>
      </c>
      <c r="E1375" s="20" t="str">
        <f t="shared" si="616"/>
        <v>20161230111</v>
      </c>
      <c r="F1375" s="19">
        <v>37</v>
      </c>
      <c r="G1375" s="19">
        <v>6</v>
      </c>
      <c r="H1375" s="19">
        <v>7</v>
      </c>
      <c r="I1375" s="19">
        <v>47</v>
      </c>
      <c r="J1375" s="19">
        <v>35</v>
      </c>
      <c r="K1375" s="19">
        <v>38</v>
      </c>
      <c r="L1375" s="19">
        <v>12</v>
      </c>
      <c r="M1375" s="19">
        <f t="shared" si="559"/>
        <v>182</v>
      </c>
      <c r="N1375" s="27">
        <f t="shared" si="590"/>
        <v>42734</v>
      </c>
    </row>
    <row r="1376" spans="1:14" x14ac:dyDescent="0.25">
      <c r="A1376" s="15">
        <f t="shared" si="614"/>
        <v>2</v>
      </c>
      <c r="B1376" s="20">
        <f t="shared" ref="B1376" si="629">B1375+1</f>
        <v>1375</v>
      </c>
      <c r="C1376" s="17">
        <v>1</v>
      </c>
      <c r="D1376" s="17" t="str">
        <f t="shared" si="592"/>
        <v>20170103</v>
      </c>
      <c r="E1376" s="20" t="str">
        <f t="shared" si="616"/>
        <v>20170103001</v>
      </c>
      <c r="F1376" s="19">
        <v>18</v>
      </c>
      <c r="G1376" s="19">
        <v>41</v>
      </c>
      <c r="H1376" s="19">
        <v>47</v>
      </c>
      <c r="I1376" s="19">
        <v>49</v>
      </c>
      <c r="J1376" s="19">
        <v>22</v>
      </c>
      <c r="K1376" s="19">
        <v>42</v>
      </c>
      <c r="L1376" s="19">
        <v>45</v>
      </c>
      <c r="M1376" s="19">
        <f t="shared" si="559"/>
        <v>264</v>
      </c>
      <c r="N1376" s="27">
        <f t="shared" si="588"/>
        <v>42738</v>
      </c>
    </row>
    <row r="1377" spans="1:14" x14ac:dyDescent="0.25">
      <c r="A1377" s="15">
        <f t="shared" si="614"/>
        <v>5</v>
      </c>
      <c r="B1377" s="20">
        <f t="shared" ref="B1377:C1377" si="630">B1376+1</f>
        <v>1376</v>
      </c>
      <c r="C1377" s="17">
        <f t="shared" si="630"/>
        <v>2</v>
      </c>
      <c r="D1377" s="17" t="str">
        <f t="shared" si="592"/>
        <v>20170106</v>
      </c>
      <c r="E1377" s="20" t="str">
        <f t="shared" si="616"/>
        <v>20170106002</v>
      </c>
      <c r="F1377" s="19">
        <v>35</v>
      </c>
      <c r="G1377" s="19">
        <v>32</v>
      </c>
      <c r="H1377" s="19">
        <v>12</v>
      </c>
      <c r="I1377" s="19">
        <v>40</v>
      </c>
      <c r="J1377" s="19">
        <v>14</v>
      </c>
      <c r="K1377" s="19">
        <v>43</v>
      </c>
      <c r="L1377" s="19">
        <v>17</v>
      </c>
      <c r="M1377" s="19">
        <f t="shared" si="559"/>
        <v>193</v>
      </c>
      <c r="N1377" s="27">
        <f t="shared" si="590"/>
        <v>42741</v>
      </c>
    </row>
    <row r="1378" spans="1:14" x14ac:dyDescent="0.25">
      <c r="A1378" s="15">
        <f t="shared" si="614"/>
        <v>2</v>
      </c>
      <c r="B1378" s="20">
        <f t="shared" ref="B1378:C1378" si="631">B1377+1</f>
        <v>1377</v>
      </c>
      <c r="C1378" s="17">
        <f t="shared" si="631"/>
        <v>3</v>
      </c>
      <c r="D1378" s="17" t="str">
        <f t="shared" si="592"/>
        <v>20170110</v>
      </c>
      <c r="E1378" s="20" t="str">
        <f t="shared" si="616"/>
        <v>20170110003</v>
      </c>
      <c r="F1378" s="19">
        <v>37</v>
      </c>
      <c r="G1378" s="19">
        <v>14</v>
      </c>
      <c r="H1378" s="19">
        <v>4</v>
      </c>
      <c r="I1378" s="19">
        <v>46</v>
      </c>
      <c r="J1378" s="19">
        <v>13</v>
      </c>
      <c r="K1378" s="19">
        <v>39</v>
      </c>
      <c r="L1378" s="19">
        <v>31</v>
      </c>
      <c r="M1378" s="19">
        <f t="shared" si="559"/>
        <v>184</v>
      </c>
      <c r="N1378" s="27">
        <f t="shared" si="588"/>
        <v>42745</v>
      </c>
    </row>
    <row r="1379" spans="1:14" x14ac:dyDescent="0.25">
      <c r="A1379" s="15">
        <f t="shared" si="614"/>
        <v>5</v>
      </c>
      <c r="B1379" s="20">
        <f t="shared" ref="B1379:C1379" si="632">B1378+1</f>
        <v>1378</v>
      </c>
      <c r="C1379" s="17">
        <f t="shared" si="632"/>
        <v>4</v>
      </c>
      <c r="D1379" s="17" t="str">
        <f t="shared" si="592"/>
        <v>20170113</v>
      </c>
      <c r="E1379" s="20" t="str">
        <f t="shared" si="616"/>
        <v>20170113004</v>
      </c>
      <c r="F1379" s="19">
        <v>19</v>
      </c>
      <c r="G1379" s="19">
        <v>25</v>
      </c>
      <c r="H1379" s="19">
        <v>27</v>
      </c>
      <c r="I1379" s="19">
        <v>21</v>
      </c>
      <c r="J1379" s="19">
        <v>38</v>
      </c>
      <c r="K1379" s="19">
        <v>14</v>
      </c>
      <c r="L1379" s="19">
        <v>22</v>
      </c>
      <c r="M1379" s="19">
        <f t="shared" si="559"/>
        <v>166</v>
      </c>
      <c r="N1379" s="27">
        <f t="shared" si="590"/>
        <v>42748</v>
      </c>
    </row>
    <row r="1380" spans="1:14" x14ac:dyDescent="0.25">
      <c r="A1380" s="15">
        <f t="shared" si="614"/>
        <v>2</v>
      </c>
      <c r="B1380" s="20">
        <f t="shared" ref="B1380:C1380" si="633">B1379+1</f>
        <v>1379</v>
      </c>
      <c r="C1380" s="17">
        <f t="shared" si="633"/>
        <v>5</v>
      </c>
      <c r="D1380" s="17" t="str">
        <f t="shared" si="592"/>
        <v>20170117</v>
      </c>
      <c r="E1380" s="20" t="str">
        <f t="shared" si="616"/>
        <v>20170117005</v>
      </c>
      <c r="F1380" s="19">
        <v>40</v>
      </c>
      <c r="G1380" s="19">
        <v>28</v>
      </c>
      <c r="H1380" s="19">
        <v>12</v>
      </c>
      <c r="I1380" s="19">
        <v>4</v>
      </c>
      <c r="J1380" s="19">
        <v>34</v>
      </c>
      <c r="K1380" s="19">
        <v>17</v>
      </c>
      <c r="L1380" s="19">
        <v>7</v>
      </c>
      <c r="M1380" s="19">
        <f t="shared" si="559"/>
        <v>142</v>
      </c>
      <c r="N1380" s="27">
        <f t="shared" si="588"/>
        <v>42752</v>
      </c>
    </row>
    <row r="1381" spans="1:14" x14ac:dyDescent="0.25">
      <c r="A1381" s="15">
        <f t="shared" si="614"/>
        <v>5</v>
      </c>
      <c r="B1381" s="20">
        <f t="shared" ref="B1381:C1381" si="634">B1380+1</f>
        <v>1380</v>
      </c>
      <c r="C1381" s="17">
        <f t="shared" si="634"/>
        <v>6</v>
      </c>
      <c r="D1381" s="17" t="str">
        <f t="shared" si="592"/>
        <v>20170120</v>
      </c>
      <c r="E1381" s="20" t="str">
        <f t="shared" si="616"/>
        <v>20170120006</v>
      </c>
      <c r="F1381" s="19">
        <v>1</v>
      </c>
      <c r="G1381" s="19">
        <v>16</v>
      </c>
      <c r="H1381" s="19">
        <v>5</v>
      </c>
      <c r="I1381" s="19">
        <v>31</v>
      </c>
      <c r="J1381" s="19">
        <v>41</v>
      </c>
      <c r="K1381" s="19">
        <v>18</v>
      </c>
      <c r="L1381" s="19">
        <v>13</v>
      </c>
      <c r="M1381" s="19">
        <f t="shared" si="559"/>
        <v>125</v>
      </c>
      <c r="N1381" s="27">
        <f t="shared" si="590"/>
        <v>42755</v>
      </c>
    </row>
    <row r="1382" spans="1:14" x14ac:dyDescent="0.25">
      <c r="A1382" s="15">
        <f t="shared" si="614"/>
        <v>2</v>
      </c>
      <c r="B1382" s="20">
        <f t="shared" ref="B1382:C1382" si="635">B1381+1</f>
        <v>1381</v>
      </c>
      <c r="C1382" s="17">
        <f t="shared" si="635"/>
        <v>7</v>
      </c>
      <c r="D1382" s="17" t="str">
        <f t="shared" si="592"/>
        <v>20170124</v>
      </c>
      <c r="E1382" s="20" t="str">
        <f t="shared" si="616"/>
        <v>20170124007</v>
      </c>
      <c r="F1382" s="19">
        <v>33</v>
      </c>
      <c r="G1382" s="19">
        <v>9</v>
      </c>
      <c r="H1382" s="19">
        <v>48</v>
      </c>
      <c r="I1382" s="19">
        <v>1</v>
      </c>
      <c r="J1382" s="19">
        <v>17</v>
      </c>
      <c r="K1382" s="19">
        <v>31</v>
      </c>
      <c r="L1382" s="19">
        <v>49</v>
      </c>
      <c r="M1382" s="19">
        <f t="shared" si="559"/>
        <v>188</v>
      </c>
      <c r="N1382" s="27">
        <f t="shared" si="588"/>
        <v>42759</v>
      </c>
    </row>
    <row r="1383" spans="1:14" x14ac:dyDescent="0.25">
      <c r="A1383" s="15">
        <f t="shared" si="614"/>
        <v>5</v>
      </c>
      <c r="B1383" s="20">
        <f t="shared" ref="B1383:C1383" si="636">B1382+1</f>
        <v>1382</v>
      </c>
      <c r="C1383" s="17">
        <f t="shared" si="636"/>
        <v>8</v>
      </c>
      <c r="D1383" s="17" t="str">
        <f t="shared" si="592"/>
        <v>20170127</v>
      </c>
      <c r="E1383" s="20" t="str">
        <f t="shared" si="616"/>
        <v>20170127008</v>
      </c>
      <c r="F1383" s="19">
        <v>1</v>
      </c>
      <c r="G1383" s="19">
        <v>5</v>
      </c>
      <c r="H1383" s="19">
        <v>49</v>
      </c>
      <c r="I1383" s="19">
        <v>7</v>
      </c>
      <c r="J1383" s="19">
        <v>35</v>
      </c>
      <c r="K1383" s="19">
        <v>31</v>
      </c>
      <c r="L1383" s="19">
        <v>42</v>
      </c>
      <c r="M1383" s="19">
        <f t="shared" si="559"/>
        <v>170</v>
      </c>
      <c r="N1383" s="27">
        <f t="shared" si="590"/>
        <v>42762</v>
      </c>
    </row>
    <row r="1384" spans="1:14" x14ac:dyDescent="0.25">
      <c r="A1384" s="15">
        <f t="shared" si="614"/>
        <v>6</v>
      </c>
      <c r="B1384" s="20">
        <f t="shared" ref="B1384:C1384" si="637">B1383+1</f>
        <v>1383</v>
      </c>
      <c r="C1384" s="17">
        <f t="shared" si="637"/>
        <v>9</v>
      </c>
      <c r="D1384" s="17" t="str">
        <f t="shared" si="592"/>
        <v>20170128</v>
      </c>
      <c r="E1384" s="20" t="str">
        <f t="shared" si="616"/>
        <v>20170128009</v>
      </c>
      <c r="F1384" s="19">
        <v>32</v>
      </c>
      <c r="G1384" s="19">
        <v>25</v>
      </c>
      <c r="H1384" s="19">
        <v>19</v>
      </c>
      <c r="I1384" s="19">
        <v>20</v>
      </c>
      <c r="J1384" s="19">
        <v>30</v>
      </c>
      <c r="K1384" s="19">
        <v>1</v>
      </c>
      <c r="L1384" s="19">
        <v>2</v>
      </c>
      <c r="M1384" s="19">
        <f t="shared" si="559"/>
        <v>129</v>
      </c>
      <c r="N1384" s="27">
        <f>N1383+1</f>
        <v>42763</v>
      </c>
    </row>
    <row r="1385" spans="1:14" x14ac:dyDescent="0.25">
      <c r="A1385" s="15">
        <f t="shared" si="614"/>
        <v>7</v>
      </c>
      <c r="B1385" s="20">
        <f t="shared" ref="B1385:C1385" si="638">B1384+1</f>
        <v>1384</v>
      </c>
      <c r="C1385" s="17">
        <f t="shared" si="638"/>
        <v>10</v>
      </c>
      <c r="D1385" s="17" t="str">
        <f t="shared" si="592"/>
        <v>20170129</v>
      </c>
      <c r="E1385" s="20" t="str">
        <f t="shared" si="616"/>
        <v>20170129010</v>
      </c>
      <c r="F1385" s="19">
        <v>9</v>
      </c>
      <c r="G1385" s="19">
        <v>22</v>
      </c>
      <c r="H1385" s="19">
        <v>3</v>
      </c>
      <c r="I1385" s="19">
        <v>8</v>
      </c>
      <c r="J1385" s="19">
        <v>14</v>
      </c>
      <c r="K1385" s="19">
        <v>12</v>
      </c>
      <c r="L1385" s="19">
        <v>46</v>
      </c>
      <c r="M1385" s="19">
        <f t="shared" si="559"/>
        <v>114</v>
      </c>
      <c r="N1385" s="27">
        <f>N1384+1</f>
        <v>42764</v>
      </c>
    </row>
    <row r="1386" spans="1:14" x14ac:dyDescent="0.25">
      <c r="A1386" s="15">
        <f t="shared" ref="A1386:A1389" si="639">WEEKDAY(N1386,2)</f>
        <v>1</v>
      </c>
      <c r="B1386" s="20">
        <f t="shared" ref="B1386:C1386" si="640">B1385+1</f>
        <v>1385</v>
      </c>
      <c r="C1386" s="17">
        <f t="shared" si="640"/>
        <v>11</v>
      </c>
      <c r="D1386" s="17" t="str">
        <f t="shared" si="592"/>
        <v>20170130</v>
      </c>
      <c r="E1386" s="20" t="str">
        <f t="shared" si="616"/>
        <v>20170130011</v>
      </c>
      <c r="F1386" s="19">
        <v>26</v>
      </c>
      <c r="G1386" s="19">
        <v>10</v>
      </c>
      <c r="H1386" s="19">
        <v>29</v>
      </c>
      <c r="I1386" s="19">
        <v>19</v>
      </c>
      <c r="J1386" s="19">
        <v>45</v>
      </c>
      <c r="K1386" s="19">
        <v>43</v>
      </c>
      <c r="L1386" s="19">
        <v>20</v>
      </c>
      <c r="M1386" s="19">
        <f t="shared" si="559"/>
        <v>192</v>
      </c>
      <c r="N1386" s="27">
        <f>N1385+1</f>
        <v>42765</v>
      </c>
    </row>
    <row r="1387" spans="1:14" x14ac:dyDescent="0.25">
      <c r="A1387" s="15">
        <f t="shared" si="639"/>
        <v>2</v>
      </c>
      <c r="B1387" s="20">
        <f t="shared" ref="B1387:C1387" si="641">B1386+1</f>
        <v>1386</v>
      </c>
      <c r="C1387" s="17">
        <f t="shared" si="641"/>
        <v>12</v>
      </c>
      <c r="D1387" s="17" t="str">
        <f t="shared" si="592"/>
        <v>20170131</v>
      </c>
      <c r="E1387" s="20" t="str">
        <f t="shared" si="616"/>
        <v>20170131012</v>
      </c>
      <c r="F1387" s="19">
        <v>11</v>
      </c>
      <c r="G1387" s="19">
        <v>4</v>
      </c>
      <c r="H1387" s="19">
        <v>33</v>
      </c>
      <c r="I1387" s="19">
        <v>16</v>
      </c>
      <c r="J1387" s="19">
        <v>46</v>
      </c>
      <c r="K1387" s="19">
        <v>28</v>
      </c>
      <c r="L1387" s="19">
        <v>17</v>
      </c>
      <c r="M1387" s="19">
        <f t="shared" si="559"/>
        <v>155</v>
      </c>
      <c r="N1387" s="27">
        <f>N1386+1</f>
        <v>42766</v>
      </c>
    </row>
    <row r="1388" spans="1:14" x14ac:dyDescent="0.25">
      <c r="A1388" s="15">
        <f t="shared" si="639"/>
        <v>3</v>
      </c>
      <c r="B1388" s="20">
        <f t="shared" ref="B1388:C1388" si="642">B1387+1</f>
        <v>1387</v>
      </c>
      <c r="C1388" s="17">
        <f t="shared" si="642"/>
        <v>13</v>
      </c>
      <c r="D1388" s="17" t="str">
        <f t="shared" si="592"/>
        <v>20170201</v>
      </c>
      <c r="E1388" s="20" t="str">
        <f t="shared" si="616"/>
        <v>20170201013</v>
      </c>
      <c r="F1388" s="19">
        <v>4</v>
      </c>
      <c r="G1388" s="19">
        <v>43</v>
      </c>
      <c r="H1388" s="19">
        <v>9</v>
      </c>
      <c r="I1388" s="19">
        <v>47</v>
      </c>
      <c r="J1388" s="19">
        <v>32</v>
      </c>
      <c r="K1388" s="19">
        <v>11</v>
      </c>
      <c r="L1388" s="19">
        <v>44</v>
      </c>
      <c r="M1388" s="19">
        <f t="shared" ref="M1388:M1424" si="643">SUM(F1388:L1388)</f>
        <v>190</v>
      </c>
      <c r="N1388" s="27">
        <f>N1387+1</f>
        <v>42767</v>
      </c>
    </row>
    <row r="1389" spans="1:14" x14ac:dyDescent="0.25">
      <c r="A1389" s="15">
        <f t="shared" si="639"/>
        <v>5</v>
      </c>
      <c r="B1389" s="20">
        <f t="shared" ref="B1389:C1389" si="644">B1388+1</f>
        <v>1388</v>
      </c>
      <c r="C1389" s="17">
        <f t="shared" si="644"/>
        <v>14</v>
      </c>
      <c r="D1389" s="17" t="str">
        <f t="shared" si="592"/>
        <v>20170203</v>
      </c>
      <c r="E1389" s="20" t="str">
        <f t="shared" si="616"/>
        <v>20170203014</v>
      </c>
      <c r="F1389" s="19">
        <v>11</v>
      </c>
      <c r="G1389" s="19">
        <v>2</v>
      </c>
      <c r="H1389" s="19">
        <v>25</v>
      </c>
      <c r="I1389" s="19">
        <v>33</v>
      </c>
      <c r="J1389" s="19">
        <v>30</v>
      </c>
      <c r="K1389" s="19">
        <v>29</v>
      </c>
      <c r="L1389" s="19">
        <v>20</v>
      </c>
      <c r="M1389" s="19">
        <f t="shared" si="643"/>
        <v>150</v>
      </c>
      <c r="N1389" s="27">
        <f>N1388+2</f>
        <v>42769</v>
      </c>
    </row>
    <row r="1390" spans="1:14" x14ac:dyDescent="0.25">
      <c r="A1390" s="15">
        <f t="shared" ref="A1390:A1391" si="645">WEEKDAY(N1390,2)</f>
        <v>2</v>
      </c>
      <c r="B1390" s="20">
        <f t="shared" ref="B1390:C1390" si="646">B1389+1</f>
        <v>1389</v>
      </c>
      <c r="C1390" s="17">
        <f t="shared" si="646"/>
        <v>15</v>
      </c>
      <c r="D1390" s="17" t="str">
        <f t="shared" si="592"/>
        <v>20170207</v>
      </c>
      <c r="E1390" s="20" t="str">
        <f t="shared" si="616"/>
        <v>20170207015</v>
      </c>
      <c r="F1390" s="19">
        <v>19</v>
      </c>
      <c r="G1390" s="19">
        <v>32</v>
      </c>
      <c r="H1390" s="19">
        <v>6</v>
      </c>
      <c r="I1390" s="19">
        <v>18</v>
      </c>
      <c r="J1390" s="19">
        <v>23</v>
      </c>
      <c r="K1390" s="19">
        <v>49</v>
      </c>
      <c r="L1390" s="19">
        <v>21</v>
      </c>
      <c r="M1390" s="19">
        <f t="shared" si="643"/>
        <v>168</v>
      </c>
      <c r="N1390" s="27">
        <f t="shared" si="588"/>
        <v>42773</v>
      </c>
    </row>
    <row r="1391" spans="1:14" x14ac:dyDescent="0.25">
      <c r="A1391" s="15">
        <f t="shared" si="645"/>
        <v>5</v>
      </c>
      <c r="B1391" s="20">
        <f t="shared" ref="B1391:C1391" si="647">B1390+1</f>
        <v>1390</v>
      </c>
      <c r="C1391" s="17">
        <f t="shared" si="647"/>
        <v>16</v>
      </c>
      <c r="D1391" s="17" t="str">
        <f t="shared" si="592"/>
        <v>20170210</v>
      </c>
      <c r="E1391" s="20" t="str">
        <f t="shared" si="616"/>
        <v>20170210016</v>
      </c>
      <c r="F1391" s="19">
        <v>24</v>
      </c>
      <c r="G1391" s="19">
        <v>7</v>
      </c>
      <c r="H1391" s="19">
        <v>11</v>
      </c>
      <c r="I1391" s="19">
        <v>12</v>
      </c>
      <c r="J1391" s="19">
        <v>15</v>
      </c>
      <c r="K1391" s="19">
        <v>26</v>
      </c>
      <c r="L1391" s="19">
        <v>6</v>
      </c>
      <c r="M1391" s="19">
        <f t="shared" si="643"/>
        <v>101</v>
      </c>
      <c r="N1391" s="27">
        <f t="shared" si="590"/>
        <v>42776</v>
      </c>
    </row>
    <row r="1392" spans="1:14" x14ac:dyDescent="0.25">
      <c r="A1392" s="15">
        <f t="shared" ref="A1392:A1394" si="648">WEEKDAY(N1392,2)</f>
        <v>2</v>
      </c>
      <c r="B1392" s="20">
        <f t="shared" ref="B1392:C1392" si="649">B1391+1</f>
        <v>1391</v>
      </c>
      <c r="C1392" s="17">
        <f t="shared" si="649"/>
        <v>17</v>
      </c>
      <c r="D1392" s="17" t="str">
        <f t="shared" si="592"/>
        <v>20170214</v>
      </c>
      <c r="E1392" s="20" t="str">
        <f t="shared" si="616"/>
        <v>20170214017</v>
      </c>
      <c r="F1392" s="19">
        <v>10</v>
      </c>
      <c r="G1392" s="19">
        <v>37</v>
      </c>
      <c r="H1392" s="19">
        <v>11</v>
      </c>
      <c r="I1392" s="19">
        <v>21</v>
      </c>
      <c r="J1392" s="19">
        <v>28</v>
      </c>
      <c r="K1392" s="19">
        <v>23</v>
      </c>
      <c r="L1392" s="19">
        <v>24</v>
      </c>
      <c r="M1392" s="19">
        <f t="shared" si="643"/>
        <v>154</v>
      </c>
      <c r="N1392" s="27">
        <f t="shared" si="588"/>
        <v>42780</v>
      </c>
    </row>
    <row r="1393" spans="1:14" x14ac:dyDescent="0.25">
      <c r="A1393" s="15">
        <f t="shared" si="648"/>
        <v>5</v>
      </c>
      <c r="B1393" s="20">
        <f t="shared" ref="B1393:C1393" si="650">B1392+1</f>
        <v>1392</v>
      </c>
      <c r="C1393" s="17">
        <f t="shared" si="650"/>
        <v>18</v>
      </c>
      <c r="D1393" s="17" t="str">
        <f t="shared" si="592"/>
        <v>20170217</v>
      </c>
      <c r="E1393" s="20" t="str">
        <f t="shared" si="616"/>
        <v>20170217018</v>
      </c>
      <c r="F1393" s="19">
        <v>46</v>
      </c>
      <c r="G1393" s="19">
        <v>49</v>
      </c>
      <c r="H1393" s="19">
        <v>23</v>
      </c>
      <c r="I1393" s="19">
        <v>21</v>
      </c>
      <c r="J1393" s="19">
        <v>16</v>
      </c>
      <c r="K1393" s="19">
        <v>6</v>
      </c>
      <c r="L1393" s="19">
        <v>39</v>
      </c>
      <c r="M1393" s="19">
        <f t="shared" si="643"/>
        <v>200</v>
      </c>
      <c r="N1393" s="27">
        <f t="shared" si="590"/>
        <v>42783</v>
      </c>
    </row>
    <row r="1394" spans="1:14" x14ac:dyDescent="0.25">
      <c r="A1394" s="15">
        <f t="shared" si="648"/>
        <v>2</v>
      </c>
      <c r="B1394" s="20">
        <f t="shared" ref="B1394:C1394" si="651">B1393+1</f>
        <v>1393</v>
      </c>
      <c r="C1394" s="17">
        <f t="shared" si="651"/>
        <v>19</v>
      </c>
      <c r="D1394" s="17" t="str">
        <f t="shared" si="592"/>
        <v>20170221</v>
      </c>
      <c r="E1394" s="20" t="str">
        <f t="shared" si="616"/>
        <v>20170221019</v>
      </c>
      <c r="F1394" s="19">
        <v>48</v>
      </c>
      <c r="G1394" s="19">
        <v>39</v>
      </c>
      <c r="H1394" s="19">
        <v>32</v>
      </c>
      <c r="I1394" s="19">
        <v>15</v>
      </c>
      <c r="J1394" s="19">
        <v>8</v>
      </c>
      <c r="K1394" s="19">
        <v>10</v>
      </c>
      <c r="L1394" s="19">
        <v>43</v>
      </c>
      <c r="M1394" s="19">
        <f t="shared" si="643"/>
        <v>195</v>
      </c>
      <c r="N1394" s="27">
        <f t="shared" si="588"/>
        <v>42787</v>
      </c>
    </row>
    <row r="1395" spans="1:14" x14ac:dyDescent="0.25">
      <c r="A1395" s="15">
        <f t="shared" ref="A1395:A1397" si="652">WEEKDAY(N1395,2)</f>
        <v>5</v>
      </c>
      <c r="B1395" s="20">
        <f t="shared" ref="B1395:C1395" si="653">B1394+1</f>
        <v>1394</v>
      </c>
      <c r="C1395" s="17">
        <f t="shared" si="653"/>
        <v>20</v>
      </c>
      <c r="D1395" s="17" t="str">
        <f t="shared" si="592"/>
        <v>20170224</v>
      </c>
      <c r="E1395" s="20" t="str">
        <f t="shared" ref="E1395:E1397" si="654">CONCATENATE(D1395,TEXT(C1395,"000"))</f>
        <v>20170224020</v>
      </c>
      <c r="F1395" s="19">
        <v>47</v>
      </c>
      <c r="G1395" s="19">
        <v>35</v>
      </c>
      <c r="H1395" s="19">
        <v>38</v>
      </c>
      <c r="I1395" s="19">
        <v>12</v>
      </c>
      <c r="J1395" s="19">
        <v>16</v>
      </c>
      <c r="K1395" s="19">
        <v>41</v>
      </c>
      <c r="L1395" s="19">
        <v>1</v>
      </c>
      <c r="M1395" s="19">
        <f t="shared" si="643"/>
        <v>190</v>
      </c>
      <c r="N1395" s="27">
        <f t="shared" si="590"/>
        <v>42790</v>
      </c>
    </row>
    <row r="1396" spans="1:14" x14ac:dyDescent="0.25">
      <c r="A1396" s="15">
        <f t="shared" si="652"/>
        <v>2</v>
      </c>
      <c r="B1396" s="20">
        <f t="shared" ref="B1396:C1396" si="655">B1395+1</f>
        <v>1395</v>
      </c>
      <c r="C1396" s="17">
        <f t="shared" si="655"/>
        <v>21</v>
      </c>
      <c r="D1396" s="17" t="str">
        <f t="shared" si="592"/>
        <v>20170228</v>
      </c>
      <c r="E1396" s="20" t="str">
        <f t="shared" si="654"/>
        <v>20170228021</v>
      </c>
      <c r="F1396" s="19">
        <v>19</v>
      </c>
      <c r="G1396" s="19">
        <v>43</v>
      </c>
      <c r="H1396" s="19">
        <v>30</v>
      </c>
      <c r="I1396" s="19">
        <v>14</v>
      </c>
      <c r="J1396" s="19">
        <v>15</v>
      </c>
      <c r="K1396" s="19">
        <v>6</v>
      </c>
      <c r="L1396" s="19">
        <v>31</v>
      </c>
      <c r="M1396" s="19">
        <f t="shared" si="643"/>
        <v>158</v>
      </c>
      <c r="N1396" s="27">
        <f t="shared" si="588"/>
        <v>42794</v>
      </c>
    </row>
    <row r="1397" spans="1:14" x14ac:dyDescent="0.25">
      <c r="A1397" s="15">
        <f t="shared" si="652"/>
        <v>5</v>
      </c>
      <c r="B1397" s="20">
        <f t="shared" ref="B1397:C1397" si="656">B1396+1</f>
        <v>1396</v>
      </c>
      <c r="C1397" s="17">
        <f t="shared" si="656"/>
        <v>22</v>
      </c>
      <c r="D1397" s="17" t="str">
        <f t="shared" si="592"/>
        <v>20170303</v>
      </c>
      <c r="E1397" s="20" t="str">
        <f t="shared" si="654"/>
        <v>20170303022</v>
      </c>
      <c r="F1397" s="19">
        <v>43</v>
      </c>
      <c r="G1397" s="19">
        <v>2</v>
      </c>
      <c r="H1397" s="19">
        <v>20</v>
      </c>
      <c r="I1397" s="19">
        <v>37</v>
      </c>
      <c r="J1397" s="19">
        <v>48</v>
      </c>
      <c r="K1397" s="19">
        <v>16</v>
      </c>
      <c r="L1397" s="19">
        <v>10</v>
      </c>
      <c r="M1397" s="19">
        <f t="shared" si="643"/>
        <v>176</v>
      </c>
      <c r="N1397" s="27">
        <f t="shared" si="590"/>
        <v>42797</v>
      </c>
    </row>
    <row r="1398" spans="1:14" x14ac:dyDescent="0.25">
      <c r="A1398" s="15">
        <f t="shared" ref="A1398:A1402" si="657">WEEKDAY(N1398,2)</f>
        <v>2</v>
      </c>
      <c r="B1398" s="20">
        <f t="shared" ref="B1398:C1398" si="658">B1397+1</f>
        <v>1397</v>
      </c>
      <c r="C1398" s="17">
        <f t="shared" si="658"/>
        <v>23</v>
      </c>
      <c r="D1398" s="17" t="str">
        <f t="shared" si="592"/>
        <v>20170307</v>
      </c>
      <c r="E1398" s="20" t="str">
        <f t="shared" ref="E1398:E1402" si="659">CONCATENATE(D1398,TEXT(C1398,"000"))</f>
        <v>20170307023</v>
      </c>
      <c r="F1398" s="19">
        <v>22</v>
      </c>
      <c r="G1398" s="19">
        <v>41</v>
      </c>
      <c r="H1398" s="19">
        <v>31</v>
      </c>
      <c r="I1398" s="19">
        <v>6</v>
      </c>
      <c r="J1398" s="19">
        <v>12</v>
      </c>
      <c r="K1398" s="19">
        <v>44</v>
      </c>
      <c r="L1398" s="19">
        <v>2</v>
      </c>
      <c r="M1398" s="19">
        <f t="shared" si="643"/>
        <v>158</v>
      </c>
      <c r="N1398" s="27">
        <f t="shared" si="588"/>
        <v>42801</v>
      </c>
    </row>
    <row r="1399" spans="1:14" x14ac:dyDescent="0.25">
      <c r="A1399" s="15">
        <f t="shared" si="657"/>
        <v>5</v>
      </c>
      <c r="B1399" s="20">
        <f t="shared" ref="B1399:C1399" si="660">B1398+1</f>
        <v>1398</v>
      </c>
      <c r="C1399" s="17">
        <f t="shared" si="660"/>
        <v>24</v>
      </c>
      <c r="D1399" s="17" t="str">
        <f t="shared" si="592"/>
        <v>20170310</v>
      </c>
      <c r="E1399" s="20" t="str">
        <f t="shared" si="659"/>
        <v>20170310024</v>
      </c>
      <c r="F1399" s="19">
        <v>21</v>
      </c>
      <c r="G1399" s="19">
        <v>41</v>
      </c>
      <c r="H1399" s="19">
        <v>48</v>
      </c>
      <c r="I1399" s="19">
        <v>11</v>
      </c>
      <c r="J1399" s="19">
        <v>12</v>
      </c>
      <c r="K1399" s="19">
        <v>35</v>
      </c>
      <c r="L1399" s="19">
        <v>1</v>
      </c>
      <c r="M1399" s="19">
        <f t="shared" si="643"/>
        <v>169</v>
      </c>
      <c r="N1399" s="27">
        <f t="shared" si="590"/>
        <v>42804</v>
      </c>
    </row>
    <row r="1400" spans="1:14" x14ac:dyDescent="0.25">
      <c r="A1400" s="15">
        <f t="shared" si="657"/>
        <v>2</v>
      </c>
      <c r="B1400" s="20">
        <f t="shared" ref="B1400:C1400" si="661">B1399+1</f>
        <v>1399</v>
      </c>
      <c r="C1400" s="17">
        <f t="shared" si="661"/>
        <v>25</v>
      </c>
      <c r="D1400" s="17" t="str">
        <f t="shared" si="592"/>
        <v>20170314</v>
      </c>
      <c r="E1400" s="20" t="str">
        <f t="shared" si="659"/>
        <v>20170314025</v>
      </c>
      <c r="F1400" s="19">
        <v>32</v>
      </c>
      <c r="G1400" s="19">
        <v>33</v>
      </c>
      <c r="H1400" s="19">
        <v>20</v>
      </c>
      <c r="I1400" s="19">
        <v>39</v>
      </c>
      <c r="J1400" s="19">
        <v>17</v>
      </c>
      <c r="K1400" s="19">
        <v>15</v>
      </c>
      <c r="L1400" s="19">
        <v>21</v>
      </c>
      <c r="M1400" s="19">
        <f t="shared" si="643"/>
        <v>177</v>
      </c>
      <c r="N1400" s="27">
        <f t="shared" si="588"/>
        <v>42808</v>
      </c>
    </row>
    <row r="1401" spans="1:14" x14ac:dyDescent="0.25">
      <c r="A1401" s="15">
        <f t="shared" si="657"/>
        <v>5</v>
      </c>
      <c r="B1401" s="20">
        <f t="shared" ref="B1401:C1401" si="662">B1400+1</f>
        <v>1400</v>
      </c>
      <c r="C1401" s="17">
        <f t="shared" si="662"/>
        <v>26</v>
      </c>
      <c r="D1401" s="17" t="str">
        <f t="shared" si="592"/>
        <v>20170317</v>
      </c>
      <c r="E1401" s="20" t="str">
        <f t="shared" si="659"/>
        <v>20170317026</v>
      </c>
      <c r="F1401" s="19">
        <v>4</v>
      </c>
      <c r="G1401" s="19">
        <v>25</v>
      </c>
      <c r="H1401" s="19">
        <v>17</v>
      </c>
      <c r="I1401" s="19">
        <v>40</v>
      </c>
      <c r="J1401" s="19">
        <v>44</v>
      </c>
      <c r="K1401" s="19">
        <v>36</v>
      </c>
      <c r="L1401" s="19">
        <v>8</v>
      </c>
      <c r="M1401" s="19">
        <f t="shared" si="643"/>
        <v>174</v>
      </c>
      <c r="N1401" s="27">
        <f t="shared" si="590"/>
        <v>42811</v>
      </c>
    </row>
    <row r="1402" spans="1:14" x14ac:dyDescent="0.25">
      <c r="A1402" s="15">
        <f t="shared" si="657"/>
        <v>2</v>
      </c>
      <c r="B1402" s="20">
        <f t="shared" ref="B1402:C1403" si="663">B1401+1</f>
        <v>1401</v>
      </c>
      <c r="C1402" s="17">
        <f t="shared" si="663"/>
        <v>27</v>
      </c>
      <c r="D1402" s="17" t="str">
        <f t="shared" si="592"/>
        <v>20170321</v>
      </c>
      <c r="E1402" s="20" t="str">
        <f t="shared" si="659"/>
        <v>20170321027</v>
      </c>
      <c r="F1402" s="19">
        <v>32</v>
      </c>
      <c r="G1402" s="19">
        <v>16</v>
      </c>
      <c r="H1402" s="19">
        <v>43</v>
      </c>
      <c r="I1402" s="19">
        <v>44</v>
      </c>
      <c r="J1402" s="19">
        <v>27</v>
      </c>
      <c r="K1402" s="19">
        <v>8</v>
      </c>
      <c r="L1402" s="19">
        <v>7</v>
      </c>
      <c r="M1402" s="19">
        <f t="shared" si="643"/>
        <v>177</v>
      </c>
      <c r="N1402" s="27">
        <f t="shared" si="588"/>
        <v>42815</v>
      </c>
    </row>
    <row r="1403" spans="1:14" x14ac:dyDescent="0.25">
      <c r="A1403" s="15">
        <f t="shared" ref="A1403" si="664">WEEKDAY(N1403,2)</f>
        <v>5</v>
      </c>
      <c r="B1403" s="20">
        <f t="shared" si="663"/>
        <v>1402</v>
      </c>
      <c r="C1403" s="17">
        <f t="shared" si="663"/>
        <v>28</v>
      </c>
      <c r="D1403" s="17" t="str">
        <f t="shared" si="592"/>
        <v>20170324</v>
      </c>
      <c r="E1403" s="20" t="str">
        <f t="shared" ref="E1403:E1424" si="665">CONCATENATE(D1403,TEXT(C1403,"000"))</f>
        <v>20170324028</v>
      </c>
      <c r="F1403" s="19">
        <v>41</v>
      </c>
      <c r="G1403" s="19">
        <v>49</v>
      </c>
      <c r="H1403" s="19">
        <v>39</v>
      </c>
      <c r="I1403" s="19">
        <v>24</v>
      </c>
      <c r="J1403" s="19">
        <v>36</v>
      </c>
      <c r="K1403" s="19">
        <v>45</v>
      </c>
      <c r="L1403" s="19">
        <v>22</v>
      </c>
      <c r="M1403" s="19">
        <f t="shared" si="643"/>
        <v>256</v>
      </c>
      <c r="N1403" s="27">
        <f t="shared" si="590"/>
        <v>42818</v>
      </c>
    </row>
    <row r="1404" spans="1:14" x14ac:dyDescent="0.25">
      <c r="A1404" s="15">
        <f t="shared" ref="A1404:A1424" si="666">WEEKDAY(N1404,2)</f>
        <v>2</v>
      </c>
      <c r="B1404" s="20">
        <f t="shared" ref="B1404:C1404" si="667">B1403+1</f>
        <v>1403</v>
      </c>
      <c r="C1404" s="17">
        <f t="shared" si="667"/>
        <v>29</v>
      </c>
      <c r="D1404" s="17" t="str">
        <f t="shared" si="592"/>
        <v>20170328</v>
      </c>
      <c r="E1404" s="20" t="str">
        <f t="shared" si="665"/>
        <v>20170328029</v>
      </c>
      <c r="F1404" s="19">
        <v>32</v>
      </c>
      <c r="G1404" s="19">
        <v>42</v>
      </c>
      <c r="H1404" s="19">
        <v>44</v>
      </c>
      <c r="I1404" s="19">
        <v>22</v>
      </c>
      <c r="J1404" s="19">
        <v>37</v>
      </c>
      <c r="K1404" s="19">
        <v>21</v>
      </c>
      <c r="L1404" s="19">
        <v>38</v>
      </c>
      <c r="M1404" s="19">
        <f t="shared" si="643"/>
        <v>236</v>
      </c>
      <c r="N1404" s="27">
        <f t="shared" si="588"/>
        <v>42822</v>
      </c>
    </row>
    <row r="1405" spans="1:14" x14ac:dyDescent="0.25">
      <c r="A1405" s="15">
        <f t="shared" si="666"/>
        <v>5</v>
      </c>
      <c r="B1405" s="20">
        <f t="shared" ref="B1405:C1405" si="668">B1404+1</f>
        <v>1404</v>
      </c>
      <c r="C1405" s="17">
        <f t="shared" si="668"/>
        <v>30</v>
      </c>
      <c r="D1405" s="17" t="str">
        <f t="shared" si="592"/>
        <v>20170331</v>
      </c>
      <c r="E1405" s="20" t="str">
        <f t="shared" si="665"/>
        <v>20170331030</v>
      </c>
      <c r="F1405" s="19">
        <v>38</v>
      </c>
      <c r="G1405" s="19">
        <v>22</v>
      </c>
      <c r="H1405" s="19">
        <v>24</v>
      </c>
      <c r="I1405" s="19">
        <v>17</v>
      </c>
      <c r="J1405" s="19">
        <v>18</v>
      </c>
      <c r="K1405" s="19">
        <v>25</v>
      </c>
      <c r="L1405" s="19">
        <v>39</v>
      </c>
      <c r="M1405" s="19">
        <f t="shared" si="643"/>
        <v>183</v>
      </c>
      <c r="N1405" s="27">
        <f t="shared" si="590"/>
        <v>42825</v>
      </c>
    </row>
    <row r="1406" spans="1:14" x14ac:dyDescent="0.25">
      <c r="A1406" s="15">
        <f t="shared" si="666"/>
        <v>2</v>
      </c>
      <c r="B1406" s="20">
        <f t="shared" ref="B1406:C1406" si="669">B1405+1</f>
        <v>1405</v>
      </c>
      <c r="C1406" s="17">
        <f t="shared" si="669"/>
        <v>31</v>
      </c>
      <c r="D1406" s="17" t="str">
        <f t="shared" si="592"/>
        <v>20170404</v>
      </c>
      <c r="E1406" s="20" t="str">
        <f t="shared" si="665"/>
        <v>20170404031</v>
      </c>
      <c r="F1406" s="19">
        <v>5</v>
      </c>
      <c r="G1406" s="19">
        <v>34</v>
      </c>
      <c r="H1406" s="19">
        <v>43</v>
      </c>
      <c r="I1406" s="19">
        <v>17</v>
      </c>
      <c r="J1406" s="19">
        <v>33</v>
      </c>
      <c r="K1406" s="19">
        <v>44</v>
      </c>
      <c r="L1406" s="19">
        <v>4</v>
      </c>
      <c r="M1406" s="19">
        <f t="shared" si="643"/>
        <v>180</v>
      </c>
      <c r="N1406" s="27">
        <f t="shared" si="588"/>
        <v>42829</v>
      </c>
    </row>
    <row r="1407" spans="1:14" x14ac:dyDescent="0.25">
      <c r="A1407" s="15">
        <f t="shared" si="666"/>
        <v>5</v>
      </c>
      <c r="B1407" s="20">
        <f t="shared" ref="B1407:C1407" si="670">B1406+1</f>
        <v>1406</v>
      </c>
      <c r="C1407" s="17">
        <f t="shared" si="670"/>
        <v>32</v>
      </c>
      <c r="D1407" s="17" t="str">
        <f t="shared" si="592"/>
        <v>20170407</v>
      </c>
      <c r="E1407" s="20" t="str">
        <f t="shared" si="665"/>
        <v>20170407032</v>
      </c>
      <c r="F1407" s="19">
        <v>31</v>
      </c>
      <c r="G1407" s="19">
        <v>23</v>
      </c>
      <c r="H1407" s="19">
        <v>37</v>
      </c>
      <c r="I1407" s="19">
        <v>49</v>
      </c>
      <c r="J1407" s="19">
        <v>19</v>
      </c>
      <c r="K1407" s="19">
        <v>32</v>
      </c>
      <c r="L1407" s="19">
        <v>26</v>
      </c>
      <c r="M1407" s="19">
        <f t="shared" si="643"/>
        <v>217</v>
      </c>
      <c r="N1407" s="27">
        <f t="shared" si="590"/>
        <v>42832</v>
      </c>
    </row>
    <row r="1408" spans="1:14" x14ac:dyDescent="0.25">
      <c r="A1408" s="15">
        <f t="shared" si="666"/>
        <v>2</v>
      </c>
      <c r="B1408" s="20">
        <f t="shared" ref="B1408:C1408" si="671">B1407+1</f>
        <v>1407</v>
      </c>
      <c r="C1408" s="17">
        <f t="shared" si="671"/>
        <v>33</v>
      </c>
      <c r="D1408" s="17" t="str">
        <f t="shared" si="592"/>
        <v>20170411</v>
      </c>
      <c r="E1408" s="20" t="str">
        <f t="shared" si="665"/>
        <v>20170411033</v>
      </c>
      <c r="F1408" s="19">
        <v>40</v>
      </c>
      <c r="G1408" s="19">
        <v>22</v>
      </c>
      <c r="H1408" s="19">
        <v>9</v>
      </c>
      <c r="I1408" s="19">
        <v>47</v>
      </c>
      <c r="J1408" s="19">
        <v>36</v>
      </c>
      <c r="K1408" s="19">
        <v>31</v>
      </c>
      <c r="L1408" s="19">
        <v>8</v>
      </c>
      <c r="M1408" s="19">
        <f t="shared" si="643"/>
        <v>193</v>
      </c>
      <c r="N1408" s="27">
        <f t="shared" si="588"/>
        <v>42836</v>
      </c>
    </row>
    <row r="1409" spans="1:14" x14ac:dyDescent="0.25">
      <c r="A1409" s="15">
        <f t="shared" si="666"/>
        <v>5</v>
      </c>
      <c r="B1409" s="20">
        <f t="shared" ref="B1409:C1409" si="672">B1408+1</f>
        <v>1408</v>
      </c>
      <c r="C1409" s="17">
        <f t="shared" si="672"/>
        <v>34</v>
      </c>
      <c r="D1409" s="17" t="str">
        <f t="shared" si="592"/>
        <v>20170414</v>
      </c>
      <c r="E1409" s="20" t="str">
        <f t="shared" si="665"/>
        <v>20170414034</v>
      </c>
      <c r="F1409" s="19">
        <v>29</v>
      </c>
      <c r="G1409" s="19">
        <v>2</v>
      </c>
      <c r="H1409" s="19">
        <v>3</v>
      </c>
      <c r="I1409" s="19">
        <v>42</v>
      </c>
      <c r="J1409" s="19">
        <v>4</v>
      </c>
      <c r="K1409" s="19">
        <v>23</v>
      </c>
      <c r="L1409" s="19">
        <v>14</v>
      </c>
      <c r="M1409" s="19">
        <f t="shared" si="643"/>
        <v>117</v>
      </c>
      <c r="N1409" s="27">
        <f t="shared" si="590"/>
        <v>42839</v>
      </c>
    </row>
    <row r="1410" spans="1:14" x14ac:dyDescent="0.25">
      <c r="A1410" s="15">
        <f t="shared" si="666"/>
        <v>2</v>
      </c>
      <c r="B1410" s="20">
        <f t="shared" ref="B1410:C1410" si="673">B1409+1</f>
        <v>1409</v>
      </c>
      <c r="C1410" s="17">
        <f t="shared" si="673"/>
        <v>35</v>
      </c>
      <c r="D1410" s="17" t="str">
        <f t="shared" si="592"/>
        <v>20170418</v>
      </c>
      <c r="E1410" s="20" t="str">
        <f t="shared" si="665"/>
        <v>20170418035</v>
      </c>
      <c r="F1410" s="19">
        <v>25</v>
      </c>
      <c r="G1410" s="19">
        <v>21</v>
      </c>
      <c r="H1410" s="19">
        <v>14</v>
      </c>
      <c r="I1410" s="19">
        <v>39</v>
      </c>
      <c r="J1410" s="19">
        <v>35</v>
      </c>
      <c r="K1410" s="19">
        <v>36</v>
      </c>
      <c r="L1410" s="19">
        <v>18</v>
      </c>
      <c r="M1410" s="19">
        <f t="shared" si="643"/>
        <v>188</v>
      </c>
      <c r="N1410" s="27">
        <f t="shared" ref="N1410:N1416" si="674">N1409+4</f>
        <v>42843</v>
      </c>
    </row>
    <row r="1411" spans="1:14" x14ac:dyDescent="0.25">
      <c r="A1411" s="15">
        <f t="shared" si="666"/>
        <v>5</v>
      </c>
      <c r="B1411" s="20">
        <f t="shared" ref="B1411:C1411" si="675">B1410+1</f>
        <v>1410</v>
      </c>
      <c r="C1411" s="17">
        <f t="shared" si="675"/>
        <v>36</v>
      </c>
      <c r="D1411" s="17" t="str">
        <f t="shared" si="592"/>
        <v>20170421</v>
      </c>
      <c r="E1411" s="20" t="str">
        <f t="shared" si="665"/>
        <v>20170421036</v>
      </c>
      <c r="F1411" s="19">
        <v>28</v>
      </c>
      <c r="G1411" s="19">
        <v>39</v>
      </c>
      <c r="H1411" s="19">
        <v>22</v>
      </c>
      <c r="I1411" s="19">
        <v>15</v>
      </c>
      <c r="J1411" s="19">
        <v>5</v>
      </c>
      <c r="K1411" s="19">
        <v>23</v>
      </c>
      <c r="L1411" s="19">
        <v>25</v>
      </c>
      <c r="M1411" s="19">
        <f t="shared" si="643"/>
        <v>157</v>
      </c>
      <c r="N1411" s="27">
        <f t="shared" ref="N1411:N1417" si="676">N1410+3</f>
        <v>42846</v>
      </c>
    </row>
    <row r="1412" spans="1:14" x14ac:dyDescent="0.25">
      <c r="A1412" s="15">
        <f t="shared" si="666"/>
        <v>2</v>
      </c>
      <c r="B1412" s="20">
        <f t="shared" ref="B1412:C1412" si="677">B1411+1</f>
        <v>1411</v>
      </c>
      <c r="C1412" s="17">
        <f t="shared" si="677"/>
        <v>37</v>
      </c>
      <c r="D1412" s="17" t="str">
        <f t="shared" ref="D1412:D1431" si="678">CONCATENATE(TEXT(YEAR(N1412),"0000"),TEXT(MONTH(N1412),"00"),TEXT(DAY(N1412),"00"))</f>
        <v>20170425</v>
      </c>
      <c r="E1412" s="20" t="str">
        <f t="shared" si="665"/>
        <v>20170425037</v>
      </c>
      <c r="F1412" s="19">
        <v>41</v>
      </c>
      <c r="G1412" s="19">
        <v>17</v>
      </c>
      <c r="H1412" s="19">
        <v>35</v>
      </c>
      <c r="I1412" s="19">
        <v>22</v>
      </c>
      <c r="J1412" s="19">
        <v>30</v>
      </c>
      <c r="K1412" s="19">
        <v>16</v>
      </c>
      <c r="L1412" s="19">
        <v>26</v>
      </c>
      <c r="M1412" s="19">
        <f t="shared" si="643"/>
        <v>187</v>
      </c>
      <c r="N1412" s="27">
        <f t="shared" si="674"/>
        <v>42850</v>
      </c>
    </row>
    <row r="1413" spans="1:14" x14ac:dyDescent="0.25">
      <c r="A1413" s="15">
        <f t="shared" si="666"/>
        <v>5</v>
      </c>
      <c r="B1413" s="20">
        <f t="shared" ref="B1413:C1413" si="679">B1412+1</f>
        <v>1412</v>
      </c>
      <c r="C1413" s="17">
        <f t="shared" si="679"/>
        <v>38</v>
      </c>
      <c r="D1413" s="17" t="str">
        <f t="shared" si="678"/>
        <v>20170428</v>
      </c>
      <c r="E1413" s="20" t="str">
        <f t="shared" si="665"/>
        <v>20170428038</v>
      </c>
      <c r="F1413" s="19">
        <v>3</v>
      </c>
      <c r="G1413" s="19">
        <v>1</v>
      </c>
      <c r="H1413" s="19">
        <v>31</v>
      </c>
      <c r="I1413" s="19">
        <v>42</v>
      </c>
      <c r="J1413" s="19">
        <v>19</v>
      </c>
      <c r="K1413" s="19">
        <v>32</v>
      </c>
      <c r="L1413" s="19">
        <v>43</v>
      </c>
      <c r="M1413" s="19">
        <f t="shared" si="643"/>
        <v>171</v>
      </c>
      <c r="N1413" s="27">
        <f t="shared" si="676"/>
        <v>42853</v>
      </c>
    </row>
    <row r="1414" spans="1:14" x14ac:dyDescent="0.25">
      <c r="A1414" s="15">
        <f t="shared" si="666"/>
        <v>2</v>
      </c>
      <c r="B1414" s="20">
        <f t="shared" ref="B1414:C1414" si="680">B1413+1</f>
        <v>1413</v>
      </c>
      <c r="C1414" s="17">
        <f t="shared" si="680"/>
        <v>39</v>
      </c>
      <c r="D1414" s="17" t="str">
        <f t="shared" si="678"/>
        <v>20170502</v>
      </c>
      <c r="E1414" s="20" t="str">
        <f t="shared" si="665"/>
        <v>20170502039</v>
      </c>
      <c r="F1414" s="19">
        <v>27</v>
      </c>
      <c r="G1414" s="19">
        <v>39</v>
      </c>
      <c r="H1414" s="19">
        <v>24</v>
      </c>
      <c r="I1414" s="19">
        <v>36</v>
      </c>
      <c r="J1414" s="19">
        <v>23</v>
      </c>
      <c r="K1414" s="19">
        <v>14</v>
      </c>
      <c r="L1414" s="19">
        <v>13</v>
      </c>
      <c r="M1414" s="19">
        <f t="shared" si="643"/>
        <v>176</v>
      </c>
      <c r="N1414" s="27">
        <f t="shared" si="674"/>
        <v>42857</v>
      </c>
    </row>
    <row r="1415" spans="1:14" x14ac:dyDescent="0.25">
      <c r="A1415" s="15">
        <f t="shared" si="666"/>
        <v>5</v>
      </c>
      <c r="B1415" s="20">
        <f t="shared" ref="B1415:C1415" si="681">B1414+1</f>
        <v>1414</v>
      </c>
      <c r="C1415" s="17">
        <f t="shared" si="681"/>
        <v>40</v>
      </c>
      <c r="D1415" s="17" t="str">
        <f t="shared" si="678"/>
        <v>20170505</v>
      </c>
      <c r="E1415" s="20" t="str">
        <f t="shared" si="665"/>
        <v>20170505040</v>
      </c>
      <c r="F1415" s="19">
        <v>19</v>
      </c>
      <c r="G1415" s="19">
        <v>49</v>
      </c>
      <c r="H1415" s="19">
        <v>9</v>
      </c>
      <c r="I1415" s="19">
        <v>1</v>
      </c>
      <c r="J1415" s="19">
        <v>34</v>
      </c>
      <c r="K1415" s="19">
        <v>18</v>
      </c>
      <c r="L1415" s="19">
        <v>11</v>
      </c>
      <c r="M1415" s="19">
        <f t="shared" si="643"/>
        <v>141</v>
      </c>
      <c r="N1415" s="27">
        <f t="shared" si="676"/>
        <v>42860</v>
      </c>
    </row>
    <row r="1416" spans="1:14" x14ac:dyDescent="0.25">
      <c r="A1416" s="15">
        <f t="shared" si="666"/>
        <v>2</v>
      </c>
      <c r="B1416" s="20">
        <f t="shared" ref="B1416:C1416" si="682">B1415+1</f>
        <v>1415</v>
      </c>
      <c r="C1416" s="17">
        <f t="shared" si="682"/>
        <v>41</v>
      </c>
      <c r="D1416" s="17" t="str">
        <f t="shared" si="678"/>
        <v>20170509</v>
      </c>
      <c r="E1416" s="20" t="str">
        <f t="shared" si="665"/>
        <v>20170509041</v>
      </c>
      <c r="F1416" s="19">
        <v>16</v>
      </c>
      <c r="G1416" s="19">
        <v>17</v>
      </c>
      <c r="H1416" s="19">
        <v>21</v>
      </c>
      <c r="I1416" s="19">
        <v>40</v>
      </c>
      <c r="J1416" s="19">
        <v>20</v>
      </c>
      <c r="K1416" s="19">
        <v>32</v>
      </c>
      <c r="L1416" s="19">
        <v>15</v>
      </c>
      <c r="M1416" s="19">
        <f t="shared" si="643"/>
        <v>161</v>
      </c>
      <c r="N1416" s="27">
        <f t="shared" si="674"/>
        <v>42864</v>
      </c>
    </row>
    <row r="1417" spans="1:14" x14ac:dyDescent="0.25">
      <c r="A1417" s="15">
        <f t="shared" si="666"/>
        <v>5</v>
      </c>
      <c r="B1417" s="20">
        <f t="shared" ref="B1417:C1417" si="683">B1416+1</f>
        <v>1416</v>
      </c>
      <c r="C1417" s="17">
        <f t="shared" si="683"/>
        <v>42</v>
      </c>
      <c r="D1417" s="17" t="str">
        <f t="shared" si="678"/>
        <v>20170512</v>
      </c>
      <c r="E1417" s="20" t="str">
        <f t="shared" si="665"/>
        <v>20170512042</v>
      </c>
      <c r="F1417" s="19">
        <v>35</v>
      </c>
      <c r="G1417" s="19">
        <v>9</v>
      </c>
      <c r="H1417" s="19">
        <v>2</v>
      </c>
      <c r="I1417" s="19">
        <v>25</v>
      </c>
      <c r="J1417" s="19">
        <v>18</v>
      </c>
      <c r="K1417" s="19">
        <v>22</v>
      </c>
      <c r="L1417" s="19">
        <v>14</v>
      </c>
      <c r="M1417" s="19">
        <f t="shared" si="643"/>
        <v>125</v>
      </c>
      <c r="N1417" s="27">
        <f t="shared" si="676"/>
        <v>42867</v>
      </c>
    </row>
    <row r="1418" spans="1:14" x14ac:dyDescent="0.25">
      <c r="A1418" s="15">
        <f t="shared" si="666"/>
        <v>2</v>
      </c>
      <c r="B1418" s="20">
        <f t="shared" ref="B1418:C1418" si="684">B1417+1</f>
        <v>1417</v>
      </c>
      <c r="C1418" s="17">
        <f t="shared" si="684"/>
        <v>43</v>
      </c>
      <c r="D1418" s="17" t="str">
        <f t="shared" si="678"/>
        <v>20170516</v>
      </c>
      <c r="E1418" s="20" t="str">
        <f t="shared" si="665"/>
        <v>20170516043</v>
      </c>
      <c r="F1418" s="19">
        <v>6</v>
      </c>
      <c r="G1418" s="19">
        <v>7</v>
      </c>
      <c r="H1418" s="19">
        <v>14</v>
      </c>
      <c r="I1418" s="19">
        <v>46</v>
      </c>
      <c r="J1418" s="19">
        <v>29</v>
      </c>
      <c r="K1418" s="19">
        <v>5</v>
      </c>
      <c r="L1418" s="19">
        <v>24</v>
      </c>
      <c r="M1418" s="19">
        <f t="shared" si="643"/>
        <v>131</v>
      </c>
      <c r="N1418" s="27">
        <f t="shared" ref="N1418" si="685">N1417+4</f>
        <v>42871</v>
      </c>
    </row>
    <row r="1419" spans="1:14" x14ac:dyDescent="0.25">
      <c r="A1419" s="15">
        <f t="shared" si="666"/>
        <v>5</v>
      </c>
      <c r="B1419" s="20">
        <f t="shared" ref="B1419:C1419" si="686">B1418+1</f>
        <v>1418</v>
      </c>
      <c r="C1419" s="17">
        <f t="shared" si="686"/>
        <v>44</v>
      </c>
      <c r="D1419" s="17" t="str">
        <f t="shared" si="678"/>
        <v>20170519</v>
      </c>
      <c r="E1419" s="20" t="str">
        <f t="shared" si="665"/>
        <v>20170519044</v>
      </c>
      <c r="F1419" s="19">
        <v>16</v>
      </c>
      <c r="G1419" s="19">
        <v>21</v>
      </c>
      <c r="H1419" s="19">
        <v>15</v>
      </c>
      <c r="I1419" s="19">
        <v>46</v>
      </c>
      <c r="J1419" s="19">
        <v>28</v>
      </c>
      <c r="K1419" s="19">
        <v>23</v>
      </c>
      <c r="L1419" s="19">
        <v>14</v>
      </c>
      <c r="M1419" s="19">
        <f t="shared" si="643"/>
        <v>163</v>
      </c>
      <c r="N1419" s="27">
        <f t="shared" ref="N1419" si="687">N1418+3</f>
        <v>42874</v>
      </c>
    </row>
    <row r="1420" spans="1:14" x14ac:dyDescent="0.25">
      <c r="A1420" s="15">
        <f t="shared" si="666"/>
        <v>2</v>
      </c>
      <c r="B1420" s="20">
        <f t="shared" ref="B1420:C1420" si="688">B1419+1</f>
        <v>1419</v>
      </c>
      <c r="C1420" s="17">
        <f t="shared" si="688"/>
        <v>45</v>
      </c>
      <c r="D1420" s="17" t="str">
        <f t="shared" si="678"/>
        <v>20170523</v>
      </c>
      <c r="E1420" s="20" t="str">
        <f t="shared" si="665"/>
        <v>20170523045</v>
      </c>
      <c r="F1420" s="19">
        <v>2</v>
      </c>
      <c r="G1420" s="19">
        <v>15</v>
      </c>
      <c r="H1420" s="19">
        <v>10</v>
      </c>
      <c r="I1420" s="19">
        <v>22</v>
      </c>
      <c r="J1420" s="19">
        <v>26</v>
      </c>
      <c r="K1420" s="19">
        <v>32</v>
      </c>
      <c r="L1420" s="19">
        <v>42</v>
      </c>
      <c r="M1420" s="19">
        <f t="shared" si="643"/>
        <v>149</v>
      </c>
      <c r="N1420" s="27">
        <f t="shared" ref="N1420:N1464" si="689">N1419+4</f>
        <v>42878</v>
      </c>
    </row>
    <row r="1421" spans="1:14" x14ac:dyDescent="0.25">
      <c r="A1421" s="15">
        <f t="shared" si="666"/>
        <v>5</v>
      </c>
      <c r="B1421" s="20">
        <f t="shared" ref="B1421:C1421" si="690">B1420+1</f>
        <v>1420</v>
      </c>
      <c r="C1421" s="17">
        <f t="shared" si="690"/>
        <v>46</v>
      </c>
      <c r="D1421" s="17" t="str">
        <f t="shared" si="678"/>
        <v>20170526</v>
      </c>
      <c r="E1421" s="20" t="str">
        <f t="shared" si="665"/>
        <v>20170526046</v>
      </c>
      <c r="F1421" s="19">
        <v>35</v>
      </c>
      <c r="G1421" s="19">
        <v>16</v>
      </c>
      <c r="H1421" s="19">
        <v>8</v>
      </c>
      <c r="I1421" s="19">
        <v>14</v>
      </c>
      <c r="J1421" s="19">
        <v>21</v>
      </c>
      <c r="K1421" s="19">
        <v>19</v>
      </c>
      <c r="L1421" s="19">
        <v>20</v>
      </c>
      <c r="M1421" s="19">
        <f t="shared" si="643"/>
        <v>133</v>
      </c>
      <c r="N1421" s="27">
        <f t="shared" ref="N1421:N1465" si="691">N1420+3</f>
        <v>42881</v>
      </c>
    </row>
    <row r="1422" spans="1:14" x14ac:dyDescent="0.25">
      <c r="A1422" s="15">
        <f t="shared" si="666"/>
        <v>2</v>
      </c>
      <c r="B1422" s="20">
        <f t="shared" ref="B1422:C1422" si="692">B1421+1</f>
        <v>1421</v>
      </c>
      <c r="C1422" s="17">
        <f t="shared" si="692"/>
        <v>47</v>
      </c>
      <c r="D1422" s="17" t="str">
        <f t="shared" si="678"/>
        <v>20170530</v>
      </c>
      <c r="E1422" s="20" t="str">
        <f t="shared" si="665"/>
        <v>20170530047</v>
      </c>
      <c r="F1422" s="19">
        <v>7</v>
      </c>
      <c r="G1422" s="19">
        <v>30</v>
      </c>
      <c r="H1422" s="19">
        <v>31</v>
      </c>
      <c r="I1422" s="19">
        <v>19</v>
      </c>
      <c r="J1422" s="19">
        <v>14</v>
      </c>
      <c r="K1422" s="19">
        <v>39</v>
      </c>
      <c r="L1422" s="19">
        <v>40</v>
      </c>
      <c r="M1422" s="19">
        <f t="shared" si="643"/>
        <v>180</v>
      </c>
      <c r="N1422" s="27">
        <f t="shared" si="689"/>
        <v>42885</v>
      </c>
    </row>
    <row r="1423" spans="1:14" x14ac:dyDescent="0.25">
      <c r="A1423" s="15">
        <f t="shared" si="666"/>
        <v>5</v>
      </c>
      <c r="B1423" s="20">
        <f t="shared" ref="B1423:C1423" si="693">B1422+1</f>
        <v>1422</v>
      </c>
      <c r="C1423" s="17">
        <f t="shared" si="693"/>
        <v>48</v>
      </c>
      <c r="D1423" s="17" t="str">
        <f t="shared" si="678"/>
        <v>20170602</v>
      </c>
      <c r="E1423" s="20" t="str">
        <f t="shared" si="665"/>
        <v>20170602048</v>
      </c>
      <c r="F1423" s="19">
        <v>8</v>
      </c>
      <c r="G1423" s="19">
        <v>23</v>
      </c>
      <c r="H1423" s="19">
        <v>7</v>
      </c>
      <c r="I1423" s="19">
        <v>3</v>
      </c>
      <c r="J1423" s="19">
        <v>31</v>
      </c>
      <c r="K1423" s="19">
        <v>30</v>
      </c>
      <c r="L1423" s="19">
        <v>32</v>
      </c>
      <c r="M1423" s="19">
        <f t="shared" si="643"/>
        <v>134</v>
      </c>
      <c r="N1423" s="27">
        <f t="shared" si="691"/>
        <v>42888</v>
      </c>
    </row>
    <row r="1424" spans="1:14" x14ac:dyDescent="0.25">
      <c r="A1424" s="15">
        <f t="shared" si="666"/>
        <v>2</v>
      </c>
      <c r="B1424" s="20">
        <f t="shared" ref="B1424:C1424" si="694">B1423+1</f>
        <v>1423</v>
      </c>
      <c r="C1424" s="17">
        <f t="shared" si="694"/>
        <v>49</v>
      </c>
      <c r="D1424" s="17" t="str">
        <f t="shared" si="678"/>
        <v>20170606</v>
      </c>
      <c r="E1424" s="20" t="str">
        <f t="shared" si="665"/>
        <v>20170606049</v>
      </c>
      <c r="F1424" s="19">
        <v>48</v>
      </c>
      <c r="G1424" s="19">
        <v>32</v>
      </c>
      <c r="H1424" s="19">
        <v>16</v>
      </c>
      <c r="I1424" s="19">
        <v>25</v>
      </c>
      <c r="J1424" s="19">
        <v>14</v>
      </c>
      <c r="K1424" s="19">
        <v>36</v>
      </c>
      <c r="L1424" s="19">
        <v>12</v>
      </c>
      <c r="M1424" s="19">
        <f t="shared" si="643"/>
        <v>183</v>
      </c>
      <c r="N1424" s="27">
        <f t="shared" si="689"/>
        <v>42892</v>
      </c>
    </row>
    <row r="1425" spans="1:14" x14ac:dyDescent="0.25">
      <c r="A1425" s="15">
        <f t="shared" ref="A1425:A1427" si="695">WEEKDAY(N1425,2)</f>
        <v>5</v>
      </c>
      <c r="B1425" s="20">
        <f t="shared" ref="B1425:C1425" si="696">B1424+1</f>
        <v>1424</v>
      </c>
      <c r="C1425" s="17">
        <f t="shared" si="696"/>
        <v>50</v>
      </c>
      <c r="D1425" s="17" t="str">
        <f t="shared" si="678"/>
        <v>20170609</v>
      </c>
      <c r="E1425" s="20" t="str">
        <f t="shared" ref="E1425:E1427" si="697">CONCATENATE(D1425,TEXT(C1425,"000"))</f>
        <v>20170609050</v>
      </c>
      <c r="F1425" s="19">
        <v>31</v>
      </c>
      <c r="G1425" s="19">
        <v>37</v>
      </c>
      <c r="H1425" s="19">
        <v>24</v>
      </c>
      <c r="I1425" s="19">
        <v>46</v>
      </c>
      <c r="J1425" s="19">
        <v>32</v>
      </c>
      <c r="K1425" s="19">
        <v>26</v>
      </c>
      <c r="L1425" s="19">
        <v>1</v>
      </c>
      <c r="M1425" s="19">
        <f t="shared" ref="M1425:M1427" si="698">SUM(F1425:L1425)</f>
        <v>197</v>
      </c>
      <c r="N1425" s="27">
        <f t="shared" si="691"/>
        <v>42895</v>
      </c>
    </row>
    <row r="1426" spans="1:14" x14ac:dyDescent="0.25">
      <c r="A1426" s="15">
        <f t="shared" si="695"/>
        <v>2</v>
      </c>
      <c r="B1426" s="20">
        <f t="shared" ref="B1426:C1426" si="699">B1425+1</f>
        <v>1425</v>
      </c>
      <c r="C1426" s="17">
        <f t="shared" si="699"/>
        <v>51</v>
      </c>
      <c r="D1426" s="17" t="str">
        <f t="shared" si="678"/>
        <v>20170613</v>
      </c>
      <c r="E1426" s="20" t="str">
        <f t="shared" si="697"/>
        <v>20170613051</v>
      </c>
      <c r="F1426" s="19">
        <v>36</v>
      </c>
      <c r="G1426" s="19">
        <v>2</v>
      </c>
      <c r="H1426" s="19">
        <v>43</v>
      </c>
      <c r="I1426" s="19">
        <v>4</v>
      </c>
      <c r="J1426" s="19">
        <v>17</v>
      </c>
      <c r="K1426" s="19">
        <v>22</v>
      </c>
      <c r="L1426" s="19">
        <v>40</v>
      </c>
      <c r="M1426" s="19">
        <f t="shared" si="698"/>
        <v>164</v>
      </c>
      <c r="N1426" s="27">
        <f t="shared" si="689"/>
        <v>42899</v>
      </c>
    </row>
    <row r="1427" spans="1:14" x14ac:dyDescent="0.25">
      <c r="A1427" s="15">
        <f t="shared" si="695"/>
        <v>5</v>
      </c>
      <c r="B1427" s="20">
        <f t="shared" ref="B1427:C1427" si="700">B1426+1</f>
        <v>1426</v>
      </c>
      <c r="C1427" s="17">
        <f t="shared" si="700"/>
        <v>52</v>
      </c>
      <c r="D1427" s="17" t="str">
        <f t="shared" si="678"/>
        <v>20170616</v>
      </c>
      <c r="E1427" s="20" t="str">
        <f t="shared" si="697"/>
        <v>20170616052</v>
      </c>
      <c r="F1427" s="19">
        <v>15</v>
      </c>
      <c r="G1427" s="19">
        <v>26</v>
      </c>
      <c r="H1427" s="19">
        <v>36</v>
      </c>
      <c r="I1427" s="19">
        <v>45</v>
      </c>
      <c r="J1427" s="19">
        <v>21</v>
      </c>
      <c r="K1427" s="19">
        <v>1</v>
      </c>
      <c r="L1427" s="19">
        <v>10</v>
      </c>
      <c r="M1427" s="19">
        <f t="shared" si="698"/>
        <v>154</v>
      </c>
      <c r="N1427" s="27">
        <f t="shared" si="691"/>
        <v>42902</v>
      </c>
    </row>
    <row r="1428" spans="1:14" x14ac:dyDescent="0.25">
      <c r="A1428" s="15">
        <f t="shared" ref="A1428:A1431" si="701">WEEKDAY(N1428,2)</f>
        <v>2</v>
      </c>
      <c r="B1428" s="20">
        <f t="shared" ref="B1428:C1428" si="702">B1427+1</f>
        <v>1427</v>
      </c>
      <c r="C1428" s="17">
        <f t="shared" si="702"/>
        <v>53</v>
      </c>
      <c r="D1428" s="17" t="str">
        <f t="shared" si="678"/>
        <v>20170620</v>
      </c>
      <c r="E1428" s="20" t="str">
        <f t="shared" ref="E1428:E1431" si="703">CONCATENATE(D1428,TEXT(C1428,"000"))</f>
        <v>20170620053</v>
      </c>
      <c r="F1428" s="19">
        <v>12</v>
      </c>
      <c r="G1428" s="19">
        <v>33</v>
      </c>
      <c r="H1428" s="19">
        <v>1</v>
      </c>
      <c r="I1428" s="19">
        <v>44</v>
      </c>
      <c r="J1428" s="19">
        <v>29</v>
      </c>
      <c r="K1428" s="19">
        <v>30</v>
      </c>
      <c r="L1428" s="19">
        <v>19</v>
      </c>
      <c r="M1428" s="19">
        <f t="shared" ref="M1428:M1453" si="704">SUM(F1428:L1428)</f>
        <v>168</v>
      </c>
      <c r="N1428" s="27">
        <f t="shared" si="689"/>
        <v>42906</v>
      </c>
    </row>
    <row r="1429" spans="1:14" x14ac:dyDescent="0.25">
      <c r="A1429" s="15">
        <f t="shared" si="701"/>
        <v>5</v>
      </c>
      <c r="B1429" s="20">
        <f t="shared" ref="B1429:C1429" si="705">B1428+1</f>
        <v>1428</v>
      </c>
      <c r="C1429" s="17">
        <f t="shared" si="705"/>
        <v>54</v>
      </c>
      <c r="D1429" s="17" t="str">
        <f t="shared" si="678"/>
        <v>20170623</v>
      </c>
      <c r="E1429" s="20" t="str">
        <f t="shared" si="703"/>
        <v>20170623054</v>
      </c>
      <c r="F1429" s="19">
        <v>2</v>
      </c>
      <c r="G1429" s="19">
        <v>41</v>
      </c>
      <c r="H1429" s="19">
        <v>42</v>
      </c>
      <c r="I1429" s="19">
        <v>12</v>
      </c>
      <c r="J1429" s="19">
        <v>34</v>
      </c>
      <c r="K1429" s="19">
        <v>8</v>
      </c>
      <c r="L1429" s="19">
        <v>7</v>
      </c>
      <c r="M1429" s="19">
        <f t="shared" si="704"/>
        <v>146</v>
      </c>
      <c r="N1429" s="27">
        <f t="shared" si="691"/>
        <v>42909</v>
      </c>
    </row>
    <row r="1430" spans="1:14" x14ac:dyDescent="0.25">
      <c r="A1430" s="15">
        <f t="shared" si="701"/>
        <v>2</v>
      </c>
      <c r="B1430" s="20">
        <f t="shared" ref="B1430:C1430" si="706">B1429+1</f>
        <v>1429</v>
      </c>
      <c r="C1430" s="17">
        <f t="shared" si="706"/>
        <v>55</v>
      </c>
      <c r="D1430" s="17" t="str">
        <f t="shared" si="678"/>
        <v>20170627</v>
      </c>
      <c r="E1430" s="20" t="str">
        <f t="shared" si="703"/>
        <v>20170627055</v>
      </c>
      <c r="F1430" s="19">
        <v>11</v>
      </c>
      <c r="G1430" s="19">
        <v>33</v>
      </c>
      <c r="H1430" s="19">
        <v>47</v>
      </c>
      <c r="I1430" s="19">
        <v>49</v>
      </c>
      <c r="J1430" s="19">
        <v>46</v>
      </c>
      <c r="K1430" s="19">
        <v>34</v>
      </c>
      <c r="L1430" s="19">
        <v>38</v>
      </c>
      <c r="M1430" s="19">
        <f t="shared" si="704"/>
        <v>258</v>
      </c>
      <c r="N1430" s="27">
        <f t="shared" si="689"/>
        <v>42913</v>
      </c>
    </row>
    <row r="1431" spans="1:14" x14ac:dyDescent="0.25">
      <c r="A1431" s="15">
        <f t="shared" si="701"/>
        <v>5</v>
      </c>
      <c r="B1431" s="20">
        <f t="shared" ref="B1431:C1431" si="707">B1430+1</f>
        <v>1430</v>
      </c>
      <c r="C1431" s="17">
        <f t="shared" si="707"/>
        <v>56</v>
      </c>
      <c r="D1431" s="17" t="str">
        <f t="shared" si="678"/>
        <v>20170630</v>
      </c>
      <c r="E1431" s="20" t="str">
        <f t="shared" si="703"/>
        <v>20170630056</v>
      </c>
      <c r="F1431" s="19">
        <v>22</v>
      </c>
      <c r="G1431" s="19">
        <v>8</v>
      </c>
      <c r="H1431" s="19">
        <v>32</v>
      </c>
      <c r="I1431" s="19">
        <v>12</v>
      </c>
      <c r="J1431" s="19">
        <v>30</v>
      </c>
      <c r="K1431" s="19">
        <v>36</v>
      </c>
      <c r="L1431" s="19">
        <v>6</v>
      </c>
      <c r="M1431" s="19">
        <f t="shared" si="704"/>
        <v>146</v>
      </c>
      <c r="N1431" s="27">
        <f t="shared" si="691"/>
        <v>42916</v>
      </c>
    </row>
    <row r="1432" spans="1:14" x14ac:dyDescent="0.25">
      <c r="A1432" s="15">
        <f t="shared" ref="A1432:A1452" si="708">WEEKDAY(N1432,2)</f>
        <v>2</v>
      </c>
      <c r="B1432" s="20">
        <f t="shared" ref="B1432:C1432" si="709">B1431+1</f>
        <v>1431</v>
      </c>
      <c r="C1432" s="17">
        <f t="shared" si="709"/>
        <v>57</v>
      </c>
      <c r="D1432" s="17" t="str">
        <f t="shared" ref="D1432:D1452" si="710">CONCATENATE(TEXT(YEAR(N1432),"0000"),TEXT(MONTH(N1432),"00"),TEXT(DAY(N1432),"00"))</f>
        <v>20170704</v>
      </c>
      <c r="E1432" s="20" t="str">
        <f t="shared" ref="E1432:E1452" si="711">CONCATENATE(D1432,TEXT(C1432,"000"))</f>
        <v>20170704057</v>
      </c>
      <c r="F1432" s="19">
        <v>27</v>
      </c>
      <c r="G1432" s="19">
        <v>21</v>
      </c>
      <c r="H1432" s="19">
        <v>30</v>
      </c>
      <c r="I1432" s="19">
        <v>28</v>
      </c>
      <c r="J1432" s="19">
        <v>35</v>
      </c>
      <c r="K1432" s="19">
        <v>4</v>
      </c>
      <c r="L1432" s="19">
        <v>42</v>
      </c>
      <c r="M1432" s="19">
        <f t="shared" si="704"/>
        <v>187</v>
      </c>
      <c r="N1432" s="27">
        <f t="shared" si="689"/>
        <v>42920</v>
      </c>
    </row>
    <row r="1433" spans="1:14" x14ac:dyDescent="0.25">
      <c r="A1433" s="15">
        <f t="shared" si="708"/>
        <v>5</v>
      </c>
      <c r="B1433" s="20">
        <f t="shared" ref="B1433:C1433" si="712">B1432+1</f>
        <v>1432</v>
      </c>
      <c r="C1433" s="17">
        <f t="shared" si="712"/>
        <v>58</v>
      </c>
      <c r="D1433" s="17" t="str">
        <f t="shared" si="710"/>
        <v>20170707</v>
      </c>
      <c r="E1433" s="20" t="str">
        <f t="shared" si="711"/>
        <v>20170707058</v>
      </c>
      <c r="F1433" s="19">
        <v>18</v>
      </c>
      <c r="G1433" s="19">
        <v>49</v>
      </c>
      <c r="H1433" s="19">
        <v>30</v>
      </c>
      <c r="I1433" s="19">
        <v>42</v>
      </c>
      <c r="J1433" s="19">
        <v>40</v>
      </c>
      <c r="K1433" s="19">
        <v>44</v>
      </c>
      <c r="L1433" s="19">
        <v>8</v>
      </c>
      <c r="M1433" s="19">
        <f t="shared" si="704"/>
        <v>231</v>
      </c>
      <c r="N1433" s="27">
        <f t="shared" si="691"/>
        <v>42923</v>
      </c>
    </row>
    <row r="1434" spans="1:14" x14ac:dyDescent="0.25">
      <c r="A1434" s="15">
        <f t="shared" si="708"/>
        <v>2</v>
      </c>
      <c r="B1434" s="20">
        <f t="shared" ref="B1434:C1434" si="713">B1433+1</f>
        <v>1433</v>
      </c>
      <c r="C1434" s="17">
        <f t="shared" si="713"/>
        <v>59</v>
      </c>
      <c r="D1434" s="17" t="str">
        <f t="shared" si="710"/>
        <v>20170711</v>
      </c>
      <c r="E1434" s="20" t="str">
        <f t="shared" si="711"/>
        <v>20170711059</v>
      </c>
      <c r="F1434" s="19">
        <v>19</v>
      </c>
      <c r="G1434" s="19">
        <v>39</v>
      </c>
      <c r="H1434" s="19">
        <v>23</v>
      </c>
      <c r="I1434" s="19">
        <v>6</v>
      </c>
      <c r="J1434" s="19">
        <v>16</v>
      </c>
      <c r="K1434" s="19">
        <v>33</v>
      </c>
      <c r="L1434" s="19">
        <v>7</v>
      </c>
      <c r="M1434" s="19">
        <f t="shared" si="704"/>
        <v>143</v>
      </c>
      <c r="N1434" s="27">
        <f t="shared" si="689"/>
        <v>42927</v>
      </c>
    </row>
    <row r="1435" spans="1:14" x14ac:dyDescent="0.25">
      <c r="A1435" s="15">
        <f t="shared" si="708"/>
        <v>5</v>
      </c>
      <c r="B1435" s="20">
        <f t="shared" ref="B1435:C1435" si="714">B1434+1</f>
        <v>1434</v>
      </c>
      <c r="C1435" s="17">
        <f t="shared" si="714"/>
        <v>60</v>
      </c>
      <c r="D1435" s="17" t="str">
        <f t="shared" si="710"/>
        <v>20170714</v>
      </c>
      <c r="E1435" s="20" t="str">
        <f t="shared" si="711"/>
        <v>20170714060</v>
      </c>
      <c r="F1435" s="19">
        <v>18</v>
      </c>
      <c r="G1435" s="19">
        <v>19</v>
      </c>
      <c r="H1435" s="19">
        <v>25</v>
      </c>
      <c r="I1435" s="19">
        <v>32</v>
      </c>
      <c r="J1435" s="19">
        <v>16</v>
      </c>
      <c r="K1435" s="19">
        <v>26</v>
      </c>
      <c r="L1435" s="19">
        <v>22</v>
      </c>
      <c r="M1435" s="19">
        <f t="shared" si="704"/>
        <v>158</v>
      </c>
      <c r="N1435" s="27">
        <f t="shared" si="691"/>
        <v>42930</v>
      </c>
    </row>
    <row r="1436" spans="1:14" x14ac:dyDescent="0.25">
      <c r="A1436" s="15">
        <f t="shared" si="708"/>
        <v>2</v>
      </c>
      <c r="B1436" s="20">
        <f t="shared" ref="B1436:C1436" si="715">B1435+1</f>
        <v>1435</v>
      </c>
      <c r="C1436" s="17">
        <f t="shared" si="715"/>
        <v>61</v>
      </c>
      <c r="D1436" s="17" t="str">
        <f t="shared" si="710"/>
        <v>20170718</v>
      </c>
      <c r="E1436" s="20" t="str">
        <f t="shared" si="711"/>
        <v>20170718061</v>
      </c>
      <c r="F1436" s="19">
        <v>21</v>
      </c>
      <c r="G1436" s="19">
        <v>42</v>
      </c>
      <c r="H1436" s="19">
        <v>14</v>
      </c>
      <c r="I1436" s="19">
        <v>13</v>
      </c>
      <c r="J1436" s="19">
        <v>29</v>
      </c>
      <c r="K1436" s="19">
        <v>48</v>
      </c>
      <c r="L1436" s="19">
        <v>11</v>
      </c>
      <c r="M1436" s="19">
        <f t="shared" si="704"/>
        <v>178</v>
      </c>
      <c r="N1436" s="27">
        <f t="shared" si="689"/>
        <v>42934</v>
      </c>
    </row>
    <row r="1437" spans="1:14" x14ac:dyDescent="0.25">
      <c r="A1437" s="15">
        <f t="shared" si="708"/>
        <v>5</v>
      </c>
      <c r="B1437" s="20">
        <f t="shared" ref="B1437:C1437" si="716">B1436+1</f>
        <v>1436</v>
      </c>
      <c r="C1437" s="17">
        <f t="shared" si="716"/>
        <v>62</v>
      </c>
      <c r="D1437" s="17" t="str">
        <f t="shared" si="710"/>
        <v>20170721</v>
      </c>
      <c r="E1437" s="20" t="str">
        <f t="shared" si="711"/>
        <v>20170721062</v>
      </c>
      <c r="F1437" s="19">
        <v>42</v>
      </c>
      <c r="G1437" s="19">
        <v>24</v>
      </c>
      <c r="H1437" s="19">
        <v>12</v>
      </c>
      <c r="I1437" s="19">
        <v>32</v>
      </c>
      <c r="J1437" s="19">
        <v>47</v>
      </c>
      <c r="K1437" s="19">
        <v>2</v>
      </c>
      <c r="L1437" s="19">
        <v>29</v>
      </c>
      <c r="M1437" s="19">
        <f t="shared" si="704"/>
        <v>188</v>
      </c>
      <c r="N1437" s="27">
        <f t="shared" si="691"/>
        <v>42937</v>
      </c>
    </row>
    <row r="1438" spans="1:14" x14ac:dyDescent="0.25">
      <c r="A1438" s="15">
        <f t="shared" si="708"/>
        <v>2</v>
      </c>
      <c r="B1438" s="20">
        <f t="shared" ref="B1438:C1438" si="717">B1437+1</f>
        <v>1437</v>
      </c>
      <c r="C1438" s="17">
        <f t="shared" si="717"/>
        <v>63</v>
      </c>
      <c r="D1438" s="17" t="str">
        <f t="shared" si="710"/>
        <v>20170725</v>
      </c>
      <c r="E1438" s="20" t="str">
        <f t="shared" si="711"/>
        <v>20170725063</v>
      </c>
      <c r="F1438" s="19">
        <v>11</v>
      </c>
      <c r="G1438" s="19">
        <v>23</v>
      </c>
      <c r="H1438" s="19">
        <v>33</v>
      </c>
      <c r="I1438" s="19">
        <v>30</v>
      </c>
      <c r="J1438" s="19">
        <v>2</v>
      </c>
      <c r="K1438" s="19">
        <v>42</v>
      </c>
      <c r="L1438" s="19">
        <v>7</v>
      </c>
      <c r="M1438" s="19">
        <f t="shared" si="704"/>
        <v>148</v>
      </c>
      <c r="N1438" s="27">
        <f t="shared" si="689"/>
        <v>42941</v>
      </c>
    </row>
    <row r="1439" spans="1:14" x14ac:dyDescent="0.25">
      <c r="A1439" s="15">
        <f t="shared" si="708"/>
        <v>5</v>
      </c>
      <c r="B1439" s="20">
        <f t="shared" ref="B1439:C1439" si="718">B1438+1</f>
        <v>1438</v>
      </c>
      <c r="C1439" s="17">
        <f t="shared" si="718"/>
        <v>64</v>
      </c>
      <c r="D1439" s="17" t="str">
        <f t="shared" si="710"/>
        <v>20170728</v>
      </c>
      <c r="E1439" s="20" t="str">
        <f t="shared" si="711"/>
        <v>20170728064</v>
      </c>
      <c r="F1439" s="19">
        <v>11</v>
      </c>
      <c r="G1439" s="19">
        <v>22</v>
      </c>
      <c r="H1439" s="19">
        <v>13</v>
      </c>
      <c r="I1439" s="19">
        <v>39</v>
      </c>
      <c r="J1439" s="19">
        <v>18</v>
      </c>
      <c r="K1439" s="19">
        <v>38</v>
      </c>
      <c r="L1439" s="19">
        <v>3</v>
      </c>
      <c r="M1439" s="19">
        <f t="shared" si="704"/>
        <v>144</v>
      </c>
      <c r="N1439" s="27">
        <f t="shared" si="691"/>
        <v>42944</v>
      </c>
    </row>
    <row r="1440" spans="1:14" x14ac:dyDescent="0.25">
      <c r="A1440" s="15">
        <f t="shared" si="708"/>
        <v>2</v>
      </c>
      <c r="B1440" s="20">
        <f t="shared" ref="B1440:C1440" si="719">B1439+1</f>
        <v>1439</v>
      </c>
      <c r="C1440" s="17">
        <f t="shared" si="719"/>
        <v>65</v>
      </c>
      <c r="D1440" s="17" t="str">
        <f t="shared" si="710"/>
        <v>20170801</v>
      </c>
      <c r="E1440" s="20" t="str">
        <f t="shared" si="711"/>
        <v>20170801065</v>
      </c>
      <c r="F1440" s="19">
        <v>30</v>
      </c>
      <c r="G1440" s="19">
        <v>47</v>
      </c>
      <c r="H1440" s="19">
        <v>2</v>
      </c>
      <c r="I1440" s="19">
        <v>21</v>
      </c>
      <c r="J1440" s="19">
        <v>42</v>
      </c>
      <c r="K1440" s="19">
        <v>12</v>
      </c>
      <c r="L1440" s="19">
        <v>31</v>
      </c>
      <c r="M1440" s="19">
        <f t="shared" si="704"/>
        <v>185</v>
      </c>
      <c r="N1440" s="27">
        <f t="shared" si="689"/>
        <v>42948</v>
      </c>
    </row>
    <row r="1441" spans="1:14" x14ac:dyDescent="0.25">
      <c r="A1441" s="15">
        <f t="shared" si="708"/>
        <v>5</v>
      </c>
      <c r="B1441" s="20">
        <f t="shared" ref="B1441:C1441" si="720">B1440+1</f>
        <v>1440</v>
      </c>
      <c r="C1441" s="17">
        <f t="shared" si="720"/>
        <v>66</v>
      </c>
      <c r="D1441" s="17" t="str">
        <f t="shared" si="710"/>
        <v>20170804</v>
      </c>
      <c r="E1441" s="20" t="str">
        <f t="shared" si="711"/>
        <v>20170804066</v>
      </c>
      <c r="F1441" s="19">
        <v>16</v>
      </c>
      <c r="G1441" s="19">
        <v>45</v>
      </c>
      <c r="H1441" s="19">
        <v>15</v>
      </c>
      <c r="I1441" s="19">
        <v>26</v>
      </c>
      <c r="J1441" s="19">
        <v>27</v>
      </c>
      <c r="K1441" s="19">
        <v>39</v>
      </c>
      <c r="L1441" s="19">
        <v>37</v>
      </c>
      <c r="M1441" s="19">
        <f t="shared" si="704"/>
        <v>205</v>
      </c>
      <c r="N1441" s="27">
        <f t="shared" si="691"/>
        <v>42951</v>
      </c>
    </row>
    <row r="1442" spans="1:14" x14ac:dyDescent="0.25">
      <c r="A1442" s="15">
        <f t="shared" si="708"/>
        <v>2</v>
      </c>
      <c r="B1442" s="20">
        <f t="shared" ref="B1442:C1442" si="721">B1441+1</f>
        <v>1441</v>
      </c>
      <c r="C1442" s="17">
        <f t="shared" si="721"/>
        <v>67</v>
      </c>
      <c r="D1442" s="17" t="str">
        <f t="shared" si="710"/>
        <v>20170808</v>
      </c>
      <c r="E1442" s="20" t="str">
        <f t="shared" si="711"/>
        <v>20170808067</v>
      </c>
      <c r="F1442" s="19">
        <v>6</v>
      </c>
      <c r="G1442" s="19">
        <v>27</v>
      </c>
      <c r="H1442" s="19">
        <v>9</v>
      </c>
      <c r="I1442" s="19">
        <v>46</v>
      </c>
      <c r="J1442" s="19">
        <v>34</v>
      </c>
      <c r="K1442" s="19">
        <v>23</v>
      </c>
      <c r="L1442" s="19">
        <v>20</v>
      </c>
      <c r="M1442" s="19">
        <f t="shared" si="704"/>
        <v>165</v>
      </c>
      <c r="N1442" s="27">
        <f t="shared" si="689"/>
        <v>42955</v>
      </c>
    </row>
    <row r="1443" spans="1:14" x14ac:dyDescent="0.25">
      <c r="A1443" s="15">
        <f t="shared" si="708"/>
        <v>5</v>
      </c>
      <c r="B1443" s="20">
        <f t="shared" ref="B1443:C1443" si="722">B1442+1</f>
        <v>1442</v>
      </c>
      <c r="C1443" s="17">
        <f t="shared" si="722"/>
        <v>68</v>
      </c>
      <c r="D1443" s="17" t="str">
        <f t="shared" si="710"/>
        <v>20170811</v>
      </c>
      <c r="E1443" s="20" t="str">
        <f t="shared" si="711"/>
        <v>20170811068</v>
      </c>
      <c r="F1443" s="19">
        <v>18</v>
      </c>
      <c r="G1443" s="19">
        <v>37</v>
      </c>
      <c r="H1443" s="19">
        <v>9</v>
      </c>
      <c r="I1443" s="19">
        <v>8</v>
      </c>
      <c r="J1443" s="19">
        <v>27</v>
      </c>
      <c r="K1443" s="19">
        <v>2</v>
      </c>
      <c r="L1443" s="19">
        <v>33</v>
      </c>
      <c r="M1443" s="19">
        <f t="shared" si="704"/>
        <v>134</v>
      </c>
      <c r="N1443" s="27">
        <f t="shared" si="691"/>
        <v>42958</v>
      </c>
    </row>
    <row r="1444" spans="1:14" x14ac:dyDescent="0.25">
      <c r="A1444" s="15">
        <f t="shared" si="708"/>
        <v>2</v>
      </c>
      <c r="B1444" s="20">
        <f t="shared" ref="B1444:C1444" si="723">B1443+1</f>
        <v>1443</v>
      </c>
      <c r="C1444" s="17">
        <f t="shared" si="723"/>
        <v>69</v>
      </c>
      <c r="D1444" s="17" t="str">
        <f t="shared" si="710"/>
        <v>20170815</v>
      </c>
      <c r="E1444" s="20" t="str">
        <f t="shared" si="711"/>
        <v>20170815069</v>
      </c>
      <c r="F1444" s="19">
        <v>27</v>
      </c>
      <c r="G1444" s="19">
        <v>28</v>
      </c>
      <c r="H1444" s="19">
        <v>33</v>
      </c>
      <c r="I1444" s="19">
        <v>13</v>
      </c>
      <c r="J1444" s="19">
        <v>42</v>
      </c>
      <c r="K1444" s="19">
        <v>16</v>
      </c>
      <c r="L1444" s="19">
        <v>11</v>
      </c>
      <c r="M1444" s="19">
        <f t="shared" si="704"/>
        <v>170</v>
      </c>
      <c r="N1444" s="27">
        <f t="shared" si="689"/>
        <v>42962</v>
      </c>
    </row>
    <row r="1445" spans="1:14" x14ac:dyDescent="0.25">
      <c r="A1445" s="15">
        <f t="shared" si="708"/>
        <v>5</v>
      </c>
      <c r="B1445" s="20">
        <f t="shared" ref="B1445:C1445" si="724">B1444+1</f>
        <v>1444</v>
      </c>
      <c r="C1445" s="17">
        <f t="shared" si="724"/>
        <v>70</v>
      </c>
      <c r="D1445" s="17" t="str">
        <f t="shared" si="710"/>
        <v>20170818</v>
      </c>
      <c r="E1445" s="20" t="str">
        <f t="shared" si="711"/>
        <v>20170818070</v>
      </c>
      <c r="F1445" s="19">
        <v>10</v>
      </c>
      <c r="G1445" s="19">
        <v>7</v>
      </c>
      <c r="H1445" s="19">
        <v>12</v>
      </c>
      <c r="I1445" s="19">
        <v>38</v>
      </c>
      <c r="J1445" s="19">
        <v>47</v>
      </c>
      <c r="K1445" s="19">
        <v>35</v>
      </c>
      <c r="L1445" s="19">
        <v>23</v>
      </c>
      <c r="M1445" s="19">
        <f t="shared" si="704"/>
        <v>172</v>
      </c>
      <c r="N1445" s="27">
        <f t="shared" si="691"/>
        <v>42965</v>
      </c>
    </row>
    <row r="1446" spans="1:14" x14ac:dyDescent="0.25">
      <c r="A1446" s="15">
        <f t="shared" si="708"/>
        <v>2</v>
      </c>
      <c r="B1446" s="20">
        <f t="shared" ref="B1446:C1446" si="725">B1445+1</f>
        <v>1445</v>
      </c>
      <c r="C1446" s="17">
        <f t="shared" si="725"/>
        <v>71</v>
      </c>
      <c r="D1446" s="17" t="str">
        <f t="shared" si="710"/>
        <v>20170822</v>
      </c>
      <c r="E1446" s="20" t="str">
        <f t="shared" si="711"/>
        <v>20170822071</v>
      </c>
      <c r="F1446" s="19">
        <v>10</v>
      </c>
      <c r="G1446" s="19">
        <v>13</v>
      </c>
      <c r="H1446" s="19">
        <v>36</v>
      </c>
      <c r="I1446" s="19">
        <v>4</v>
      </c>
      <c r="J1446" s="19">
        <v>45</v>
      </c>
      <c r="K1446" s="19">
        <v>44</v>
      </c>
      <c r="L1446" s="19">
        <v>5</v>
      </c>
      <c r="M1446" s="19">
        <f t="shared" si="704"/>
        <v>157</v>
      </c>
      <c r="N1446" s="27">
        <f t="shared" si="689"/>
        <v>42969</v>
      </c>
    </row>
    <row r="1447" spans="1:14" x14ac:dyDescent="0.25">
      <c r="A1447" s="15">
        <f t="shared" si="708"/>
        <v>5</v>
      </c>
      <c r="B1447" s="20">
        <f t="shared" ref="B1447:C1447" si="726">B1446+1</f>
        <v>1446</v>
      </c>
      <c r="C1447" s="17">
        <f t="shared" si="726"/>
        <v>72</v>
      </c>
      <c r="D1447" s="17" t="str">
        <f t="shared" si="710"/>
        <v>20170825</v>
      </c>
      <c r="E1447" s="20" t="str">
        <f t="shared" si="711"/>
        <v>20170825072</v>
      </c>
      <c r="F1447" s="19">
        <v>31</v>
      </c>
      <c r="G1447" s="19">
        <v>1</v>
      </c>
      <c r="H1447" s="19">
        <v>4</v>
      </c>
      <c r="I1447" s="19">
        <v>24</v>
      </c>
      <c r="J1447" s="19">
        <v>19</v>
      </c>
      <c r="K1447" s="19">
        <v>28</v>
      </c>
      <c r="L1447" s="19">
        <v>49</v>
      </c>
      <c r="M1447" s="19">
        <f t="shared" si="704"/>
        <v>156</v>
      </c>
      <c r="N1447" s="27">
        <f t="shared" si="691"/>
        <v>42972</v>
      </c>
    </row>
    <row r="1448" spans="1:14" x14ac:dyDescent="0.25">
      <c r="A1448" s="15">
        <f t="shared" si="708"/>
        <v>2</v>
      </c>
      <c r="B1448" s="20">
        <f t="shared" ref="B1448:C1448" si="727">B1447+1</f>
        <v>1447</v>
      </c>
      <c r="C1448" s="17">
        <f t="shared" si="727"/>
        <v>73</v>
      </c>
      <c r="D1448" s="17" t="str">
        <f t="shared" si="710"/>
        <v>20170829</v>
      </c>
      <c r="E1448" s="20" t="str">
        <f t="shared" si="711"/>
        <v>20170829073</v>
      </c>
      <c r="F1448" s="19">
        <v>31</v>
      </c>
      <c r="G1448" s="19">
        <v>25</v>
      </c>
      <c r="H1448" s="19">
        <v>49</v>
      </c>
      <c r="I1448" s="19">
        <v>18</v>
      </c>
      <c r="J1448" s="19">
        <v>5</v>
      </c>
      <c r="K1448" s="19">
        <v>48</v>
      </c>
      <c r="L1448" s="19">
        <v>44</v>
      </c>
      <c r="M1448" s="19">
        <f t="shared" si="704"/>
        <v>220</v>
      </c>
      <c r="N1448" s="27">
        <f t="shared" si="689"/>
        <v>42976</v>
      </c>
    </row>
    <row r="1449" spans="1:14" x14ac:dyDescent="0.25">
      <c r="A1449" s="15">
        <f t="shared" si="708"/>
        <v>5</v>
      </c>
      <c r="B1449" s="20">
        <f t="shared" ref="B1449:C1449" si="728">B1448+1</f>
        <v>1448</v>
      </c>
      <c r="C1449" s="17">
        <f t="shared" si="728"/>
        <v>74</v>
      </c>
      <c r="D1449" s="17" t="str">
        <f t="shared" si="710"/>
        <v>20170901</v>
      </c>
      <c r="E1449" s="20" t="str">
        <f t="shared" si="711"/>
        <v>20170901074</v>
      </c>
      <c r="F1449" s="19">
        <v>11</v>
      </c>
      <c r="G1449" s="19">
        <v>14</v>
      </c>
      <c r="H1449" s="19">
        <v>36</v>
      </c>
      <c r="I1449" s="19">
        <v>16</v>
      </c>
      <c r="J1449" s="19">
        <v>40</v>
      </c>
      <c r="K1449" s="19">
        <v>5</v>
      </c>
      <c r="L1449" s="19">
        <v>46</v>
      </c>
      <c r="M1449" s="19">
        <f t="shared" si="704"/>
        <v>168</v>
      </c>
      <c r="N1449" s="27">
        <f t="shared" si="691"/>
        <v>42979</v>
      </c>
    </row>
    <row r="1450" spans="1:14" x14ac:dyDescent="0.25">
      <c r="A1450" s="15">
        <f t="shared" si="708"/>
        <v>2</v>
      </c>
      <c r="B1450" s="20">
        <f t="shared" ref="B1450:C1450" si="729">B1449+1</f>
        <v>1449</v>
      </c>
      <c r="C1450" s="17">
        <f t="shared" si="729"/>
        <v>75</v>
      </c>
      <c r="D1450" s="17" t="str">
        <f t="shared" si="710"/>
        <v>20170905</v>
      </c>
      <c r="E1450" s="20" t="str">
        <f t="shared" si="711"/>
        <v>20170905075</v>
      </c>
      <c r="F1450" s="19">
        <v>33</v>
      </c>
      <c r="G1450" s="19">
        <v>27</v>
      </c>
      <c r="H1450" s="19">
        <v>23</v>
      </c>
      <c r="I1450" s="19">
        <v>13</v>
      </c>
      <c r="J1450" s="19">
        <v>17</v>
      </c>
      <c r="K1450" s="19">
        <v>41</v>
      </c>
      <c r="L1450" s="19">
        <v>2</v>
      </c>
      <c r="M1450" s="19">
        <f t="shared" si="704"/>
        <v>156</v>
      </c>
      <c r="N1450" s="27">
        <f t="shared" si="689"/>
        <v>42983</v>
      </c>
    </row>
    <row r="1451" spans="1:14" x14ac:dyDescent="0.25">
      <c r="A1451" s="15">
        <f t="shared" si="708"/>
        <v>5</v>
      </c>
      <c r="B1451" s="20">
        <f t="shared" ref="B1451:C1451" si="730">B1450+1</f>
        <v>1450</v>
      </c>
      <c r="C1451" s="17">
        <f t="shared" si="730"/>
        <v>76</v>
      </c>
      <c r="D1451" s="17" t="str">
        <f t="shared" si="710"/>
        <v>20170908</v>
      </c>
      <c r="E1451" s="20" t="str">
        <f t="shared" si="711"/>
        <v>20170908076</v>
      </c>
      <c r="F1451" s="19">
        <v>13</v>
      </c>
      <c r="G1451" s="19">
        <v>19</v>
      </c>
      <c r="H1451" s="19">
        <v>29</v>
      </c>
      <c r="I1451" s="19">
        <v>15</v>
      </c>
      <c r="J1451" s="19">
        <v>42</v>
      </c>
      <c r="K1451" s="19">
        <v>8</v>
      </c>
      <c r="L1451" s="19">
        <v>25</v>
      </c>
      <c r="M1451" s="19">
        <f t="shared" si="704"/>
        <v>151</v>
      </c>
      <c r="N1451" s="27">
        <f t="shared" si="691"/>
        <v>42986</v>
      </c>
    </row>
    <row r="1452" spans="1:14" x14ac:dyDescent="0.25">
      <c r="A1452" s="15">
        <f t="shared" si="708"/>
        <v>2</v>
      </c>
      <c r="B1452" s="20">
        <f t="shared" ref="B1452:C1453" si="731">B1451+1</f>
        <v>1451</v>
      </c>
      <c r="C1452" s="17">
        <f t="shared" si="731"/>
        <v>77</v>
      </c>
      <c r="D1452" s="17" t="str">
        <f t="shared" si="710"/>
        <v>20170912</v>
      </c>
      <c r="E1452" s="20" t="str">
        <f t="shared" si="711"/>
        <v>20170912077</v>
      </c>
      <c r="M1452" s="19">
        <f t="shared" si="704"/>
        <v>0</v>
      </c>
      <c r="N1452" s="27">
        <f t="shared" si="689"/>
        <v>42990</v>
      </c>
    </row>
    <row r="1453" spans="1:14" x14ac:dyDescent="0.25">
      <c r="A1453" s="15">
        <f t="shared" ref="A1453" si="732">WEEKDAY(N1453,2)</f>
        <v>5</v>
      </c>
      <c r="B1453" s="20">
        <f t="shared" si="731"/>
        <v>1452</v>
      </c>
      <c r="C1453" s="17">
        <f t="shared" si="731"/>
        <v>78</v>
      </c>
      <c r="D1453" s="17" t="str">
        <f t="shared" ref="D1453" si="733">CONCATENATE(TEXT(YEAR(N1453),"0000"),TEXT(MONTH(N1453),"00"),TEXT(DAY(N1453),"00"))</f>
        <v>20170915</v>
      </c>
      <c r="E1453" s="20" t="str">
        <f t="shared" ref="E1453" si="734">CONCATENATE(D1453,TEXT(C1453,"000"))</f>
        <v>20170915078</v>
      </c>
      <c r="M1453" s="19">
        <f t="shared" si="704"/>
        <v>0</v>
      </c>
      <c r="N1453" s="27">
        <f t="shared" si="691"/>
        <v>42993</v>
      </c>
    </row>
    <row r="1454" spans="1:14" x14ac:dyDescent="0.25">
      <c r="A1454" s="15">
        <f t="shared" ref="A1454:A1465" si="735">WEEKDAY(N1454,2)</f>
        <v>2</v>
      </c>
      <c r="B1454" s="20">
        <f t="shared" ref="B1454:C1454" si="736">B1453+1</f>
        <v>1453</v>
      </c>
      <c r="C1454" s="17">
        <f t="shared" si="736"/>
        <v>79</v>
      </c>
      <c r="D1454" s="17" t="str">
        <f t="shared" ref="D1454:D1465" si="737">CONCATENATE(TEXT(YEAR(N1454),"0000"),TEXT(MONTH(N1454),"00"),TEXT(DAY(N1454),"00"))</f>
        <v>20170919</v>
      </c>
      <c r="E1454" s="20" t="str">
        <f t="shared" ref="E1454:E1465" si="738">CONCATENATE(D1454,TEXT(C1454,"000"))</f>
        <v>20170919079</v>
      </c>
      <c r="M1454" s="19">
        <f t="shared" ref="M1454:M1465" si="739">SUM(F1454:L1454)</f>
        <v>0</v>
      </c>
      <c r="N1454" s="27">
        <f t="shared" si="689"/>
        <v>42997</v>
      </c>
    </row>
    <row r="1455" spans="1:14" x14ac:dyDescent="0.25">
      <c r="A1455" s="15">
        <f t="shared" si="735"/>
        <v>5</v>
      </c>
      <c r="B1455" s="20">
        <f t="shared" ref="B1455:C1455" si="740">B1454+1</f>
        <v>1454</v>
      </c>
      <c r="C1455" s="17">
        <f t="shared" si="740"/>
        <v>80</v>
      </c>
      <c r="D1455" s="17" t="str">
        <f t="shared" si="737"/>
        <v>20170922</v>
      </c>
      <c r="E1455" s="20" t="str">
        <f t="shared" si="738"/>
        <v>20170922080</v>
      </c>
      <c r="M1455" s="19">
        <f t="shared" si="739"/>
        <v>0</v>
      </c>
      <c r="N1455" s="27">
        <f t="shared" si="691"/>
        <v>43000</v>
      </c>
    </row>
    <row r="1456" spans="1:14" x14ac:dyDescent="0.25">
      <c r="A1456" s="15">
        <f t="shared" si="735"/>
        <v>2</v>
      </c>
      <c r="B1456" s="20">
        <f t="shared" ref="B1456:C1456" si="741">B1455+1</f>
        <v>1455</v>
      </c>
      <c r="C1456" s="17">
        <f t="shared" si="741"/>
        <v>81</v>
      </c>
      <c r="D1456" s="17" t="str">
        <f t="shared" si="737"/>
        <v>20170926</v>
      </c>
      <c r="E1456" s="20" t="str">
        <f t="shared" si="738"/>
        <v>20170926081</v>
      </c>
      <c r="M1456" s="19">
        <f t="shared" si="739"/>
        <v>0</v>
      </c>
      <c r="N1456" s="27">
        <f t="shared" si="689"/>
        <v>43004</v>
      </c>
    </row>
    <row r="1457" spans="1:14" x14ac:dyDescent="0.25">
      <c r="A1457" s="15">
        <f t="shared" si="735"/>
        <v>5</v>
      </c>
      <c r="B1457" s="20">
        <f t="shared" ref="B1457:C1457" si="742">B1456+1</f>
        <v>1456</v>
      </c>
      <c r="C1457" s="17">
        <f t="shared" si="742"/>
        <v>82</v>
      </c>
      <c r="D1457" s="17" t="str">
        <f t="shared" si="737"/>
        <v>20170929</v>
      </c>
      <c r="E1457" s="20" t="str">
        <f t="shared" si="738"/>
        <v>20170929082</v>
      </c>
      <c r="M1457" s="19">
        <f t="shared" si="739"/>
        <v>0</v>
      </c>
      <c r="N1457" s="27">
        <f t="shared" si="691"/>
        <v>43007</v>
      </c>
    </row>
    <row r="1458" spans="1:14" x14ac:dyDescent="0.25">
      <c r="A1458" s="15">
        <f t="shared" si="735"/>
        <v>2</v>
      </c>
      <c r="B1458" s="20">
        <f t="shared" ref="B1458:C1458" si="743">B1457+1</f>
        <v>1457</v>
      </c>
      <c r="C1458" s="17">
        <f t="shared" si="743"/>
        <v>83</v>
      </c>
      <c r="D1458" s="17" t="str">
        <f t="shared" si="737"/>
        <v>20171003</v>
      </c>
      <c r="E1458" s="20" t="str">
        <f t="shared" si="738"/>
        <v>20171003083</v>
      </c>
      <c r="M1458" s="19">
        <f t="shared" si="739"/>
        <v>0</v>
      </c>
      <c r="N1458" s="27">
        <f t="shared" si="689"/>
        <v>43011</v>
      </c>
    </row>
    <row r="1459" spans="1:14" x14ac:dyDescent="0.25">
      <c r="A1459" s="15">
        <f t="shared" si="735"/>
        <v>5</v>
      </c>
      <c r="B1459" s="20">
        <f t="shared" ref="B1459:C1459" si="744">B1458+1</f>
        <v>1458</v>
      </c>
      <c r="C1459" s="17">
        <f t="shared" si="744"/>
        <v>84</v>
      </c>
      <c r="D1459" s="17" t="str">
        <f t="shared" si="737"/>
        <v>20171006</v>
      </c>
      <c r="E1459" s="20" t="str">
        <f t="shared" si="738"/>
        <v>20171006084</v>
      </c>
      <c r="M1459" s="19">
        <f t="shared" si="739"/>
        <v>0</v>
      </c>
      <c r="N1459" s="27">
        <f t="shared" si="691"/>
        <v>43014</v>
      </c>
    </row>
    <row r="1460" spans="1:14" x14ac:dyDescent="0.25">
      <c r="A1460" s="15">
        <f t="shared" si="735"/>
        <v>2</v>
      </c>
      <c r="B1460" s="20">
        <f t="shared" ref="B1460:C1460" si="745">B1459+1</f>
        <v>1459</v>
      </c>
      <c r="C1460" s="17">
        <f t="shared" si="745"/>
        <v>85</v>
      </c>
      <c r="D1460" s="17" t="str">
        <f t="shared" si="737"/>
        <v>20171010</v>
      </c>
      <c r="E1460" s="20" t="str">
        <f t="shared" si="738"/>
        <v>20171010085</v>
      </c>
      <c r="M1460" s="19">
        <f t="shared" si="739"/>
        <v>0</v>
      </c>
      <c r="N1460" s="27">
        <f t="shared" si="689"/>
        <v>43018</v>
      </c>
    </row>
    <row r="1461" spans="1:14" x14ac:dyDescent="0.25">
      <c r="A1461" s="15">
        <f t="shared" si="735"/>
        <v>5</v>
      </c>
      <c r="B1461" s="20">
        <f t="shared" ref="B1461:C1461" si="746">B1460+1</f>
        <v>1460</v>
      </c>
      <c r="C1461" s="17">
        <f t="shared" si="746"/>
        <v>86</v>
      </c>
      <c r="D1461" s="17" t="str">
        <f t="shared" si="737"/>
        <v>20171013</v>
      </c>
      <c r="E1461" s="20" t="str">
        <f t="shared" si="738"/>
        <v>20171013086</v>
      </c>
      <c r="M1461" s="19">
        <f t="shared" si="739"/>
        <v>0</v>
      </c>
      <c r="N1461" s="27">
        <f t="shared" si="691"/>
        <v>43021</v>
      </c>
    </row>
    <row r="1462" spans="1:14" x14ac:dyDescent="0.25">
      <c r="A1462" s="15">
        <f t="shared" si="735"/>
        <v>2</v>
      </c>
      <c r="B1462" s="20">
        <f t="shared" ref="B1462:C1462" si="747">B1461+1</f>
        <v>1461</v>
      </c>
      <c r="C1462" s="17">
        <f t="shared" si="747"/>
        <v>87</v>
      </c>
      <c r="D1462" s="17" t="str">
        <f t="shared" si="737"/>
        <v>20171017</v>
      </c>
      <c r="E1462" s="20" t="str">
        <f t="shared" si="738"/>
        <v>20171017087</v>
      </c>
      <c r="M1462" s="19">
        <f t="shared" si="739"/>
        <v>0</v>
      </c>
      <c r="N1462" s="27">
        <f t="shared" si="689"/>
        <v>43025</v>
      </c>
    </row>
    <row r="1463" spans="1:14" x14ac:dyDescent="0.25">
      <c r="A1463" s="15">
        <f t="shared" si="735"/>
        <v>5</v>
      </c>
      <c r="B1463" s="20">
        <f t="shared" ref="B1463:C1463" si="748">B1462+1</f>
        <v>1462</v>
      </c>
      <c r="C1463" s="17">
        <f t="shared" si="748"/>
        <v>88</v>
      </c>
      <c r="D1463" s="17" t="str">
        <f t="shared" si="737"/>
        <v>20171020</v>
      </c>
      <c r="E1463" s="20" t="str">
        <f t="shared" si="738"/>
        <v>20171020088</v>
      </c>
      <c r="M1463" s="19">
        <f t="shared" si="739"/>
        <v>0</v>
      </c>
      <c r="N1463" s="27">
        <f t="shared" si="691"/>
        <v>43028</v>
      </c>
    </row>
    <row r="1464" spans="1:14" x14ac:dyDescent="0.25">
      <c r="A1464" s="15">
        <f t="shared" si="735"/>
        <v>2</v>
      </c>
      <c r="B1464" s="20">
        <f t="shared" ref="B1464:C1464" si="749">B1463+1</f>
        <v>1463</v>
      </c>
      <c r="C1464" s="17">
        <f t="shared" si="749"/>
        <v>89</v>
      </c>
      <c r="D1464" s="17" t="str">
        <f t="shared" si="737"/>
        <v>20171024</v>
      </c>
      <c r="E1464" s="20" t="str">
        <f t="shared" si="738"/>
        <v>20171024089</v>
      </c>
      <c r="M1464" s="19">
        <f t="shared" si="739"/>
        <v>0</v>
      </c>
      <c r="N1464" s="27">
        <f t="shared" si="689"/>
        <v>43032</v>
      </c>
    </row>
    <row r="1465" spans="1:14" x14ac:dyDescent="0.25">
      <c r="A1465" s="15">
        <f t="shared" si="735"/>
        <v>5</v>
      </c>
      <c r="B1465" s="20">
        <f t="shared" ref="B1465:C1465" si="750">B1464+1</f>
        <v>1464</v>
      </c>
      <c r="C1465" s="17">
        <f t="shared" si="750"/>
        <v>90</v>
      </c>
      <c r="D1465" s="17" t="str">
        <f t="shared" si="737"/>
        <v>20171027</v>
      </c>
      <c r="E1465" s="20" t="str">
        <f t="shared" si="738"/>
        <v>20171027090</v>
      </c>
      <c r="M1465" s="19">
        <f t="shared" si="739"/>
        <v>0</v>
      </c>
      <c r="N1465" s="27">
        <f t="shared" si="691"/>
        <v>43035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11"/>
  <sheetViews>
    <sheetView topLeftCell="A55" zoomScale="145" zoomScaleNormal="145" workbookViewId="0">
      <selection activeCell="D74" sqref="D74:J76"/>
    </sheetView>
  </sheetViews>
  <sheetFormatPr defaultRowHeight="16.5" x14ac:dyDescent="0.25"/>
  <cols>
    <col min="1" max="1" width="6.375" bestFit="1" customWidth="1"/>
    <col min="2" max="2" width="8.5" bestFit="1" customWidth="1"/>
    <col min="3" max="3" width="5.25" bestFit="1" customWidth="1"/>
    <col min="4" max="4" width="4" bestFit="1" customWidth="1"/>
    <col min="5" max="9" width="4.125" bestFit="1" customWidth="1"/>
    <col min="10" max="10" width="4" bestFit="1" customWidth="1"/>
    <col min="11" max="11" width="6.375" bestFit="1" customWidth="1"/>
    <col min="12" max="12" width="11.875" bestFit="1" customWidth="1"/>
    <col min="13" max="13" width="8.875" bestFit="1" customWidth="1"/>
  </cols>
  <sheetData>
    <row r="1" spans="1:13" x14ac:dyDescent="0.25">
      <c r="A1" s="4">
        <v>2017</v>
      </c>
      <c r="B1" s="7">
        <v>42738</v>
      </c>
      <c r="C1" s="2">
        <v>1</v>
      </c>
      <c r="D1" s="3">
        <v>18</v>
      </c>
      <c r="E1" s="3">
        <v>41</v>
      </c>
      <c r="F1" s="3">
        <v>47</v>
      </c>
      <c r="G1" s="3">
        <v>49</v>
      </c>
      <c r="H1" s="3">
        <v>22</v>
      </c>
      <c r="I1" s="3">
        <v>42</v>
      </c>
      <c r="J1" s="4">
        <v>45</v>
      </c>
      <c r="K1" s="5">
        <v>1375</v>
      </c>
      <c r="L1" t="str">
        <f t="shared" ref="L1:L64" si="0">CONCATENATE(TEXT(A1,"0000"),TEXT(B1,"mmdd"),TEXT(C1,"000"))</f>
        <v>20170103001</v>
      </c>
      <c r="M1" t="str">
        <f t="shared" ref="M1:M64" si="1">CONCATENATE(TEXT(A1,"0000"),TEXT(B1,"mmdd"))</f>
        <v>20170103</v>
      </c>
    </row>
    <row r="2" spans="1:13" x14ac:dyDescent="0.25">
      <c r="A2" s="4">
        <v>2017</v>
      </c>
      <c r="B2" s="7">
        <v>42741</v>
      </c>
      <c r="C2" s="2">
        <v>2</v>
      </c>
      <c r="D2" s="3">
        <v>35</v>
      </c>
      <c r="E2" s="3">
        <v>32</v>
      </c>
      <c r="F2" s="3">
        <v>12</v>
      </c>
      <c r="G2" s="3">
        <v>40</v>
      </c>
      <c r="H2" s="3">
        <v>14</v>
      </c>
      <c r="I2" s="3">
        <v>43</v>
      </c>
      <c r="J2" s="4">
        <v>17</v>
      </c>
      <c r="K2" s="5">
        <v>1376</v>
      </c>
      <c r="L2" t="str">
        <f t="shared" si="0"/>
        <v>20170106002</v>
      </c>
      <c r="M2" t="str">
        <f t="shared" si="1"/>
        <v>20170106</v>
      </c>
    </row>
    <row r="3" spans="1:13" x14ac:dyDescent="0.25">
      <c r="A3" s="4">
        <v>2017</v>
      </c>
      <c r="B3" s="7">
        <v>42745</v>
      </c>
      <c r="C3" s="2">
        <v>3</v>
      </c>
      <c r="D3" s="3">
        <v>37</v>
      </c>
      <c r="E3" s="3">
        <v>14</v>
      </c>
      <c r="F3" s="3">
        <v>4</v>
      </c>
      <c r="G3" s="3">
        <v>46</v>
      </c>
      <c r="H3" s="3">
        <v>13</v>
      </c>
      <c r="I3" s="3">
        <v>39</v>
      </c>
      <c r="J3" s="4">
        <v>31</v>
      </c>
      <c r="K3" s="5">
        <v>1377</v>
      </c>
      <c r="L3" t="str">
        <f t="shared" si="0"/>
        <v>20170110003</v>
      </c>
      <c r="M3" t="str">
        <f t="shared" si="1"/>
        <v>20170110</v>
      </c>
    </row>
    <row r="4" spans="1:13" x14ac:dyDescent="0.25">
      <c r="A4" s="4">
        <v>2017</v>
      </c>
      <c r="B4" s="7">
        <v>42748</v>
      </c>
      <c r="C4" s="2">
        <v>4</v>
      </c>
      <c r="D4" s="3">
        <v>19</v>
      </c>
      <c r="E4" s="3">
        <v>25</v>
      </c>
      <c r="F4" s="3">
        <v>27</v>
      </c>
      <c r="G4" s="3">
        <v>21</v>
      </c>
      <c r="H4" s="3">
        <v>38</v>
      </c>
      <c r="I4" s="3">
        <v>14</v>
      </c>
      <c r="J4" s="4">
        <v>22</v>
      </c>
      <c r="K4" s="5">
        <v>1378</v>
      </c>
      <c r="L4" t="str">
        <f t="shared" si="0"/>
        <v>20170113004</v>
      </c>
      <c r="M4" t="str">
        <f t="shared" si="1"/>
        <v>20170113</v>
      </c>
    </row>
    <row r="5" spans="1:13" x14ac:dyDescent="0.25">
      <c r="A5" s="4">
        <v>2017</v>
      </c>
      <c r="B5" s="7">
        <v>42752</v>
      </c>
      <c r="C5" s="2">
        <v>5</v>
      </c>
      <c r="D5" s="3">
        <v>40</v>
      </c>
      <c r="E5" s="3">
        <v>28</v>
      </c>
      <c r="F5" s="3">
        <v>12</v>
      </c>
      <c r="G5" s="3">
        <v>4</v>
      </c>
      <c r="H5" s="3">
        <v>34</v>
      </c>
      <c r="I5" s="3">
        <v>17</v>
      </c>
      <c r="J5" s="4">
        <v>7</v>
      </c>
      <c r="K5" s="5">
        <v>1379</v>
      </c>
      <c r="L5" t="str">
        <f t="shared" si="0"/>
        <v>20170117005</v>
      </c>
      <c r="M5" t="str">
        <f t="shared" si="1"/>
        <v>20170117</v>
      </c>
    </row>
    <row r="6" spans="1:13" x14ac:dyDescent="0.25">
      <c r="A6" s="4">
        <v>2017</v>
      </c>
      <c r="B6" s="7">
        <v>42755</v>
      </c>
      <c r="C6" s="2">
        <v>6</v>
      </c>
      <c r="D6" s="3">
        <v>1</v>
      </c>
      <c r="E6" s="3">
        <v>16</v>
      </c>
      <c r="F6" s="3">
        <v>5</v>
      </c>
      <c r="G6" s="3">
        <v>31</v>
      </c>
      <c r="H6" s="3">
        <v>41</v>
      </c>
      <c r="I6" s="3">
        <v>18</v>
      </c>
      <c r="J6" s="4">
        <v>13</v>
      </c>
      <c r="K6" s="5">
        <v>1380</v>
      </c>
      <c r="L6" t="str">
        <f t="shared" si="0"/>
        <v>20170120006</v>
      </c>
      <c r="M6" t="str">
        <f t="shared" si="1"/>
        <v>20170120</v>
      </c>
    </row>
    <row r="7" spans="1:13" x14ac:dyDescent="0.25">
      <c r="A7" s="4">
        <v>2017</v>
      </c>
      <c r="B7" s="7">
        <v>42759</v>
      </c>
      <c r="C7" s="2">
        <v>7</v>
      </c>
      <c r="D7" s="3">
        <v>33</v>
      </c>
      <c r="E7" s="3">
        <v>9</v>
      </c>
      <c r="F7" s="3">
        <v>48</v>
      </c>
      <c r="G7" s="3">
        <v>1</v>
      </c>
      <c r="H7" s="3">
        <v>17</v>
      </c>
      <c r="I7" s="3">
        <v>31</v>
      </c>
      <c r="J7" s="4">
        <v>49</v>
      </c>
      <c r="K7" s="5">
        <v>1381</v>
      </c>
      <c r="L7" t="str">
        <f t="shared" si="0"/>
        <v>20170124007</v>
      </c>
      <c r="M7" t="str">
        <f t="shared" si="1"/>
        <v>20170124</v>
      </c>
    </row>
    <row r="8" spans="1:13" x14ac:dyDescent="0.25">
      <c r="A8" s="4">
        <v>2017</v>
      </c>
      <c r="B8" s="7">
        <v>42762</v>
      </c>
      <c r="C8" s="2">
        <v>8</v>
      </c>
      <c r="D8" s="3">
        <v>1</v>
      </c>
      <c r="E8" s="3">
        <v>5</v>
      </c>
      <c r="F8" s="3">
        <v>49</v>
      </c>
      <c r="G8" s="3">
        <v>7</v>
      </c>
      <c r="H8" s="3">
        <v>35</v>
      </c>
      <c r="I8" s="3">
        <v>31</v>
      </c>
      <c r="J8" s="4">
        <v>42</v>
      </c>
      <c r="K8" s="5">
        <v>1382</v>
      </c>
      <c r="L8" t="str">
        <f t="shared" si="0"/>
        <v>20170127008</v>
      </c>
      <c r="M8" t="str">
        <f t="shared" si="1"/>
        <v>20170127</v>
      </c>
    </row>
    <row r="9" spans="1:13" x14ac:dyDescent="0.25">
      <c r="A9" s="23">
        <v>2017</v>
      </c>
      <c r="B9" s="24">
        <v>42763</v>
      </c>
      <c r="C9" s="25">
        <v>9</v>
      </c>
      <c r="D9" s="26">
        <v>32</v>
      </c>
      <c r="E9" s="26">
        <v>25</v>
      </c>
      <c r="F9" s="26">
        <v>19</v>
      </c>
      <c r="G9" s="26">
        <v>20</v>
      </c>
      <c r="H9" s="26">
        <v>30</v>
      </c>
      <c r="I9" s="26">
        <v>1</v>
      </c>
      <c r="J9" s="23">
        <v>2</v>
      </c>
      <c r="K9" s="5">
        <v>1383</v>
      </c>
      <c r="L9" t="str">
        <f t="shared" si="0"/>
        <v>20170128009</v>
      </c>
      <c r="M9" t="str">
        <f t="shared" si="1"/>
        <v>20170128</v>
      </c>
    </row>
    <row r="10" spans="1:13" x14ac:dyDescent="0.25">
      <c r="A10" s="23">
        <v>2017</v>
      </c>
      <c r="B10" s="24">
        <v>42764</v>
      </c>
      <c r="C10" s="25">
        <v>10</v>
      </c>
      <c r="D10" s="26">
        <v>9</v>
      </c>
      <c r="E10" s="26">
        <v>22</v>
      </c>
      <c r="F10" s="26">
        <v>3</v>
      </c>
      <c r="G10" s="26">
        <v>8</v>
      </c>
      <c r="H10" s="26">
        <v>14</v>
      </c>
      <c r="I10" s="26">
        <v>12</v>
      </c>
      <c r="J10" s="23">
        <v>46</v>
      </c>
      <c r="K10" s="5">
        <v>1384</v>
      </c>
      <c r="L10" t="str">
        <f t="shared" si="0"/>
        <v>20170129010</v>
      </c>
      <c r="M10" t="str">
        <f t="shared" si="1"/>
        <v>20170129</v>
      </c>
    </row>
    <row r="11" spans="1:13" x14ac:dyDescent="0.25">
      <c r="A11" s="23">
        <v>2017</v>
      </c>
      <c r="B11" s="24">
        <v>42765</v>
      </c>
      <c r="C11" s="25">
        <v>11</v>
      </c>
      <c r="D11" s="26">
        <v>26</v>
      </c>
      <c r="E11" s="26">
        <v>10</v>
      </c>
      <c r="F11" s="26">
        <v>29</v>
      </c>
      <c r="G11" s="26">
        <v>19</v>
      </c>
      <c r="H11" s="26">
        <v>45</v>
      </c>
      <c r="I11" s="26">
        <v>43</v>
      </c>
      <c r="J11" s="23">
        <v>20</v>
      </c>
      <c r="K11" s="5">
        <v>1385</v>
      </c>
      <c r="L11" t="str">
        <f t="shared" si="0"/>
        <v>20170130011</v>
      </c>
      <c r="M11" t="str">
        <f t="shared" si="1"/>
        <v>20170130</v>
      </c>
    </row>
    <row r="12" spans="1:13" x14ac:dyDescent="0.25">
      <c r="A12" s="4">
        <v>2017</v>
      </c>
      <c r="B12" s="7">
        <v>42766</v>
      </c>
      <c r="C12" s="2">
        <v>12</v>
      </c>
      <c r="D12" s="3">
        <v>11</v>
      </c>
      <c r="E12" s="3">
        <v>4</v>
      </c>
      <c r="F12" s="3">
        <v>33</v>
      </c>
      <c r="G12" s="3">
        <v>16</v>
      </c>
      <c r="H12" s="3">
        <v>46</v>
      </c>
      <c r="I12" s="3">
        <v>28</v>
      </c>
      <c r="J12" s="4">
        <v>17</v>
      </c>
      <c r="K12" s="5">
        <v>1386</v>
      </c>
      <c r="L12" t="str">
        <f t="shared" si="0"/>
        <v>20170131012</v>
      </c>
      <c r="M12" t="str">
        <f t="shared" si="1"/>
        <v>20170131</v>
      </c>
    </row>
    <row r="13" spans="1:13" x14ac:dyDescent="0.25">
      <c r="A13" s="23">
        <v>2017</v>
      </c>
      <c r="B13" s="24">
        <v>42767</v>
      </c>
      <c r="C13" s="25">
        <v>13</v>
      </c>
      <c r="D13" s="26">
        <v>4</v>
      </c>
      <c r="E13" s="26">
        <v>43</v>
      </c>
      <c r="F13" s="26">
        <v>9</v>
      </c>
      <c r="G13" s="26">
        <v>47</v>
      </c>
      <c r="H13" s="26">
        <v>32</v>
      </c>
      <c r="I13" s="26">
        <v>11</v>
      </c>
      <c r="J13" s="23">
        <v>44</v>
      </c>
      <c r="K13" s="5">
        <v>1387</v>
      </c>
      <c r="L13" t="str">
        <f t="shared" si="0"/>
        <v>20170201013</v>
      </c>
      <c r="M13" t="str">
        <f t="shared" si="1"/>
        <v>20170201</v>
      </c>
    </row>
    <row r="14" spans="1:13" x14ac:dyDescent="0.25">
      <c r="A14" s="4">
        <v>2017</v>
      </c>
      <c r="B14" s="7">
        <v>42769</v>
      </c>
      <c r="C14" s="2">
        <v>14</v>
      </c>
      <c r="D14" s="3">
        <v>11</v>
      </c>
      <c r="E14" s="3">
        <v>2</v>
      </c>
      <c r="F14" s="3">
        <v>25</v>
      </c>
      <c r="G14" s="3">
        <v>33</v>
      </c>
      <c r="H14" s="3">
        <v>30</v>
      </c>
      <c r="I14" s="3">
        <v>29</v>
      </c>
      <c r="J14" s="4">
        <v>20</v>
      </c>
      <c r="K14" s="5">
        <v>1388</v>
      </c>
      <c r="L14" t="str">
        <f t="shared" si="0"/>
        <v>20170203014</v>
      </c>
      <c r="M14" t="str">
        <f t="shared" si="1"/>
        <v>20170203</v>
      </c>
    </row>
    <row r="15" spans="1:13" x14ac:dyDescent="0.25">
      <c r="A15" s="4">
        <v>2017</v>
      </c>
      <c r="B15" s="7">
        <v>42773</v>
      </c>
      <c r="C15" s="2">
        <v>15</v>
      </c>
      <c r="D15" s="3">
        <v>19</v>
      </c>
      <c r="E15" s="3">
        <v>32</v>
      </c>
      <c r="F15" s="3">
        <v>6</v>
      </c>
      <c r="G15" s="3">
        <v>18</v>
      </c>
      <c r="H15" s="3">
        <v>23</v>
      </c>
      <c r="I15" s="3">
        <v>49</v>
      </c>
      <c r="J15" s="4">
        <v>21</v>
      </c>
      <c r="K15" s="5">
        <v>1389</v>
      </c>
      <c r="L15" t="str">
        <f t="shared" si="0"/>
        <v>20170207015</v>
      </c>
      <c r="M15" t="str">
        <f t="shared" si="1"/>
        <v>20170207</v>
      </c>
    </row>
    <row r="16" spans="1:13" x14ac:dyDescent="0.25">
      <c r="A16" s="4">
        <v>2017</v>
      </c>
      <c r="B16" s="7">
        <v>42776</v>
      </c>
      <c r="C16" s="2">
        <v>16</v>
      </c>
      <c r="D16" s="3">
        <v>24</v>
      </c>
      <c r="E16" s="3">
        <v>7</v>
      </c>
      <c r="F16" s="3">
        <v>11</v>
      </c>
      <c r="G16" s="3">
        <v>12</v>
      </c>
      <c r="H16" s="3">
        <v>15</v>
      </c>
      <c r="I16" s="3">
        <v>26</v>
      </c>
      <c r="J16" s="4">
        <v>6</v>
      </c>
      <c r="K16" s="5">
        <v>1390</v>
      </c>
      <c r="L16" t="str">
        <f t="shared" si="0"/>
        <v>20170210016</v>
      </c>
      <c r="M16" t="str">
        <f t="shared" si="1"/>
        <v>20170210</v>
      </c>
    </row>
    <row r="17" spans="1:13" x14ac:dyDescent="0.25">
      <c r="A17" s="4">
        <v>2017</v>
      </c>
      <c r="B17" s="7">
        <v>42780</v>
      </c>
      <c r="C17" s="2">
        <v>17</v>
      </c>
      <c r="D17" s="3">
        <v>10</v>
      </c>
      <c r="E17" s="3">
        <v>37</v>
      </c>
      <c r="F17" s="3">
        <v>11</v>
      </c>
      <c r="G17" s="3">
        <v>21</v>
      </c>
      <c r="H17" s="3">
        <v>28</v>
      </c>
      <c r="I17" s="3">
        <v>23</v>
      </c>
      <c r="J17" s="4">
        <v>24</v>
      </c>
      <c r="K17" s="5">
        <v>1391</v>
      </c>
      <c r="L17" t="str">
        <f t="shared" si="0"/>
        <v>20170214017</v>
      </c>
      <c r="M17" t="str">
        <f t="shared" si="1"/>
        <v>20170214</v>
      </c>
    </row>
    <row r="18" spans="1:13" x14ac:dyDescent="0.25">
      <c r="A18" s="4">
        <v>2017</v>
      </c>
      <c r="B18" s="7">
        <v>42783</v>
      </c>
      <c r="C18" s="2">
        <v>18</v>
      </c>
      <c r="D18" s="3">
        <v>46</v>
      </c>
      <c r="E18" s="3">
        <v>49</v>
      </c>
      <c r="F18" s="3">
        <v>23</v>
      </c>
      <c r="G18" s="3">
        <v>21</v>
      </c>
      <c r="H18" s="3">
        <v>16</v>
      </c>
      <c r="I18" s="3">
        <v>6</v>
      </c>
      <c r="J18" s="4">
        <v>39</v>
      </c>
      <c r="K18" s="5">
        <v>1392</v>
      </c>
      <c r="L18" t="str">
        <f t="shared" si="0"/>
        <v>20170217018</v>
      </c>
      <c r="M18" t="str">
        <f t="shared" si="1"/>
        <v>20170217</v>
      </c>
    </row>
    <row r="19" spans="1:13" x14ac:dyDescent="0.25">
      <c r="A19" s="4">
        <v>2017</v>
      </c>
      <c r="B19" s="7">
        <v>42787</v>
      </c>
      <c r="C19" s="2">
        <v>19</v>
      </c>
      <c r="D19" s="3">
        <v>48</v>
      </c>
      <c r="E19" s="3">
        <v>39</v>
      </c>
      <c r="F19" s="3">
        <v>32</v>
      </c>
      <c r="G19" s="3">
        <v>15</v>
      </c>
      <c r="H19" s="3">
        <v>8</v>
      </c>
      <c r="I19" s="3">
        <v>10</v>
      </c>
      <c r="J19" s="4">
        <v>43</v>
      </c>
      <c r="K19" s="5">
        <v>1393</v>
      </c>
      <c r="L19" t="str">
        <f t="shared" si="0"/>
        <v>20170221019</v>
      </c>
      <c r="M19" t="str">
        <f t="shared" si="1"/>
        <v>20170221</v>
      </c>
    </row>
    <row r="20" spans="1:13" x14ac:dyDescent="0.25">
      <c r="A20" s="4">
        <v>2017</v>
      </c>
      <c r="B20" s="7">
        <v>42790</v>
      </c>
      <c r="C20" s="2">
        <v>20</v>
      </c>
      <c r="D20" s="3">
        <v>47</v>
      </c>
      <c r="E20" s="3">
        <v>35</v>
      </c>
      <c r="F20" s="3">
        <v>38</v>
      </c>
      <c r="G20" s="3">
        <v>12</v>
      </c>
      <c r="H20" s="3">
        <v>16</v>
      </c>
      <c r="I20" s="3">
        <v>41</v>
      </c>
      <c r="J20" s="4">
        <v>1</v>
      </c>
      <c r="K20" s="5">
        <v>1394</v>
      </c>
      <c r="L20" t="str">
        <f t="shared" si="0"/>
        <v>20170224020</v>
      </c>
      <c r="M20" t="str">
        <f t="shared" si="1"/>
        <v>20170224</v>
      </c>
    </row>
    <row r="21" spans="1:13" x14ac:dyDescent="0.25">
      <c r="A21" s="4">
        <v>2017</v>
      </c>
      <c r="B21" s="7">
        <v>42794</v>
      </c>
      <c r="C21" s="2">
        <v>21</v>
      </c>
      <c r="D21" s="3">
        <v>19</v>
      </c>
      <c r="E21" s="3">
        <v>43</v>
      </c>
      <c r="F21" s="3">
        <v>30</v>
      </c>
      <c r="G21" s="3">
        <v>14</v>
      </c>
      <c r="H21" s="3">
        <v>15</v>
      </c>
      <c r="I21" s="3">
        <v>6</v>
      </c>
      <c r="J21" s="4">
        <v>31</v>
      </c>
      <c r="K21" s="5">
        <v>1395</v>
      </c>
      <c r="L21" t="str">
        <f t="shared" si="0"/>
        <v>20170228021</v>
      </c>
      <c r="M21" t="str">
        <f t="shared" si="1"/>
        <v>20170228</v>
      </c>
    </row>
    <row r="22" spans="1:13" x14ac:dyDescent="0.25">
      <c r="A22" s="4">
        <v>2017</v>
      </c>
      <c r="B22" s="7">
        <v>42797</v>
      </c>
      <c r="C22" s="2">
        <v>22</v>
      </c>
      <c r="D22" s="3">
        <v>43</v>
      </c>
      <c r="E22" s="3">
        <v>2</v>
      </c>
      <c r="F22" s="3">
        <v>20</v>
      </c>
      <c r="G22" s="3">
        <v>37</v>
      </c>
      <c r="H22" s="3">
        <v>48</v>
      </c>
      <c r="I22" s="3">
        <v>16</v>
      </c>
      <c r="J22" s="4">
        <v>10</v>
      </c>
      <c r="K22" s="5">
        <v>1396</v>
      </c>
      <c r="L22" t="str">
        <f t="shared" si="0"/>
        <v>20170303022</v>
      </c>
      <c r="M22" t="str">
        <f t="shared" si="1"/>
        <v>20170303</v>
      </c>
    </row>
    <row r="23" spans="1:13" x14ac:dyDescent="0.25">
      <c r="A23" s="4">
        <v>2017</v>
      </c>
      <c r="B23" s="7">
        <v>42801</v>
      </c>
      <c r="C23" s="2">
        <v>23</v>
      </c>
      <c r="D23" s="3">
        <v>22</v>
      </c>
      <c r="E23" s="3">
        <v>41</v>
      </c>
      <c r="F23" s="3">
        <v>31</v>
      </c>
      <c r="G23" s="3">
        <v>6</v>
      </c>
      <c r="H23" s="3">
        <v>12</v>
      </c>
      <c r="I23" s="3">
        <v>44</v>
      </c>
      <c r="J23" s="4">
        <v>2</v>
      </c>
      <c r="K23" s="5">
        <v>1397</v>
      </c>
      <c r="L23" t="str">
        <f t="shared" si="0"/>
        <v>20170307023</v>
      </c>
      <c r="M23" t="str">
        <f t="shared" si="1"/>
        <v>20170307</v>
      </c>
    </row>
    <row r="24" spans="1:13" x14ac:dyDescent="0.25">
      <c r="A24" s="4">
        <v>2017</v>
      </c>
      <c r="B24" s="7">
        <v>42804</v>
      </c>
      <c r="C24" s="2">
        <v>24</v>
      </c>
      <c r="D24" s="3">
        <v>21</v>
      </c>
      <c r="E24" s="3">
        <v>41</v>
      </c>
      <c r="F24" s="3">
        <v>48</v>
      </c>
      <c r="G24" s="3">
        <v>11</v>
      </c>
      <c r="H24" s="3">
        <v>12</v>
      </c>
      <c r="I24" s="3">
        <v>35</v>
      </c>
      <c r="J24" s="4">
        <v>1</v>
      </c>
      <c r="K24" s="5">
        <v>1398</v>
      </c>
      <c r="L24" t="str">
        <f t="shared" si="0"/>
        <v>20170310024</v>
      </c>
      <c r="M24" t="str">
        <f t="shared" si="1"/>
        <v>20170310</v>
      </c>
    </row>
    <row r="25" spans="1:13" x14ac:dyDescent="0.25">
      <c r="A25" s="4">
        <v>2017</v>
      </c>
      <c r="B25" s="7">
        <v>42808</v>
      </c>
      <c r="C25" s="2">
        <v>25</v>
      </c>
      <c r="D25" s="3">
        <v>32</v>
      </c>
      <c r="E25" s="3">
        <v>33</v>
      </c>
      <c r="F25" s="3">
        <v>20</v>
      </c>
      <c r="G25" s="3">
        <v>39</v>
      </c>
      <c r="H25" s="3">
        <v>17</v>
      </c>
      <c r="I25" s="3">
        <v>15</v>
      </c>
      <c r="J25" s="4">
        <v>21</v>
      </c>
      <c r="K25" s="5">
        <v>1399</v>
      </c>
      <c r="L25" t="str">
        <f t="shared" si="0"/>
        <v>20170314025</v>
      </c>
      <c r="M25" t="str">
        <f t="shared" si="1"/>
        <v>20170314</v>
      </c>
    </row>
    <row r="26" spans="1:13" x14ac:dyDescent="0.25">
      <c r="A26" s="4">
        <v>2017</v>
      </c>
      <c r="B26" s="7">
        <v>42811</v>
      </c>
      <c r="C26" s="2">
        <f>C25+1</f>
        <v>26</v>
      </c>
      <c r="D26" s="3">
        <v>4</v>
      </c>
      <c r="E26" s="3">
        <v>25</v>
      </c>
      <c r="F26" s="3">
        <v>17</v>
      </c>
      <c r="G26" s="3">
        <v>40</v>
      </c>
      <c r="H26" s="3">
        <v>44</v>
      </c>
      <c r="I26" s="3">
        <v>36</v>
      </c>
      <c r="J26" s="4">
        <v>8</v>
      </c>
      <c r="K26" s="5">
        <f>K25+1</f>
        <v>1400</v>
      </c>
      <c r="L26" t="str">
        <f t="shared" si="0"/>
        <v>20170317026</v>
      </c>
      <c r="M26" t="str">
        <f t="shared" si="1"/>
        <v>20170317</v>
      </c>
    </row>
    <row r="27" spans="1:13" x14ac:dyDescent="0.25">
      <c r="A27" s="4">
        <v>2017</v>
      </c>
      <c r="B27" s="7">
        <v>42815</v>
      </c>
      <c r="C27" s="2">
        <v>27</v>
      </c>
      <c r="D27" s="3">
        <v>32</v>
      </c>
      <c r="E27" s="3">
        <v>16</v>
      </c>
      <c r="F27" s="3">
        <v>43</v>
      </c>
      <c r="G27" s="3">
        <v>44</v>
      </c>
      <c r="H27" s="3">
        <v>27</v>
      </c>
      <c r="I27" s="3">
        <v>8</v>
      </c>
      <c r="J27" s="4">
        <v>7</v>
      </c>
      <c r="K27" s="5">
        <v>1401</v>
      </c>
      <c r="L27" t="str">
        <f t="shared" si="0"/>
        <v>20170321027</v>
      </c>
      <c r="M27" t="str">
        <f t="shared" si="1"/>
        <v>20170321</v>
      </c>
    </row>
    <row r="28" spans="1:13" x14ac:dyDescent="0.25">
      <c r="A28" s="4">
        <v>2017</v>
      </c>
      <c r="B28" s="7">
        <v>42818</v>
      </c>
      <c r="C28" s="2">
        <v>28</v>
      </c>
      <c r="D28" s="3">
        <v>41</v>
      </c>
      <c r="E28" s="3">
        <v>49</v>
      </c>
      <c r="F28" s="3">
        <v>39</v>
      </c>
      <c r="G28" s="3">
        <v>24</v>
      </c>
      <c r="H28" s="3">
        <v>36</v>
      </c>
      <c r="I28" s="3">
        <v>45</v>
      </c>
      <c r="J28" s="4">
        <v>22</v>
      </c>
      <c r="K28" s="5">
        <v>1402</v>
      </c>
      <c r="L28" t="str">
        <f t="shared" si="0"/>
        <v>20170324028</v>
      </c>
      <c r="M28" t="str">
        <f t="shared" si="1"/>
        <v>20170324</v>
      </c>
    </row>
    <row r="29" spans="1:13" x14ac:dyDescent="0.25">
      <c r="A29" s="4">
        <v>2017</v>
      </c>
      <c r="B29" s="7">
        <v>42822</v>
      </c>
      <c r="C29" s="2">
        <v>29</v>
      </c>
      <c r="D29" s="3">
        <v>32</v>
      </c>
      <c r="E29" s="3">
        <v>42</v>
      </c>
      <c r="F29" s="3">
        <v>44</v>
      </c>
      <c r="G29" s="3">
        <v>22</v>
      </c>
      <c r="H29" s="3">
        <v>37</v>
      </c>
      <c r="I29" s="3">
        <v>21</v>
      </c>
      <c r="J29" s="4">
        <v>38</v>
      </c>
      <c r="K29" s="5">
        <v>1403</v>
      </c>
      <c r="L29" t="str">
        <f t="shared" si="0"/>
        <v>20170328029</v>
      </c>
      <c r="M29" t="str">
        <f t="shared" si="1"/>
        <v>20170328</v>
      </c>
    </row>
    <row r="30" spans="1:13" x14ac:dyDescent="0.25">
      <c r="A30" s="4">
        <v>2017</v>
      </c>
      <c r="B30" s="7">
        <v>42825</v>
      </c>
      <c r="C30" s="2">
        <v>30</v>
      </c>
      <c r="D30" s="3">
        <v>38</v>
      </c>
      <c r="E30" s="3">
        <v>22</v>
      </c>
      <c r="F30" s="3">
        <v>24</v>
      </c>
      <c r="G30" s="3">
        <v>17</v>
      </c>
      <c r="H30" s="3">
        <v>18</v>
      </c>
      <c r="I30" s="3">
        <v>25</v>
      </c>
      <c r="J30" s="4">
        <v>39</v>
      </c>
      <c r="K30" s="5">
        <v>1404</v>
      </c>
      <c r="L30" t="str">
        <f t="shared" si="0"/>
        <v>20170331030</v>
      </c>
      <c r="M30" t="str">
        <f t="shared" si="1"/>
        <v>20170331</v>
      </c>
    </row>
    <row r="31" spans="1:13" x14ac:dyDescent="0.25">
      <c r="A31" s="4">
        <v>2017</v>
      </c>
      <c r="B31" s="7">
        <v>42829</v>
      </c>
      <c r="C31" s="2">
        <v>31</v>
      </c>
      <c r="D31" s="3">
        <v>5</v>
      </c>
      <c r="E31" s="3">
        <v>34</v>
      </c>
      <c r="F31" s="3">
        <v>43</v>
      </c>
      <c r="G31" s="3">
        <v>17</v>
      </c>
      <c r="H31" s="3">
        <v>33</v>
      </c>
      <c r="I31" s="3">
        <v>44</v>
      </c>
      <c r="J31" s="4">
        <v>4</v>
      </c>
      <c r="K31" s="5">
        <v>1405</v>
      </c>
      <c r="L31" t="str">
        <f t="shared" si="0"/>
        <v>20170404031</v>
      </c>
      <c r="M31" t="str">
        <f t="shared" si="1"/>
        <v>20170404</v>
      </c>
    </row>
    <row r="32" spans="1:13" x14ac:dyDescent="0.25">
      <c r="A32" s="4">
        <v>2017</v>
      </c>
      <c r="B32" s="7">
        <v>42832</v>
      </c>
      <c r="C32" s="2">
        <v>32</v>
      </c>
      <c r="D32" s="3">
        <v>31</v>
      </c>
      <c r="E32" s="3">
        <v>23</v>
      </c>
      <c r="F32" s="3">
        <v>37</v>
      </c>
      <c r="G32" s="3">
        <v>49</v>
      </c>
      <c r="H32" s="3">
        <v>19</v>
      </c>
      <c r="I32" s="3">
        <v>32</v>
      </c>
      <c r="J32" s="4">
        <v>26</v>
      </c>
      <c r="K32" s="5">
        <v>1406</v>
      </c>
      <c r="L32" t="str">
        <f t="shared" si="0"/>
        <v>20170407032</v>
      </c>
      <c r="M32" t="str">
        <f t="shared" si="1"/>
        <v>20170407</v>
      </c>
    </row>
    <row r="33" spans="1:13" x14ac:dyDescent="0.25">
      <c r="A33" s="4">
        <v>2017</v>
      </c>
      <c r="B33" s="7">
        <v>42836</v>
      </c>
      <c r="C33" s="2">
        <v>33</v>
      </c>
      <c r="D33" s="3">
        <v>40</v>
      </c>
      <c r="E33" s="3">
        <v>22</v>
      </c>
      <c r="F33" s="3">
        <v>9</v>
      </c>
      <c r="G33" s="3">
        <v>47</v>
      </c>
      <c r="H33" s="3">
        <v>36</v>
      </c>
      <c r="I33" s="3">
        <v>31</v>
      </c>
      <c r="J33" s="4">
        <v>8</v>
      </c>
      <c r="K33" s="5">
        <v>1407</v>
      </c>
      <c r="L33" t="str">
        <f t="shared" si="0"/>
        <v>20170411033</v>
      </c>
      <c r="M33" t="str">
        <f t="shared" si="1"/>
        <v>20170411</v>
      </c>
    </row>
    <row r="34" spans="1:13" x14ac:dyDescent="0.25">
      <c r="A34" s="4">
        <v>2017</v>
      </c>
      <c r="B34" s="7">
        <v>42839</v>
      </c>
      <c r="C34" s="2">
        <v>34</v>
      </c>
      <c r="D34" s="3">
        <v>29</v>
      </c>
      <c r="E34" s="3">
        <v>2</v>
      </c>
      <c r="F34" s="3">
        <v>3</v>
      </c>
      <c r="G34" s="3">
        <v>42</v>
      </c>
      <c r="H34" s="3">
        <v>4</v>
      </c>
      <c r="I34" s="3">
        <v>23</v>
      </c>
      <c r="J34" s="4">
        <v>14</v>
      </c>
      <c r="K34" s="5">
        <v>1408</v>
      </c>
      <c r="L34" t="str">
        <f t="shared" si="0"/>
        <v>20170414034</v>
      </c>
      <c r="M34" t="str">
        <f t="shared" si="1"/>
        <v>20170414</v>
      </c>
    </row>
    <row r="35" spans="1:13" x14ac:dyDescent="0.25">
      <c r="A35" s="4">
        <v>2017</v>
      </c>
      <c r="B35" s="7">
        <v>42843</v>
      </c>
      <c r="C35" s="2">
        <v>35</v>
      </c>
      <c r="D35" s="3">
        <v>25</v>
      </c>
      <c r="E35" s="3">
        <v>21</v>
      </c>
      <c r="F35" s="3">
        <v>14</v>
      </c>
      <c r="G35" s="3">
        <v>39</v>
      </c>
      <c r="H35" s="3">
        <v>35</v>
      </c>
      <c r="I35" s="3">
        <v>36</v>
      </c>
      <c r="J35" s="4">
        <v>18</v>
      </c>
      <c r="K35" s="5">
        <v>1409</v>
      </c>
      <c r="L35" t="str">
        <f t="shared" si="0"/>
        <v>20170418035</v>
      </c>
      <c r="M35" t="str">
        <f t="shared" si="1"/>
        <v>20170418</v>
      </c>
    </row>
    <row r="36" spans="1:13" x14ac:dyDescent="0.25">
      <c r="A36" s="4">
        <v>2017</v>
      </c>
      <c r="B36" s="7">
        <v>42846</v>
      </c>
      <c r="C36" s="2">
        <v>36</v>
      </c>
      <c r="D36" s="3">
        <v>28</v>
      </c>
      <c r="E36" s="3">
        <v>39</v>
      </c>
      <c r="F36" s="3">
        <v>22</v>
      </c>
      <c r="G36" s="3">
        <v>15</v>
      </c>
      <c r="H36" s="3">
        <v>5</v>
      </c>
      <c r="I36" s="3">
        <v>23</v>
      </c>
      <c r="J36" s="4">
        <v>25</v>
      </c>
      <c r="K36" s="5">
        <v>1410</v>
      </c>
      <c r="L36" t="str">
        <f t="shared" si="0"/>
        <v>20170421036</v>
      </c>
      <c r="M36" t="str">
        <f t="shared" si="1"/>
        <v>20170421</v>
      </c>
    </row>
    <row r="37" spans="1:13" x14ac:dyDescent="0.25">
      <c r="A37" s="28">
        <v>2017</v>
      </c>
      <c r="B37" s="29">
        <v>42850</v>
      </c>
      <c r="C37" s="30">
        <v>37</v>
      </c>
      <c r="D37" s="31">
        <v>41</v>
      </c>
      <c r="E37" s="31">
        <v>17</v>
      </c>
      <c r="F37" s="31">
        <v>35</v>
      </c>
      <c r="G37" s="31">
        <v>22</v>
      </c>
      <c r="H37" s="31">
        <v>30</v>
      </c>
      <c r="I37" s="31">
        <v>16</v>
      </c>
      <c r="J37" s="28">
        <v>26</v>
      </c>
      <c r="K37" s="30">
        <v>1411</v>
      </c>
      <c r="L37" t="str">
        <f t="shared" si="0"/>
        <v>20170425037</v>
      </c>
      <c r="M37" t="str">
        <f t="shared" si="1"/>
        <v>20170425</v>
      </c>
    </row>
    <row r="38" spans="1:13" x14ac:dyDescent="0.25">
      <c r="A38" s="28">
        <v>2017</v>
      </c>
      <c r="B38" s="29">
        <v>42853</v>
      </c>
      <c r="C38" s="30">
        <v>38</v>
      </c>
      <c r="D38" s="31">
        <v>3</v>
      </c>
      <c r="E38" s="31">
        <v>1</v>
      </c>
      <c r="F38" s="31">
        <v>31</v>
      </c>
      <c r="G38" s="31">
        <v>42</v>
      </c>
      <c r="H38" s="31">
        <v>19</v>
      </c>
      <c r="I38" s="31">
        <v>32</v>
      </c>
      <c r="J38" s="28">
        <v>43</v>
      </c>
      <c r="K38" s="30">
        <v>1412</v>
      </c>
      <c r="L38" t="str">
        <f t="shared" si="0"/>
        <v>20170428038</v>
      </c>
      <c r="M38" t="str">
        <f t="shared" si="1"/>
        <v>20170428</v>
      </c>
    </row>
    <row r="39" spans="1:13" x14ac:dyDescent="0.25">
      <c r="A39" s="28">
        <v>2017</v>
      </c>
      <c r="B39" s="29">
        <v>42857</v>
      </c>
      <c r="C39" s="30">
        <v>39</v>
      </c>
      <c r="D39" s="31">
        <v>27</v>
      </c>
      <c r="E39" s="31">
        <v>39</v>
      </c>
      <c r="F39" s="31">
        <v>24</v>
      </c>
      <c r="G39" s="31">
        <v>36</v>
      </c>
      <c r="H39" s="31">
        <v>23</v>
      </c>
      <c r="I39" s="31">
        <v>14</v>
      </c>
      <c r="J39" s="28">
        <v>13</v>
      </c>
      <c r="K39" s="30">
        <v>1413</v>
      </c>
      <c r="L39" t="str">
        <f t="shared" si="0"/>
        <v>20170502039</v>
      </c>
      <c r="M39" t="str">
        <f t="shared" si="1"/>
        <v>20170502</v>
      </c>
    </row>
    <row r="40" spans="1:13" x14ac:dyDescent="0.25">
      <c r="A40" s="28">
        <v>2017</v>
      </c>
      <c r="B40" s="29">
        <v>42860</v>
      </c>
      <c r="C40" s="30">
        <v>40</v>
      </c>
      <c r="D40" s="31">
        <v>19</v>
      </c>
      <c r="E40" s="31">
        <v>49</v>
      </c>
      <c r="F40" s="31">
        <v>9</v>
      </c>
      <c r="G40" s="31">
        <v>1</v>
      </c>
      <c r="H40" s="31">
        <v>34</v>
      </c>
      <c r="I40" s="31">
        <v>18</v>
      </c>
      <c r="J40" s="28">
        <v>11</v>
      </c>
      <c r="K40" s="30">
        <v>1414</v>
      </c>
      <c r="L40" t="str">
        <f t="shared" si="0"/>
        <v>20170505040</v>
      </c>
      <c r="M40" t="str">
        <f t="shared" si="1"/>
        <v>20170505</v>
      </c>
    </row>
    <row r="41" spans="1:13" x14ac:dyDescent="0.25">
      <c r="A41" s="28">
        <v>2017</v>
      </c>
      <c r="B41" s="29">
        <v>42864</v>
      </c>
      <c r="C41" s="30">
        <v>41</v>
      </c>
      <c r="D41" s="31">
        <v>16</v>
      </c>
      <c r="E41" s="31">
        <v>17</v>
      </c>
      <c r="F41" s="31">
        <v>21</v>
      </c>
      <c r="G41" s="31">
        <v>40</v>
      </c>
      <c r="H41" s="31">
        <v>20</v>
      </c>
      <c r="I41" s="31">
        <v>32</v>
      </c>
      <c r="J41" s="28">
        <v>15</v>
      </c>
      <c r="K41" s="30">
        <v>1415</v>
      </c>
      <c r="L41" t="str">
        <f t="shared" si="0"/>
        <v>20170509041</v>
      </c>
      <c r="M41" t="str">
        <f t="shared" si="1"/>
        <v>20170509</v>
      </c>
    </row>
    <row r="42" spans="1:13" x14ac:dyDescent="0.25">
      <c r="A42" s="28">
        <v>2017</v>
      </c>
      <c r="B42" s="29">
        <v>42867</v>
      </c>
      <c r="C42" s="30">
        <v>42</v>
      </c>
      <c r="D42" s="31">
        <v>35</v>
      </c>
      <c r="E42" s="31">
        <v>9</v>
      </c>
      <c r="F42" s="31">
        <v>2</v>
      </c>
      <c r="G42" s="31">
        <v>25</v>
      </c>
      <c r="H42" s="31">
        <v>18</v>
      </c>
      <c r="I42" s="31">
        <v>22</v>
      </c>
      <c r="J42" s="28">
        <v>14</v>
      </c>
      <c r="K42" s="30">
        <v>1416</v>
      </c>
      <c r="L42" t="str">
        <f t="shared" si="0"/>
        <v>20170512042</v>
      </c>
      <c r="M42" t="str">
        <f t="shared" si="1"/>
        <v>20170512</v>
      </c>
    </row>
    <row r="43" spans="1:13" x14ac:dyDescent="0.25">
      <c r="A43" s="28">
        <v>2017</v>
      </c>
      <c r="B43" s="29">
        <v>42871</v>
      </c>
      <c r="C43" s="30">
        <v>43</v>
      </c>
      <c r="D43" s="31">
        <v>6</v>
      </c>
      <c r="E43" s="31">
        <v>7</v>
      </c>
      <c r="F43" s="31">
        <v>14</v>
      </c>
      <c r="G43" s="31">
        <v>46</v>
      </c>
      <c r="H43" s="31">
        <v>29</v>
      </c>
      <c r="I43" s="31">
        <v>5</v>
      </c>
      <c r="J43" s="28">
        <v>24</v>
      </c>
      <c r="K43" s="30">
        <v>1417</v>
      </c>
      <c r="L43" t="str">
        <f t="shared" si="0"/>
        <v>20170516043</v>
      </c>
      <c r="M43" t="str">
        <f t="shared" si="1"/>
        <v>20170516</v>
      </c>
    </row>
    <row r="44" spans="1:13" x14ac:dyDescent="0.25">
      <c r="A44" s="28">
        <v>2017</v>
      </c>
      <c r="B44" s="29">
        <v>42874</v>
      </c>
      <c r="C44" s="30">
        <v>44</v>
      </c>
      <c r="D44" s="31">
        <v>16</v>
      </c>
      <c r="E44" s="31">
        <v>21</v>
      </c>
      <c r="F44" s="31">
        <v>15</v>
      </c>
      <c r="G44" s="31">
        <v>46</v>
      </c>
      <c r="H44" s="31">
        <v>28</v>
      </c>
      <c r="I44" s="31">
        <v>23</v>
      </c>
      <c r="J44" s="28">
        <v>14</v>
      </c>
      <c r="K44" s="30">
        <v>1418</v>
      </c>
      <c r="L44" t="str">
        <f t="shared" si="0"/>
        <v>20170519044</v>
      </c>
      <c r="M44" t="str">
        <f t="shared" si="1"/>
        <v>20170519</v>
      </c>
    </row>
    <row r="45" spans="1:13" x14ac:dyDescent="0.25">
      <c r="A45" s="28">
        <v>2017</v>
      </c>
      <c r="B45" s="29">
        <v>42878</v>
      </c>
      <c r="C45" s="30">
        <v>45</v>
      </c>
      <c r="D45" s="31">
        <v>2</v>
      </c>
      <c r="E45" s="31">
        <v>15</v>
      </c>
      <c r="F45" s="31">
        <v>10</v>
      </c>
      <c r="G45" s="31">
        <v>22</v>
      </c>
      <c r="H45" s="31">
        <v>26</v>
      </c>
      <c r="I45" s="31">
        <v>32</v>
      </c>
      <c r="J45" s="28">
        <v>42</v>
      </c>
      <c r="K45" s="30">
        <v>1419</v>
      </c>
      <c r="L45" t="str">
        <f t="shared" si="0"/>
        <v>20170523045</v>
      </c>
      <c r="M45" t="str">
        <f t="shared" si="1"/>
        <v>20170523</v>
      </c>
    </row>
    <row r="46" spans="1:13" x14ac:dyDescent="0.25">
      <c r="A46" s="28">
        <v>2017</v>
      </c>
      <c r="B46" s="29">
        <v>42881</v>
      </c>
      <c r="C46" s="30">
        <v>46</v>
      </c>
      <c r="D46" s="31">
        <v>35</v>
      </c>
      <c r="E46" s="31">
        <v>16</v>
      </c>
      <c r="F46" s="31">
        <v>8</v>
      </c>
      <c r="G46" s="31">
        <v>14</v>
      </c>
      <c r="H46" s="31">
        <v>21</v>
      </c>
      <c r="I46" s="31">
        <v>19</v>
      </c>
      <c r="J46" s="28">
        <v>20</v>
      </c>
      <c r="K46" s="30">
        <v>1420</v>
      </c>
      <c r="L46" t="str">
        <f t="shared" si="0"/>
        <v>20170526046</v>
      </c>
      <c r="M46" t="str">
        <f t="shared" si="1"/>
        <v>20170526</v>
      </c>
    </row>
    <row r="47" spans="1:13" x14ac:dyDescent="0.25">
      <c r="A47" s="28">
        <v>2017</v>
      </c>
      <c r="B47" s="29">
        <v>42885</v>
      </c>
      <c r="C47" s="30">
        <v>47</v>
      </c>
      <c r="D47" s="31">
        <v>7</v>
      </c>
      <c r="E47" s="31">
        <v>30</v>
      </c>
      <c r="F47" s="31">
        <v>31</v>
      </c>
      <c r="G47" s="31">
        <v>19</v>
      </c>
      <c r="H47" s="31">
        <v>14</v>
      </c>
      <c r="I47" s="31">
        <v>39</v>
      </c>
      <c r="J47" s="28">
        <v>40</v>
      </c>
      <c r="K47" s="30">
        <v>1421</v>
      </c>
      <c r="L47" t="str">
        <f t="shared" si="0"/>
        <v>20170530047</v>
      </c>
      <c r="M47" t="str">
        <f t="shared" si="1"/>
        <v>20170530</v>
      </c>
    </row>
    <row r="48" spans="1:13" x14ac:dyDescent="0.25">
      <c r="A48" s="28">
        <v>2017</v>
      </c>
      <c r="B48" s="29">
        <v>42888</v>
      </c>
      <c r="C48" s="30">
        <v>48</v>
      </c>
      <c r="D48" s="31">
        <v>8</v>
      </c>
      <c r="E48" s="31">
        <v>23</v>
      </c>
      <c r="F48" s="31">
        <v>7</v>
      </c>
      <c r="G48" s="31">
        <v>3</v>
      </c>
      <c r="H48" s="31">
        <v>31</v>
      </c>
      <c r="I48" s="31">
        <v>30</v>
      </c>
      <c r="J48" s="28">
        <v>32</v>
      </c>
      <c r="K48" s="30">
        <v>1422</v>
      </c>
      <c r="L48" t="str">
        <f t="shared" si="0"/>
        <v>20170602048</v>
      </c>
      <c r="M48" t="str">
        <f t="shared" si="1"/>
        <v>20170602</v>
      </c>
    </row>
    <row r="49" spans="1:13" x14ac:dyDescent="0.25">
      <c r="A49" s="28">
        <v>2017</v>
      </c>
      <c r="B49" s="29">
        <v>42892</v>
      </c>
      <c r="C49" s="30">
        <v>49</v>
      </c>
      <c r="D49" s="31">
        <v>48</v>
      </c>
      <c r="E49" s="31">
        <v>32</v>
      </c>
      <c r="F49" s="31">
        <v>16</v>
      </c>
      <c r="G49" s="31">
        <v>25</v>
      </c>
      <c r="H49" s="31">
        <v>14</v>
      </c>
      <c r="I49" s="31">
        <v>36</v>
      </c>
      <c r="J49" s="28">
        <v>12</v>
      </c>
      <c r="K49" s="30">
        <v>1423</v>
      </c>
      <c r="L49" t="str">
        <f t="shared" si="0"/>
        <v>20170606049</v>
      </c>
      <c r="M49" t="str">
        <f t="shared" si="1"/>
        <v>20170606</v>
      </c>
    </row>
    <row r="50" spans="1:13" x14ac:dyDescent="0.25">
      <c r="A50" s="28">
        <v>2017</v>
      </c>
      <c r="B50" s="29">
        <v>42895</v>
      </c>
      <c r="C50" s="30">
        <v>50</v>
      </c>
      <c r="D50" s="31">
        <v>31</v>
      </c>
      <c r="E50" s="31">
        <v>37</v>
      </c>
      <c r="F50" s="31">
        <v>24</v>
      </c>
      <c r="G50" s="31">
        <v>46</v>
      </c>
      <c r="H50" s="31">
        <v>32</v>
      </c>
      <c r="I50" s="31">
        <v>26</v>
      </c>
      <c r="J50" s="28">
        <v>1</v>
      </c>
      <c r="K50" s="30">
        <v>1424</v>
      </c>
      <c r="L50" t="str">
        <f t="shared" si="0"/>
        <v>20170609050</v>
      </c>
      <c r="M50" t="str">
        <f t="shared" si="1"/>
        <v>20170609</v>
      </c>
    </row>
    <row r="51" spans="1:13" x14ac:dyDescent="0.25">
      <c r="A51" s="28">
        <v>2017</v>
      </c>
      <c r="B51" s="29">
        <v>42898</v>
      </c>
      <c r="C51" s="30">
        <v>51</v>
      </c>
      <c r="D51" s="31">
        <v>36</v>
      </c>
      <c r="E51" s="31">
        <v>2</v>
      </c>
      <c r="F51" s="31">
        <v>43</v>
      </c>
      <c r="G51" s="31">
        <v>4</v>
      </c>
      <c r="H51" s="31">
        <v>17</v>
      </c>
      <c r="I51" s="31">
        <v>22</v>
      </c>
      <c r="J51" s="28">
        <v>40</v>
      </c>
      <c r="K51" s="30">
        <v>1425</v>
      </c>
      <c r="L51" t="str">
        <f t="shared" si="0"/>
        <v>20170612051</v>
      </c>
      <c r="M51" t="str">
        <f t="shared" si="1"/>
        <v>20170612</v>
      </c>
    </row>
    <row r="52" spans="1:13" x14ac:dyDescent="0.25">
      <c r="A52" s="28">
        <v>2017</v>
      </c>
      <c r="B52" s="29">
        <v>42902</v>
      </c>
      <c r="C52" s="30">
        <v>52</v>
      </c>
      <c r="D52" s="31">
        <v>15</v>
      </c>
      <c r="E52" s="31">
        <v>26</v>
      </c>
      <c r="F52" s="31">
        <v>36</v>
      </c>
      <c r="G52" s="31">
        <v>45</v>
      </c>
      <c r="H52" s="31">
        <v>21</v>
      </c>
      <c r="I52" s="31">
        <v>1</v>
      </c>
      <c r="J52" s="28">
        <v>10</v>
      </c>
      <c r="K52" s="30">
        <v>1426</v>
      </c>
      <c r="L52" t="str">
        <f t="shared" si="0"/>
        <v>20170616052</v>
      </c>
      <c r="M52" t="str">
        <f t="shared" si="1"/>
        <v>20170616</v>
      </c>
    </row>
    <row r="53" spans="1:13" x14ac:dyDescent="0.25">
      <c r="A53" s="28">
        <v>2017</v>
      </c>
      <c r="B53" s="29">
        <v>42906</v>
      </c>
      <c r="C53" s="30">
        <v>53</v>
      </c>
      <c r="D53" s="31">
        <v>12</v>
      </c>
      <c r="E53" s="31">
        <v>33</v>
      </c>
      <c r="F53" s="31">
        <v>1</v>
      </c>
      <c r="G53" s="31">
        <v>44</v>
      </c>
      <c r="H53" s="31">
        <v>29</v>
      </c>
      <c r="I53" s="31">
        <v>30</v>
      </c>
      <c r="J53" s="28">
        <v>19</v>
      </c>
      <c r="K53" s="30">
        <v>1427</v>
      </c>
      <c r="L53" t="str">
        <f t="shared" si="0"/>
        <v>20170620053</v>
      </c>
      <c r="M53" t="str">
        <f t="shared" si="1"/>
        <v>20170620</v>
      </c>
    </row>
    <row r="54" spans="1:13" x14ac:dyDescent="0.25">
      <c r="A54" s="28">
        <v>2017</v>
      </c>
      <c r="B54" s="29">
        <v>42909</v>
      </c>
      <c r="C54" s="30">
        <v>54</v>
      </c>
      <c r="D54" s="31">
        <v>2</v>
      </c>
      <c r="E54" s="31">
        <v>41</v>
      </c>
      <c r="F54" s="31">
        <v>42</v>
      </c>
      <c r="G54" s="31">
        <v>12</v>
      </c>
      <c r="H54" s="31">
        <v>34</v>
      </c>
      <c r="I54" s="31">
        <v>8</v>
      </c>
      <c r="J54" s="28">
        <v>7</v>
      </c>
      <c r="K54" s="30">
        <v>1428</v>
      </c>
      <c r="L54" t="str">
        <f t="shared" si="0"/>
        <v>20170623054</v>
      </c>
      <c r="M54" t="str">
        <f t="shared" si="1"/>
        <v>20170623</v>
      </c>
    </row>
    <row r="55" spans="1:13" x14ac:dyDescent="0.25">
      <c r="A55" s="28">
        <v>2017</v>
      </c>
      <c r="B55" s="29">
        <v>42913</v>
      </c>
      <c r="C55" s="30">
        <v>55</v>
      </c>
      <c r="D55" s="31">
        <v>11</v>
      </c>
      <c r="E55" s="31">
        <v>33</v>
      </c>
      <c r="F55" s="31">
        <v>47</v>
      </c>
      <c r="G55" s="31">
        <v>49</v>
      </c>
      <c r="H55" s="31">
        <v>46</v>
      </c>
      <c r="I55" s="31">
        <v>34</v>
      </c>
      <c r="J55" s="28">
        <v>38</v>
      </c>
      <c r="K55" s="30">
        <v>1429</v>
      </c>
      <c r="L55" t="str">
        <f t="shared" si="0"/>
        <v>20170627055</v>
      </c>
      <c r="M55" t="str">
        <f t="shared" si="1"/>
        <v>20170627</v>
      </c>
    </row>
    <row r="56" spans="1:13" x14ac:dyDescent="0.25">
      <c r="A56" s="28">
        <v>2017</v>
      </c>
      <c r="B56" s="29">
        <v>42916</v>
      </c>
      <c r="C56" s="30">
        <v>56</v>
      </c>
      <c r="D56" s="31">
        <v>22</v>
      </c>
      <c r="E56" s="31">
        <v>8</v>
      </c>
      <c r="F56" s="31">
        <v>32</v>
      </c>
      <c r="G56" s="31">
        <v>12</v>
      </c>
      <c r="H56" s="31">
        <v>30</v>
      </c>
      <c r="I56" s="31">
        <v>36</v>
      </c>
      <c r="J56" s="28">
        <v>6</v>
      </c>
      <c r="K56" s="30">
        <v>1430</v>
      </c>
      <c r="L56" t="str">
        <f t="shared" si="0"/>
        <v>20170630056</v>
      </c>
      <c r="M56" t="str">
        <f t="shared" si="1"/>
        <v>20170630</v>
      </c>
    </row>
    <row r="57" spans="1:13" x14ac:dyDescent="0.25">
      <c r="A57" s="28">
        <v>2017</v>
      </c>
      <c r="B57" s="29">
        <v>42920</v>
      </c>
      <c r="C57" s="30">
        <v>57</v>
      </c>
      <c r="D57" s="31">
        <v>27</v>
      </c>
      <c r="E57" s="31">
        <v>21</v>
      </c>
      <c r="F57" s="31">
        <v>30</v>
      </c>
      <c r="G57" s="31">
        <v>28</v>
      </c>
      <c r="H57" s="31">
        <v>35</v>
      </c>
      <c r="I57" s="31">
        <v>4</v>
      </c>
      <c r="J57" s="28">
        <v>42</v>
      </c>
      <c r="K57" s="30">
        <v>1431</v>
      </c>
      <c r="L57" t="str">
        <f t="shared" si="0"/>
        <v>20170704057</v>
      </c>
      <c r="M57" t="str">
        <f t="shared" si="1"/>
        <v>20170704</v>
      </c>
    </row>
    <row r="58" spans="1:13" x14ac:dyDescent="0.25">
      <c r="A58" s="28">
        <v>2017</v>
      </c>
      <c r="B58" s="29">
        <v>42923</v>
      </c>
      <c r="C58" s="30">
        <v>58</v>
      </c>
      <c r="D58" s="31">
        <v>18</v>
      </c>
      <c r="E58" s="31">
        <v>49</v>
      </c>
      <c r="F58" s="31">
        <v>30</v>
      </c>
      <c r="G58" s="31">
        <v>42</v>
      </c>
      <c r="H58" s="31">
        <v>40</v>
      </c>
      <c r="I58" s="31">
        <v>44</v>
      </c>
      <c r="J58" s="28">
        <v>8</v>
      </c>
      <c r="K58" s="30">
        <v>1432</v>
      </c>
      <c r="L58" t="str">
        <f t="shared" si="0"/>
        <v>20170707058</v>
      </c>
      <c r="M58" t="str">
        <f t="shared" si="1"/>
        <v>20170707</v>
      </c>
    </row>
    <row r="59" spans="1:13" x14ac:dyDescent="0.25">
      <c r="A59" s="4">
        <v>2017</v>
      </c>
      <c r="B59" s="7">
        <v>42927</v>
      </c>
      <c r="C59" s="2">
        <v>59</v>
      </c>
      <c r="D59" s="3">
        <v>19</v>
      </c>
      <c r="E59" s="3">
        <v>39</v>
      </c>
      <c r="F59" s="3">
        <v>23</v>
      </c>
      <c r="G59" s="3">
        <v>6</v>
      </c>
      <c r="H59" s="3">
        <v>16</v>
      </c>
      <c r="I59" s="3">
        <v>33</v>
      </c>
      <c r="J59" s="4">
        <v>7</v>
      </c>
      <c r="K59" s="5">
        <v>1433</v>
      </c>
      <c r="L59" t="str">
        <f t="shared" si="0"/>
        <v>20170711059</v>
      </c>
      <c r="M59" t="str">
        <f t="shared" si="1"/>
        <v>20170711</v>
      </c>
    </row>
    <row r="60" spans="1:13" x14ac:dyDescent="0.25">
      <c r="A60" s="4">
        <v>2017</v>
      </c>
      <c r="B60" s="7">
        <v>42930</v>
      </c>
      <c r="C60" s="2">
        <v>60</v>
      </c>
      <c r="D60" s="3">
        <v>18</v>
      </c>
      <c r="E60" s="3">
        <v>19</v>
      </c>
      <c r="F60" s="3">
        <v>25</v>
      </c>
      <c r="G60" s="3">
        <v>32</v>
      </c>
      <c r="H60" s="3">
        <v>16</v>
      </c>
      <c r="I60" s="3">
        <v>26</v>
      </c>
      <c r="J60" s="4">
        <v>22</v>
      </c>
      <c r="K60" s="5">
        <v>1434</v>
      </c>
      <c r="L60" t="str">
        <f t="shared" si="0"/>
        <v>20170714060</v>
      </c>
      <c r="M60" t="str">
        <f t="shared" si="1"/>
        <v>20170714</v>
      </c>
    </row>
    <row r="61" spans="1:13" x14ac:dyDescent="0.25">
      <c r="A61" s="4">
        <v>2017</v>
      </c>
      <c r="B61" s="7">
        <v>42934</v>
      </c>
      <c r="C61" s="2">
        <v>61</v>
      </c>
      <c r="D61" s="3">
        <v>21</v>
      </c>
      <c r="E61" s="3">
        <v>42</v>
      </c>
      <c r="F61" s="3">
        <v>14</v>
      </c>
      <c r="G61" s="3">
        <v>13</v>
      </c>
      <c r="H61" s="3">
        <v>29</v>
      </c>
      <c r="I61" s="3">
        <v>48</v>
      </c>
      <c r="J61" s="4">
        <v>11</v>
      </c>
      <c r="K61" s="5">
        <v>1435</v>
      </c>
      <c r="L61" t="str">
        <f t="shared" si="0"/>
        <v>20170718061</v>
      </c>
      <c r="M61" t="str">
        <f t="shared" si="1"/>
        <v>20170718</v>
      </c>
    </row>
    <row r="62" spans="1:13" x14ac:dyDescent="0.25">
      <c r="A62" s="4">
        <v>2017</v>
      </c>
      <c r="B62" s="7">
        <v>42937</v>
      </c>
      <c r="C62" s="2">
        <v>62</v>
      </c>
      <c r="D62" s="3">
        <v>42</v>
      </c>
      <c r="E62" s="3">
        <v>24</v>
      </c>
      <c r="F62" s="3">
        <v>12</v>
      </c>
      <c r="G62" s="3">
        <v>32</v>
      </c>
      <c r="H62" s="3">
        <v>47</v>
      </c>
      <c r="I62" s="3">
        <v>2</v>
      </c>
      <c r="J62" s="4">
        <v>29</v>
      </c>
      <c r="K62" s="5">
        <v>1436</v>
      </c>
      <c r="L62" t="str">
        <f t="shared" si="0"/>
        <v>20170721062</v>
      </c>
      <c r="M62" t="str">
        <f t="shared" si="1"/>
        <v>20170721</v>
      </c>
    </row>
    <row r="63" spans="1:13" x14ac:dyDescent="0.25">
      <c r="A63" s="4">
        <v>2017</v>
      </c>
      <c r="B63" s="7">
        <v>42941</v>
      </c>
      <c r="C63" s="2">
        <v>63</v>
      </c>
      <c r="D63" s="3">
        <v>11</v>
      </c>
      <c r="E63" s="3">
        <v>23</v>
      </c>
      <c r="F63" s="3">
        <v>33</v>
      </c>
      <c r="G63" s="3">
        <v>30</v>
      </c>
      <c r="H63" s="3">
        <v>2</v>
      </c>
      <c r="I63" s="3">
        <v>42</v>
      </c>
      <c r="J63" s="4">
        <v>7</v>
      </c>
      <c r="K63" s="5">
        <v>1437</v>
      </c>
      <c r="L63" t="str">
        <f t="shared" si="0"/>
        <v>20170725063</v>
      </c>
      <c r="M63" t="str">
        <f t="shared" si="1"/>
        <v>20170725</v>
      </c>
    </row>
    <row r="64" spans="1:13" x14ac:dyDescent="0.25">
      <c r="A64" s="4">
        <v>2017</v>
      </c>
      <c r="B64" s="7">
        <v>42944</v>
      </c>
      <c r="C64" s="2">
        <v>64</v>
      </c>
      <c r="D64" s="3">
        <v>11</v>
      </c>
      <c r="E64" s="3">
        <v>22</v>
      </c>
      <c r="F64" s="3">
        <v>13</v>
      </c>
      <c r="G64" s="3">
        <v>39</v>
      </c>
      <c r="H64" s="3">
        <v>18</v>
      </c>
      <c r="I64" s="3">
        <v>38</v>
      </c>
      <c r="J64" s="4">
        <v>3</v>
      </c>
      <c r="K64" s="5">
        <v>1438</v>
      </c>
      <c r="L64" t="str">
        <f t="shared" si="0"/>
        <v>20170728064</v>
      </c>
      <c r="M64" t="str">
        <f t="shared" si="1"/>
        <v>20170728</v>
      </c>
    </row>
    <row r="65" spans="1:13" x14ac:dyDescent="0.25">
      <c r="A65" s="4">
        <v>2017</v>
      </c>
      <c r="B65" s="7">
        <v>42948</v>
      </c>
      <c r="C65" s="2">
        <v>65</v>
      </c>
      <c r="D65" s="3">
        <v>30</v>
      </c>
      <c r="E65" s="3">
        <v>47</v>
      </c>
      <c r="F65" s="3">
        <v>2</v>
      </c>
      <c r="G65" s="3">
        <v>21</v>
      </c>
      <c r="H65" s="3">
        <v>42</v>
      </c>
      <c r="I65" s="3">
        <v>12</v>
      </c>
      <c r="J65" s="4">
        <v>31</v>
      </c>
      <c r="K65" s="5">
        <v>1439</v>
      </c>
      <c r="L65" t="str">
        <f t="shared" ref="L65:L111" si="2">CONCATENATE(TEXT(A65,"0000"),TEXT(B65,"mmdd"),TEXT(C65,"000"))</f>
        <v>20170801065</v>
      </c>
      <c r="M65" t="str">
        <f t="shared" ref="M65:M111" si="3">CONCATENATE(TEXT(A65,"0000"),TEXT(B65,"mmdd"))</f>
        <v>20170801</v>
      </c>
    </row>
    <row r="66" spans="1:13" x14ac:dyDescent="0.25">
      <c r="A66" s="4">
        <v>2017</v>
      </c>
      <c r="B66" s="7">
        <v>42951</v>
      </c>
      <c r="C66" s="2">
        <v>66</v>
      </c>
      <c r="D66" s="3">
        <v>16</v>
      </c>
      <c r="E66" s="3">
        <v>45</v>
      </c>
      <c r="F66" s="3">
        <v>15</v>
      </c>
      <c r="G66" s="3">
        <v>26</v>
      </c>
      <c r="H66" s="3">
        <v>27</v>
      </c>
      <c r="I66" s="3">
        <v>39</v>
      </c>
      <c r="J66" s="4">
        <v>37</v>
      </c>
      <c r="K66" s="5">
        <v>1440</v>
      </c>
      <c r="L66" t="str">
        <f t="shared" si="2"/>
        <v>20170804066</v>
      </c>
      <c r="M66" t="str">
        <f t="shared" si="3"/>
        <v>20170804</v>
      </c>
    </row>
    <row r="67" spans="1:13" x14ac:dyDescent="0.25">
      <c r="A67" s="4">
        <v>2017</v>
      </c>
      <c r="B67" s="7">
        <v>42955</v>
      </c>
      <c r="C67" s="2">
        <v>67</v>
      </c>
      <c r="D67" s="3">
        <v>6</v>
      </c>
      <c r="E67" s="3">
        <v>27</v>
      </c>
      <c r="F67" s="3">
        <v>9</v>
      </c>
      <c r="G67" s="3">
        <v>46</v>
      </c>
      <c r="H67" s="3">
        <v>34</v>
      </c>
      <c r="I67" s="3">
        <v>23</v>
      </c>
      <c r="J67" s="4">
        <v>20</v>
      </c>
      <c r="K67" s="5">
        <v>1441</v>
      </c>
      <c r="L67" t="str">
        <f t="shared" si="2"/>
        <v>20170808067</v>
      </c>
      <c r="M67" t="str">
        <f t="shared" si="3"/>
        <v>20170808</v>
      </c>
    </row>
    <row r="68" spans="1:13" x14ac:dyDescent="0.25">
      <c r="A68" s="4">
        <v>2017</v>
      </c>
      <c r="B68" s="7">
        <v>42958</v>
      </c>
      <c r="C68" s="2">
        <v>68</v>
      </c>
      <c r="D68" s="3">
        <v>18</v>
      </c>
      <c r="E68" s="3">
        <v>37</v>
      </c>
      <c r="F68" s="3">
        <v>9</v>
      </c>
      <c r="G68" s="3">
        <v>8</v>
      </c>
      <c r="H68" s="3">
        <v>27</v>
      </c>
      <c r="I68" s="3">
        <v>2</v>
      </c>
      <c r="J68" s="4">
        <v>33</v>
      </c>
      <c r="K68" s="5">
        <v>1442</v>
      </c>
      <c r="L68" t="str">
        <f t="shared" si="2"/>
        <v>20170811068</v>
      </c>
      <c r="M68" t="str">
        <f t="shared" si="3"/>
        <v>20170811</v>
      </c>
    </row>
    <row r="69" spans="1:13" x14ac:dyDescent="0.25">
      <c r="A69" s="4">
        <v>2017</v>
      </c>
      <c r="B69" s="7">
        <v>42962</v>
      </c>
      <c r="C69" s="2">
        <v>69</v>
      </c>
      <c r="D69" s="3">
        <v>27</v>
      </c>
      <c r="E69" s="3">
        <v>28</v>
      </c>
      <c r="F69" s="3">
        <v>33</v>
      </c>
      <c r="G69" s="3">
        <v>13</v>
      </c>
      <c r="H69" s="3">
        <v>42</v>
      </c>
      <c r="I69" s="3">
        <v>16</v>
      </c>
      <c r="J69" s="4">
        <v>11</v>
      </c>
      <c r="K69" s="5">
        <v>1443</v>
      </c>
      <c r="L69" t="str">
        <f t="shared" si="2"/>
        <v>20170815069</v>
      </c>
      <c r="M69" t="str">
        <f t="shared" si="3"/>
        <v>20170815</v>
      </c>
    </row>
    <row r="70" spans="1:13" x14ac:dyDescent="0.25">
      <c r="A70" s="4">
        <v>2017</v>
      </c>
      <c r="B70" s="7">
        <v>42965</v>
      </c>
      <c r="C70" s="2">
        <v>70</v>
      </c>
      <c r="D70" s="3">
        <v>10</v>
      </c>
      <c r="E70" s="3">
        <v>7</v>
      </c>
      <c r="F70" s="3">
        <v>12</v>
      </c>
      <c r="G70" s="3">
        <v>38</v>
      </c>
      <c r="H70" s="3">
        <v>47</v>
      </c>
      <c r="I70" s="3">
        <v>35</v>
      </c>
      <c r="J70" s="4">
        <v>23</v>
      </c>
      <c r="K70" s="5">
        <v>1444</v>
      </c>
      <c r="L70" t="str">
        <f t="shared" si="2"/>
        <v>20170818070</v>
      </c>
      <c r="M70" t="str">
        <f t="shared" si="3"/>
        <v>20170818</v>
      </c>
    </row>
    <row r="71" spans="1:13" x14ac:dyDescent="0.25">
      <c r="A71" s="4">
        <v>2017</v>
      </c>
      <c r="B71" s="7">
        <v>42969</v>
      </c>
      <c r="C71" s="2">
        <v>71</v>
      </c>
      <c r="D71" s="3">
        <v>10</v>
      </c>
      <c r="E71" s="3">
        <v>13</v>
      </c>
      <c r="F71" s="3">
        <v>36</v>
      </c>
      <c r="G71" s="3">
        <v>4</v>
      </c>
      <c r="H71" s="3">
        <v>45</v>
      </c>
      <c r="I71" s="3">
        <v>44</v>
      </c>
      <c r="J71" s="4">
        <v>5</v>
      </c>
      <c r="K71" s="5">
        <v>1445</v>
      </c>
      <c r="L71" t="str">
        <f t="shared" si="2"/>
        <v>20170822071</v>
      </c>
      <c r="M71" t="str">
        <f t="shared" si="3"/>
        <v>20170822</v>
      </c>
    </row>
    <row r="72" spans="1:13" x14ac:dyDescent="0.25">
      <c r="A72" s="4">
        <v>2017</v>
      </c>
      <c r="B72" s="7">
        <v>42972</v>
      </c>
      <c r="C72" s="2">
        <v>72</v>
      </c>
      <c r="D72" s="3">
        <v>31</v>
      </c>
      <c r="E72" s="3">
        <v>1</v>
      </c>
      <c r="F72" s="3">
        <v>4</v>
      </c>
      <c r="G72" s="3">
        <v>24</v>
      </c>
      <c r="H72" s="3">
        <v>19</v>
      </c>
      <c r="I72" s="3">
        <v>28</v>
      </c>
      <c r="J72" s="4">
        <v>49</v>
      </c>
      <c r="K72" s="5">
        <v>1446</v>
      </c>
      <c r="L72" t="str">
        <f t="shared" si="2"/>
        <v>20170825072</v>
      </c>
      <c r="M72" t="str">
        <f t="shared" si="3"/>
        <v>20170825</v>
      </c>
    </row>
    <row r="73" spans="1:13" x14ac:dyDescent="0.25">
      <c r="A73" s="4">
        <v>2017</v>
      </c>
      <c r="B73" s="7">
        <v>42976</v>
      </c>
      <c r="C73" s="2">
        <v>73</v>
      </c>
      <c r="D73" s="3">
        <v>31</v>
      </c>
      <c r="E73" s="3">
        <v>25</v>
      </c>
      <c r="F73" s="3">
        <v>49</v>
      </c>
      <c r="G73" s="3">
        <v>18</v>
      </c>
      <c r="H73" s="3">
        <v>5</v>
      </c>
      <c r="I73" s="3">
        <v>48</v>
      </c>
      <c r="J73" s="4">
        <v>44</v>
      </c>
      <c r="K73" s="5">
        <v>1447</v>
      </c>
      <c r="L73" t="str">
        <f t="shared" si="2"/>
        <v>20170829073</v>
      </c>
      <c r="M73" t="str">
        <f t="shared" si="3"/>
        <v>20170829</v>
      </c>
    </row>
    <row r="74" spans="1:13" x14ac:dyDescent="0.25">
      <c r="A74" s="4">
        <v>2017</v>
      </c>
      <c r="B74" s="7">
        <v>42979</v>
      </c>
      <c r="C74" s="2">
        <v>74</v>
      </c>
      <c r="D74" s="3">
        <v>11</v>
      </c>
      <c r="E74" s="3">
        <v>14</v>
      </c>
      <c r="F74" s="3">
        <v>36</v>
      </c>
      <c r="G74" s="3">
        <v>16</v>
      </c>
      <c r="H74" s="3">
        <v>40</v>
      </c>
      <c r="I74" s="3">
        <v>5</v>
      </c>
      <c r="J74" s="4">
        <v>46</v>
      </c>
      <c r="K74" s="5">
        <v>1448</v>
      </c>
      <c r="L74" t="str">
        <f t="shared" si="2"/>
        <v>20170901074</v>
      </c>
      <c r="M74" t="str">
        <f t="shared" si="3"/>
        <v>20170901</v>
      </c>
    </row>
    <row r="75" spans="1:13" x14ac:dyDescent="0.25">
      <c r="A75" s="4">
        <v>2017</v>
      </c>
      <c r="B75" s="7">
        <v>42983</v>
      </c>
      <c r="C75" s="2">
        <v>75</v>
      </c>
      <c r="D75" s="3">
        <v>33</v>
      </c>
      <c r="E75" s="3">
        <v>27</v>
      </c>
      <c r="F75" s="3">
        <v>23</v>
      </c>
      <c r="G75" s="3">
        <v>13</v>
      </c>
      <c r="H75" s="3">
        <v>17</v>
      </c>
      <c r="I75" s="3">
        <v>41</v>
      </c>
      <c r="J75" s="4">
        <v>2</v>
      </c>
      <c r="K75" s="5">
        <v>1449</v>
      </c>
      <c r="L75" t="str">
        <f t="shared" si="2"/>
        <v>20170905075</v>
      </c>
      <c r="M75" t="str">
        <f t="shared" si="3"/>
        <v>20170905</v>
      </c>
    </row>
    <row r="76" spans="1:13" x14ac:dyDescent="0.25">
      <c r="A76" s="4">
        <v>2017</v>
      </c>
      <c r="B76" s="7">
        <v>42986</v>
      </c>
      <c r="C76" s="2">
        <v>76</v>
      </c>
      <c r="D76" s="3">
        <v>13</v>
      </c>
      <c r="E76" s="3">
        <v>19</v>
      </c>
      <c r="F76" s="3">
        <v>29</v>
      </c>
      <c r="G76" s="3">
        <v>15</v>
      </c>
      <c r="H76" s="3">
        <v>42</v>
      </c>
      <c r="I76" s="3">
        <v>8</v>
      </c>
      <c r="J76" s="4">
        <v>25</v>
      </c>
      <c r="K76" s="5">
        <v>1450</v>
      </c>
      <c r="L76" t="str">
        <f t="shared" si="2"/>
        <v>20170908076</v>
      </c>
      <c r="M76" t="str">
        <f t="shared" si="3"/>
        <v>20170908</v>
      </c>
    </row>
    <row r="77" spans="1:13" x14ac:dyDescent="0.25">
      <c r="A77" s="4"/>
      <c r="B77" s="7"/>
      <c r="C77" s="2"/>
      <c r="D77" s="3"/>
      <c r="E77" s="3"/>
      <c r="F77" s="3"/>
      <c r="G77" s="3"/>
      <c r="H77" s="3"/>
      <c r="I77" s="3"/>
      <c r="J77" s="4"/>
      <c r="K77" s="5"/>
      <c r="L77" t="str">
        <f t="shared" si="2"/>
        <v>00000100000</v>
      </c>
      <c r="M77" t="str">
        <f t="shared" si="3"/>
        <v>00000100</v>
      </c>
    </row>
    <row r="78" spans="1:13" x14ac:dyDescent="0.25">
      <c r="A78" s="4"/>
      <c r="B78" s="7"/>
      <c r="C78" s="2"/>
      <c r="D78" s="3"/>
      <c r="E78" s="3"/>
      <c r="F78" s="3"/>
      <c r="G78" s="3"/>
      <c r="H78" s="3"/>
      <c r="I78" s="3"/>
      <c r="J78" s="4"/>
      <c r="K78" s="5"/>
      <c r="L78" t="str">
        <f t="shared" si="2"/>
        <v>00000100000</v>
      </c>
      <c r="M78" t="str">
        <f t="shared" si="3"/>
        <v>00000100</v>
      </c>
    </row>
    <row r="79" spans="1:13" x14ac:dyDescent="0.25">
      <c r="A79" s="4"/>
      <c r="B79" s="7"/>
      <c r="C79" s="2"/>
      <c r="D79" s="3"/>
      <c r="E79" s="3"/>
      <c r="F79" s="3"/>
      <c r="G79" s="3"/>
      <c r="H79" s="3"/>
      <c r="I79" s="3"/>
      <c r="J79" s="4"/>
      <c r="K79" s="5"/>
      <c r="L79" t="str">
        <f t="shared" si="2"/>
        <v>00000100000</v>
      </c>
      <c r="M79" t="str">
        <f t="shared" si="3"/>
        <v>00000100</v>
      </c>
    </row>
    <row r="80" spans="1:13" x14ac:dyDescent="0.25">
      <c r="A80" s="4"/>
      <c r="B80" s="7"/>
      <c r="C80" s="2"/>
      <c r="D80" s="3"/>
      <c r="E80" s="3"/>
      <c r="F80" s="3"/>
      <c r="G80" s="3"/>
      <c r="H80" s="3"/>
      <c r="I80" s="3"/>
      <c r="J80" s="4"/>
      <c r="K80" s="5"/>
      <c r="L80" t="str">
        <f t="shared" si="2"/>
        <v>00000100000</v>
      </c>
      <c r="M80" t="str">
        <f t="shared" si="3"/>
        <v>00000100</v>
      </c>
    </row>
    <row r="81" spans="1:13" x14ac:dyDescent="0.25">
      <c r="A81" s="4"/>
      <c r="B81" s="7"/>
      <c r="C81" s="2"/>
      <c r="D81" s="3"/>
      <c r="E81" s="3"/>
      <c r="F81" s="3"/>
      <c r="G81" s="3"/>
      <c r="H81" s="3"/>
      <c r="I81" s="3"/>
      <c r="J81" s="4"/>
      <c r="K81" s="5"/>
      <c r="L81" t="str">
        <f t="shared" si="2"/>
        <v>00000100000</v>
      </c>
      <c r="M81" t="str">
        <f t="shared" si="3"/>
        <v>00000100</v>
      </c>
    </row>
    <row r="82" spans="1:13" x14ac:dyDescent="0.25">
      <c r="A82" s="4"/>
      <c r="B82" s="7"/>
      <c r="C82" s="2"/>
      <c r="D82" s="3"/>
      <c r="E82" s="3"/>
      <c r="F82" s="3"/>
      <c r="G82" s="3"/>
      <c r="H82" s="3"/>
      <c r="I82" s="3"/>
      <c r="J82" s="4"/>
      <c r="K82" s="5"/>
      <c r="L82" t="str">
        <f t="shared" si="2"/>
        <v>00000100000</v>
      </c>
      <c r="M82" t="str">
        <f t="shared" si="3"/>
        <v>00000100</v>
      </c>
    </row>
    <row r="83" spans="1:13" x14ac:dyDescent="0.25">
      <c r="A83" s="4"/>
      <c r="B83" s="7"/>
      <c r="C83" s="2"/>
      <c r="D83" s="3"/>
      <c r="E83" s="3"/>
      <c r="F83" s="3"/>
      <c r="G83" s="3"/>
      <c r="H83" s="3"/>
      <c r="I83" s="3"/>
      <c r="J83" s="4"/>
      <c r="K83" s="5"/>
      <c r="L83" t="str">
        <f t="shared" si="2"/>
        <v>00000100000</v>
      </c>
      <c r="M83" t="str">
        <f t="shared" si="3"/>
        <v>00000100</v>
      </c>
    </row>
    <row r="84" spans="1:13" x14ac:dyDescent="0.25">
      <c r="A84" s="4"/>
      <c r="B84" s="7"/>
      <c r="C84" s="2"/>
      <c r="D84" s="3"/>
      <c r="E84" s="3"/>
      <c r="F84" s="3"/>
      <c r="G84" s="3"/>
      <c r="H84" s="3"/>
      <c r="I84" s="3"/>
      <c r="J84" s="4"/>
      <c r="K84" s="5"/>
      <c r="L84" t="str">
        <f t="shared" si="2"/>
        <v>00000100000</v>
      </c>
      <c r="M84" t="str">
        <f t="shared" si="3"/>
        <v>00000100</v>
      </c>
    </row>
    <row r="85" spans="1:13" x14ac:dyDescent="0.25">
      <c r="A85" s="4"/>
      <c r="B85" s="7"/>
      <c r="C85" s="2"/>
      <c r="D85" s="3"/>
      <c r="E85" s="3"/>
      <c r="F85" s="3"/>
      <c r="G85" s="3"/>
      <c r="H85" s="3"/>
      <c r="I85" s="3"/>
      <c r="J85" s="4"/>
      <c r="K85" s="5"/>
      <c r="L85" t="str">
        <f t="shared" si="2"/>
        <v>00000100000</v>
      </c>
      <c r="M85" t="str">
        <f t="shared" si="3"/>
        <v>00000100</v>
      </c>
    </row>
    <row r="86" spans="1:13" x14ac:dyDescent="0.25">
      <c r="A86" s="4"/>
      <c r="B86" s="7"/>
      <c r="C86" s="2"/>
      <c r="D86" s="3"/>
      <c r="E86" s="3"/>
      <c r="F86" s="3"/>
      <c r="G86" s="3"/>
      <c r="H86" s="3"/>
      <c r="I86" s="3"/>
      <c r="J86" s="4"/>
      <c r="K86" s="5"/>
      <c r="L86" t="str">
        <f t="shared" si="2"/>
        <v>00000100000</v>
      </c>
      <c r="M86" t="str">
        <f t="shared" si="3"/>
        <v>00000100</v>
      </c>
    </row>
    <row r="87" spans="1:13" x14ac:dyDescent="0.25">
      <c r="A87" s="4"/>
      <c r="B87" s="7"/>
      <c r="C87" s="2"/>
      <c r="D87" s="3"/>
      <c r="E87" s="3"/>
      <c r="F87" s="3"/>
      <c r="G87" s="3"/>
      <c r="H87" s="3"/>
      <c r="I87" s="3"/>
      <c r="J87" s="4"/>
      <c r="K87" s="5"/>
      <c r="L87" t="str">
        <f t="shared" si="2"/>
        <v>00000100000</v>
      </c>
      <c r="M87" t="str">
        <f t="shared" si="3"/>
        <v>00000100</v>
      </c>
    </row>
    <row r="88" spans="1:13" x14ac:dyDescent="0.25">
      <c r="A88" s="4"/>
      <c r="B88" s="7"/>
      <c r="C88" s="2"/>
      <c r="D88" s="3"/>
      <c r="E88" s="3"/>
      <c r="F88" s="3"/>
      <c r="G88" s="3"/>
      <c r="H88" s="3"/>
      <c r="I88" s="3"/>
      <c r="J88" s="4"/>
      <c r="K88" s="5"/>
      <c r="L88" t="str">
        <f t="shared" si="2"/>
        <v>00000100000</v>
      </c>
      <c r="M88" t="str">
        <f t="shared" si="3"/>
        <v>00000100</v>
      </c>
    </row>
    <row r="89" spans="1:13" x14ac:dyDescent="0.25">
      <c r="A89" s="4"/>
      <c r="B89" s="7"/>
      <c r="C89" s="2"/>
      <c r="D89" s="3"/>
      <c r="E89" s="3"/>
      <c r="F89" s="3"/>
      <c r="G89" s="3"/>
      <c r="H89" s="3"/>
      <c r="I89" s="3"/>
      <c r="J89" s="4"/>
      <c r="K89" s="5"/>
      <c r="L89" t="str">
        <f t="shared" si="2"/>
        <v>00000100000</v>
      </c>
      <c r="M89" t="str">
        <f t="shared" si="3"/>
        <v>00000100</v>
      </c>
    </row>
    <row r="90" spans="1:13" x14ac:dyDescent="0.25">
      <c r="A90" s="4"/>
      <c r="B90" s="7"/>
      <c r="C90" s="2"/>
      <c r="D90" s="3"/>
      <c r="E90" s="3"/>
      <c r="F90" s="3"/>
      <c r="G90" s="3"/>
      <c r="H90" s="3"/>
      <c r="I90" s="3"/>
      <c r="J90" s="4"/>
      <c r="K90" s="5"/>
      <c r="L90" t="str">
        <f t="shared" si="2"/>
        <v>00000100000</v>
      </c>
      <c r="M90" t="str">
        <f t="shared" si="3"/>
        <v>00000100</v>
      </c>
    </row>
    <row r="91" spans="1:13" x14ac:dyDescent="0.25">
      <c r="A91" s="4"/>
      <c r="B91" s="7"/>
      <c r="C91" s="2"/>
      <c r="D91" s="3"/>
      <c r="E91" s="3"/>
      <c r="F91" s="3"/>
      <c r="G91" s="3"/>
      <c r="H91" s="3"/>
      <c r="I91" s="3"/>
      <c r="J91" s="4"/>
      <c r="K91" s="5"/>
      <c r="L91" t="str">
        <f t="shared" si="2"/>
        <v>00000100000</v>
      </c>
      <c r="M91" t="str">
        <f t="shared" si="3"/>
        <v>00000100</v>
      </c>
    </row>
    <row r="92" spans="1:13" x14ac:dyDescent="0.25">
      <c r="A92" s="4"/>
      <c r="B92" s="7"/>
      <c r="C92" s="2"/>
      <c r="D92" s="3"/>
      <c r="E92" s="3"/>
      <c r="F92" s="3"/>
      <c r="G92" s="3"/>
      <c r="H92" s="3"/>
      <c r="I92" s="3"/>
      <c r="J92" s="4"/>
      <c r="K92" s="5"/>
      <c r="L92" t="str">
        <f t="shared" si="2"/>
        <v>00000100000</v>
      </c>
      <c r="M92" t="str">
        <f t="shared" si="3"/>
        <v>00000100</v>
      </c>
    </row>
    <row r="93" spans="1:13" x14ac:dyDescent="0.25">
      <c r="A93" s="4"/>
      <c r="B93" s="7"/>
      <c r="C93" s="2"/>
      <c r="D93" s="3"/>
      <c r="E93" s="3"/>
      <c r="F93" s="3"/>
      <c r="G93" s="3"/>
      <c r="H93" s="3"/>
      <c r="I93" s="3"/>
      <c r="J93" s="4"/>
      <c r="K93" s="5"/>
      <c r="L93" t="str">
        <f t="shared" si="2"/>
        <v>00000100000</v>
      </c>
      <c r="M93" t="str">
        <f t="shared" si="3"/>
        <v>00000100</v>
      </c>
    </row>
    <row r="94" spans="1:13" x14ac:dyDescent="0.25">
      <c r="A94" s="4"/>
      <c r="B94" s="7"/>
      <c r="C94" s="2"/>
      <c r="D94" s="3"/>
      <c r="E94" s="3"/>
      <c r="F94" s="3"/>
      <c r="G94" s="3"/>
      <c r="H94" s="3"/>
      <c r="I94" s="3"/>
      <c r="J94" s="4"/>
      <c r="K94" s="5"/>
      <c r="L94" t="str">
        <f t="shared" si="2"/>
        <v>00000100000</v>
      </c>
      <c r="M94" t="str">
        <f t="shared" si="3"/>
        <v>00000100</v>
      </c>
    </row>
    <row r="95" spans="1:13" x14ac:dyDescent="0.25">
      <c r="A95" s="4"/>
      <c r="B95" s="7"/>
      <c r="C95" s="2"/>
      <c r="D95" s="3"/>
      <c r="E95" s="3"/>
      <c r="F95" s="3"/>
      <c r="G95" s="3"/>
      <c r="H95" s="3"/>
      <c r="I95" s="3"/>
      <c r="J95" s="4"/>
      <c r="K95" s="5"/>
      <c r="L95" t="str">
        <f t="shared" si="2"/>
        <v>00000100000</v>
      </c>
      <c r="M95" t="str">
        <f t="shared" si="3"/>
        <v>00000100</v>
      </c>
    </row>
    <row r="96" spans="1:13" x14ac:dyDescent="0.25">
      <c r="A96" s="4"/>
      <c r="B96" s="7"/>
      <c r="C96" s="2"/>
      <c r="D96" s="3"/>
      <c r="E96" s="3"/>
      <c r="F96" s="3"/>
      <c r="G96" s="3"/>
      <c r="H96" s="3"/>
      <c r="I96" s="3"/>
      <c r="J96" s="4"/>
      <c r="K96" s="5"/>
      <c r="L96" t="str">
        <f t="shared" si="2"/>
        <v>00000100000</v>
      </c>
      <c r="M96" t="str">
        <f t="shared" si="3"/>
        <v>00000100</v>
      </c>
    </row>
    <row r="97" spans="1:13" x14ac:dyDescent="0.25">
      <c r="A97" s="4"/>
      <c r="B97" s="7"/>
      <c r="C97" s="2"/>
      <c r="D97" s="3"/>
      <c r="E97" s="3"/>
      <c r="F97" s="3"/>
      <c r="G97" s="3"/>
      <c r="H97" s="3"/>
      <c r="I97" s="3"/>
      <c r="J97" s="4"/>
      <c r="K97" s="5"/>
      <c r="L97" t="str">
        <f t="shared" si="2"/>
        <v>00000100000</v>
      </c>
      <c r="M97" t="str">
        <f t="shared" si="3"/>
        <v>00000100</v>
      </c>
    </row>
    <row r="98" spans="1:13" x14ac:dyDescent="0.25">
      <c r="A98" s="4"/>
      <c r="B98" s="7"/>
      <c r="C98" s="2"/>
      <c r="D98" s="3"/>
      <c r="E98" s="3"/>
      <c r="F98" s="3"/>
      <c r="G98" s="3"/>
      <c r="H98" s="3"/>
      <c r="I98" s="3"/>
      <c r="J98" s="4"/>
      <c r="K98" s="5"/>
      <c r="L98" t="str">
        <f t="shared" si="2"/>
        <v>00000100000</v>
      </c>
      <c r="M98" t="str">
        <f t="shared" si="3"/>
        <v>00000100</v>
      </c>
    </row>
    <row r="99" spans="1:13" x14ac:dyDescent="0.25">
      <c r="A99" s="4"/>
      <c r="B99" s="7"/>
      <c r="C99" s="2"/>
      <c r="D99" s="3"/>
      <c r="E99" s="3"/>
      <c r="F99" s="3"/>
      <c r="G99" s="3"/>
      <c r="H99" s="3"/>
      <c r="I99" s="3"/>
      <c r="J99" s="4"/>
      <c r="K99" s="5"/>
      <c r="L99" t="str">
        <f t="shared" si="2"/>
        <v>00000100000</v>
      </c>
      <c r="M99" t="str">
        <f t="shared" si="3"/>
        <v>00000100</v>
      </c>
    </row>
    <row r="100" spans="1:13" x14ac:dyDescent="0.25">
      <c r="A100" s="4"/>
      <c r="B100" s="7"/>
      <c r="C100" s="2"/>
      <c r="D100" s="3"/>
      <c r="E100" s="3"/>
      <c r="F100" s="3"/>
      <c r="G100" s="3"/>
      <c r="H100" s="3"/>
      <c r="I100" s="3"/>
      <c r="J100" s="4"/>
      <c r="K100" s="5"/>
      <c r="L100" t="str">
        <f t="shared" si="2"/>
        <v>00000100000</v>
      </c>
      <c r="M100" t="str">
        <f t="shared" si="3"/>
        <v>00000100</v>
      </c>
    </row>
    <row r="101" spans="1:13" x14ac:dyDescent="0.25">
      <c r="A101" s="4"/>
      <c r="B101" s="7"/>
      <c r="C101" s="2"/>
      <c r="D101" s="3"/>
      <c r="E101" s="3"/>
      <c r="F101" s="3"/>
      <c r="G101" s="3"/>
      <c r="H101" s="3"/>
      <c r="I101" s="3"/>
      <c r="J101" s="4"/>
      <c r="K101" s="5"/>
      <c r="L101" t="str">
        <f t="shared" si="2"/>
        <v>00000100000</v>
      </c>
      <c r="M101" t="str">
        <f t="shared" si="3"/>
        <v>00000100</v>
      </c>
    </row>
    <row r="102" spans="1:13" x14ac:dyDescent="0.25">
      <c r="A102" s="4"/>
      <c r="B102" s="7"/>
      <c r="C102" s="2"/>
      <c r="D102" s="3"/>
      <c r="E102" s="3"/>
      <c r="F102" s="3"/>
      <c r="G102" s="3"/>
      <c r="H102" s="3"/>
      <c r="I102" s="3"/>
      <c r="J102" s="4"/>
      <c r="K102" s="5"/>
      <c r="L102" t="str">
        <f t="shared" si="2"/>
        <v>00000100000</v>
      </c>
      <c r="M102" t="str">
        <f t="shared" si="3"/>
        <v>00000100</v>
      </c>
    </row>
    <row r="103" spans="1:13" x14ac:dyDescent="0.25">
      <c r="A103" s="4"/>
      <c r="B103" s="7"/>
      <c r="C103" s="2"/>
      <c r="D103" s="3"/>
      <c r="E103" s="3"/>
      <c r="F103" s="3"/>
      <c r="G103" s="3"/>
      <c r="H103" s="3"/>
      <c r="I103" s="3"/>
      <c r="J103" s="4"/>
      <c r="K103" s="5"/>
      <c r="L103" t="str">
        <f t="shared" si="2"/>
        <v>00000100000</v>
      </c>
      <c r="M103" t="str">
        <f t="shared" si="3"/>
        <v>00000100</v>
      </c>
    </row>
    <row r="104" spans="1:13" x14ac:dyDescent="0.25">
      <c r="A104" s="4"/>
      <c r="B104" s="7"/>
      <c r="C104" s="2"/>
      <c r="D104" s="3"/>
      <c r="E104" s="3"/>
      <c r="F104" s="3"/>
      <c r="G104" s="3"/>
      <c r="H104" s="3"/>
      <c r="I104" s="3"/>
      <c r="J104" s="4"/>
      <c r="K104" s="5"/>
      <c r="L104" t="str">
        <f t="shared" si="2"/>
        <v>00000100000</v>
      </c>
      <c r="M104" t="str">
        <f t="shared" si="3"/>
        <v>00000100</v>
      </c>
    </row>
    <row r="105" spans="1:13" x14ac:dyDescent="0.25">
      <c r="A105" s="4"/>
      <c r="B105" s="7"/>
      <c r="C105" s="2"/>
      <c r="D105" s="3"/>
      <c r="E105" s="3"/>
      <c r="F105" s="3"/>
      <c r="G105" s="3"/>
      <c r="H105" s="3"/>
      <c r="I105" s="3"/>
      <c r="J105" s="4"/>
      <c r="K105" s="5"/>
      <c r="L105" t="str">
        <f t="shared" si="2"/>
        <v>00000100000</v>
      </c>
      <c r="M105" t="str">
        <f t="shared" si="3"/>
        <v>00000100</v>
      </c>
    </row>
    <row r="106" spans="1:13" x14ac:dyDescent="0.25">
      <c r="A106" s="4"/>
      <c r="B106" s="7"/>
      <c r="C106" s="2"/>
      <c r="D106" s="3"/>
      <c r="E106" s="3"/>
      <c r="F106" s="3"/>
      <c r="G106" s="3"/>
      <c r="H106" s="3"/>
      <c r="I106" s="3"/>
      <c r="J106" s="4"/>
      <c r="K106" s="5"/>
      <c r="L106" t="str">
        <f t="shared" si="2"/>
        <v>00000100000</v>
      </c>
      <c r="M106" t="str">
        <f t="shared" si="3"/>
        <v>00000100</v>
      </c>
    </row>
    <row r="107" spans="1:13" x14ac:dyDescent="0.25">
      <c r="A107" s="4"/>
      <c r="B107" s="7"/>
      <c r="C107" s="2"/>
      <c r="D107" s="3"/>
      <c r="E107" s="3"/>
      <c r="F107" s="3"/>
      <c r="G107" s="3"/>
      <c r="H107" s="3"/>
      <c r="I107" s="3"/>
      <c r="J107" s="4"/>
      <c r="K107" s="5"/>
      <c r="L107" t="str">
        <f t="shared" si="2"/>
        <v>00000100000</v>
      </c>
      <c r="M107" t="str">
        <f t="shared" si="3"/>
        <v>00000100</v>
      </c>
    </row>
    <row r="108" spans="1:13" x14ac:dyDescent="0.25">
      <c r="A108" s="4"/>
      <c r="B108" s="7"/>
      <c r="C108" s="2"/>
      <c r="D108" s="3"/>
      <c r="E108" s="3"/>
      <c r="F108" s="3"/>
      <c r="G108" s="3"/>
      <c r="H108" s="3"/>
      <c r="I108" s="3"/>
      <c r="J108" s="4"/>
      <c r="K108" s="5"/>
      <c r="L108" t="str">
        <f t="shared" si="2"/>
        <v>00000100000</v>
      </c>
      <c r="M108" t="str">
        <f t="shared" si="3"/>
        <v>00000100</v>
      </c>
    </row>
    <row r="109" spans="1:13" x14ac:dyDescent="0.25">
      <c r="A109" s="4"/>
      <c r="B109" s="7"/>
      <c r="C109" s="2"/>
      <c r="D109" s="3"/>
      <c r="E109" s="3"/>
      <c r="F109" s="3"/>
      <c r="G109" s="3"/>
      <c r="H109" s="3"/>
      <c r="I109" s="3"/>
      <c r="J109" s="4"/>
      <c r="K109" s="5"/>
      <c r="L109" t="str">
        <f t="shared" si="2"/>
        <v>00000100000</v>
      </c>
      <c r="M109" t="str">
        <f t="shared" si="3"/>
        <v>00000100</v>
      </c>
    </row>
    <row r="110" spans="1:13" x14ac:dyDescent="0.25">
      <c r="A110" s="4"/>
      <c r="B110" s="7"/>
      <c r="C110" s="2"/>
      <c r="D110" s="3"/>
      <c r="E110" s="3"/>
      <c r="F110" s="3"/>
      <c r="G110" s="3"/>
      <c r="H110" s="3"/>
      <c r="I110" s="3"/>
      <c r="J110" s="4"/>
      <c r="K110" s="5"/>
      <c r="L110" t="str">
        <f t="shared" si="2"/>
        <v>00000100000</v>
      </c>
      <c r="M110" t="str">
        <f t="shared" si="3"/>
        <v>00000100</v>
      </c>
    </row>
    <row r="111" spans="1:13" x14ac:dyDescent="0.25">
      <c r="A111" s="4"/>
      <c r="B111" s="7"/>
      <c r="C111" s="2"/>
      <c r="D111" s="3"/>
      <c r="E111" s="3"/>
      <c r="F111" s="3"/>
      <c r="G111" s="3"/>
      <c r="H111" s="3"/>
      <c r="I111" s="3"/>
      <c r="J111" s="4"/>
      <c r="K111" s="5"/>
      <c r="L111" t="str">
        <f t="shared" si="2"/>
        <v>00000100000</v>
      </c>
      <c r="M111" t="str">
        <f t="shared" si="3"/>
        <v>00000100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11"/>
  <sheetViews>
    <sheetView topLeftCell="A93" zoomScale="145" zoomScaleNormal="145" workbookViewId="0">
      <selection activeCell="D96" sqref="D96:J111"/>
    </sheetView>
  </sheetViews>
  <sheetFormatPr defaultRowHeight="16.5" x14ac:dyDescent="0.25"/>
  <cols>
    <col min="1" max="1" width="5.625" bestFit="1" customWidth="1"/>
    <col min="2" max="2" width="8.375" bestFit="1" customWidth="1"/>
    <col min="3" max="3" width="5.125" bestFit="1" customWidth="1"/>
    <col min="4" max="4" width="3.875" bestFit="1" customWidth="1"/>
    <col min="5" max="10" width="3.375" bestFit="1" customWidth="1"/>
    <col min="11" max="11" width="5.625" bestFit="1" customWidth="1"/>
    <col min="12" max="12" width="11.875" bestFit="1" customWidth="1"/>
    <col min="13" max="13" width="8.875" bestFit="1" customWidth="1"/>
  </cols>
  <sheetData>
    <row r="1" spans="1:13" x14ac:dyDescent="0.25">
      <c r="A1" s="4">
        <v>2016</v>
      </c>
      <c r="B1" s="7">
        <v>42370</v>
      </c>
      <c r="C1" s="2">
        <v>1</v>
      </c>
      <c r="D1" s="3">
        <v>16</v>
      </c>
      <c r="E1" s="3">
        <v>41</v>
      </c>
      <c r="F1" s="3">
        <v>29</v>
      </c>
      <c r="G1" s="3">
        <v>19</v>
      </c>
      <c r="H1" s="3">
        <v>24</v>
      </c>
      <c r="I1" s="3">
        <v>43</v>
      </c>
      <c r="J1" s="4">
        <v>32</v>
      </c>
      <c r="K1" s="5">
        <v>1264</v>
      </c>
      <c r="L1" t="str">
        <f t="shared" ref="L1:L3" si="0">CONCATENATE(TEXT(A1,"0000"),TEXT(B1,"mmdd"),TEXT(C1,"000"))</f>
        <v>20160101001</v>
      </c>
      <c r="M1" t="str">
        <f t="shared" ref="M1:M3" si="1">CONCATENATE(TEXT(A1,"0000"),TEXT(B1,"mmdd"))</f>
        <v>20160101</v>
      </c>
    </row>
    <row r="2" spans="1:13" x14ac:dyDescent="0.25">
      <c r="A2" s="4">
        <v>2016</v>
      </c>
      <c r="B2" s="7">
        <v>42374</v>
      </c>
      <c r="C2" s="2">
        <v>2</v>
      </c>
      <c r="D2" s="3" t="s">
        <v>123</v>
      </c>
      <c r="E2" s="3">
        <v>33</v>
      </c>
      <c r="F2" s="3">
        <v>15</v>
      </c>
      <c r="G2" s="3">
        <v>25</v>
      </c>
      <c r="H2" s="3">
        <v>3</v>
      </c>
      <c r="I2" s="3">
        <v>1</v>
      </c>
      <c r="J2" s="4">
        <v>21</v>
      </c>
      <c r="K2" s="5">
        <v>1265</v>
      </c>
      <c r="L2" t="str">
        <f t="shared" si="0"/>
        <v>20160105002</v>
      </c>
      <c r="M2" t="str">
        <f t="shared" si="1"/>
        <v>20160105</v>
      </c>
    </row>
    <row r="3" spans="1:13" x14ac:dyDescent="0.25">
      <c r="A3" s="4">
        <v>2016</v>
      </c>
      <c r="B3" s="7">
        <v>42377</v>
      </c>
      <c r="C3" s="2">
        <v>3</v>
      </c>
      <c r="D3" s="3">
        <v>13</v>
      </c>
      <c r="E3" s="3">
        <v>28</v>
      </c>
      <c r="F3" s="3">
        <v>44</v>
      </c>
      <c r="G3" s="3">
        <v>3</v>
      </c>
      <c r="H3" s="3">
        <v>48</v>
      </c>
      <c r="I3" s="3">
        <v>10</v>
      </c>
      <c r="J3" s="4">
        <v>1</v>
      </c>
      <c r="K3" s="5">
        <v>1266</v>
      </c>
      <c r="L3" t="str">
        <f t="shared" si="0"/>
        <v>20160108003</v>
      </c>
      <c r="M3" t="str">
        <f t="shared" si="1"/>
        <v>20160108</v>
      </c>
    </row>
    <row r="4" spans="1:13" x14ac:dyDescent="0.25">
      <c r="A4" s="4">
        <v>2016</v>
      </c>
      <c r="B4" s="7">
        <v>42381</v>
      </c>
      <c r="C4" s="2">
        <v>4</v>
      </c>
      <c r="D4" s="3">
        <v>18</v>
      </c>
      <c r="E4" s="3">
        <v>15</v>
      </c>
      <c r="F4" s="3">
        <v>5</v>
      </c>
      <c r="G4" s="3">
        <v>44</v>
      </c>
      <c r="H4" s="3">
        <v>40</v>
      </c>
      <c r="I4" s="3">
        <v>39</v>
      </c>
      <c r="J4" s="4">
        <v>37</v>
      </c>
      <c r="K4" s="5">
        <v>1267</v>
      </c>
      <c r="L4" t="str">
        <f t="shared" ref="L4:L21" si="2">CONCATENATE(TEXT(A4,"0000"),TEXT(B4,"mmdd"),TEXT(C4,"000"))</f>
        <v>20160112004</v>
      </c>
      <c r="M4" t="str">
        <f t="shared" ref="M4:M21" si="3">CONCATENATE(TEXT(A4,"0000"),TEXT(B4,"mmdd"))</f>
        <v>20160112</v>
      </c>
    </row>
    <row r="5" spans="1:13" x14ac:dyDescent="0.25">
      <c r="A5" s="4">
        <v>2016</v>
      </c>
      <c r="B5" s="7">
        <v>42384</v>
      </c>
      <c r="C5" s="2">
        <v>5</v>
      </c>
      <c r="D5" s="3">
        <v>27</v>
      </c>
      <c r="E5" s="3">
        <v>11</v>
      </c>
      <c r="F5" s="3">
        <v>42</v>
      </c>
      <c r="G5" s="3">
        <v>6</v>
      </c>
      <c r="H5" s="3">
        <v>16</v>
      </c>
      <c r="I5" s="3">
        <v>17</v>
      </c>
      <c r="J5" s="4">
        <v>35</v>
      </c>
      <c r="K5" s="5">
        <v>1268</v>
      </c>
      <c r="L5" t="str">
        <f t="shared" si="2"/>
        <v>20160115005</v>
      </c>
      <c r="M5" t="str">
        <f t="shared" si="3"/>
        <v>20160115</v>
      </c>
    </row>
    <row r="6" spans="1:13" x14ac:dyDescent="0.25">
      <c r="A6" s="4">
        <v>2016</v>
      </c>
      <c r="B6" s="7">
        <v>42388</v>
      </c>
      <c r="C6" s="2">
        <v>6</v>
      </c>
      <c r="D6" s="3">
        <v>14</v>
      </c>
      <c r="E6" s="3">
        <v>9</v>
      </c>
      <c r="F6" s="3">
        <v>46</v>
      </c>
      <c r="G6" s="3">
        <v>4</v>
      </c>
      <c r="H6" s="3">
        <v>23</v>
      </c>
      <c r="I6" s="3">
        <v>44</v>
      </c>
      <c r="J6" s="4">
        <v>41</v>
      </c>
      <c r="K6" s="5">
        <v>1269</v>
      </c>
      <c r="L6" t="str">
        <f t="shared" si="2"/>
        <v>20160119006</v>
      </c>
      <c r="M6" t="str">
        <f t="shared" si="3"/>
        <v>20160119</v>
      </c>
    </row>
    <row r="7" spans="1:13" x14ac:dyDescent="0.25">
      <c r="A7" s="4">
        <v>2016</v>
      </c>
      <c r="B7" s="7">
        <v>42391</v>
      </c>
      <c r="C7" s="2">
        <v>7</v>
      </c>
      <c r="D7" s="3">
        <v>46</v>
      </c>
      <c r="E7" s="3">
        <v>20</v>
      </c>
      <c r="F7" s="3">
        <v>10</v>
      </c>
      <c r="G7" s="3">
        <v>17</v>
      </c>
      <c r="H7" s="3">
        <v>15</v>
      </c>
      <c r="I7" s="3">
        <v>43</v>
      </c>
      <c r="J7" s="4">
        <v>37</v>
      </c>
      <c r="K7" s="5">
        <v>1270</v>
      </c>
      <c r="L7" t="str">
        <f t="shared" si="2"/>
        <v>20160122007</v>
      </c>
      <c r="M7" t="str">
        <f t="shared" si="3"/>
        <v>20160122</v>
      </c>
    </row>
    <row r="8" spans="1:13" x14ac:dyDescent="0.25">
      <c r="A8" s="4">
        <v>2016</v>
      </c>
      <c r="B8" s="7">
        <v>42395</v>
      </c>
      <c r="C8" s="2">
        <v>8</v>
      </c>
      <c r="D8" s="3">
        <v>17</v>
      </c>
      <c r="E8" s="3">
        <v>46</v>
      </c>
      <c r="F8" s="3">
        <v>35</v>
      </c>
      <c r="G8" s="3">
        <v>11</v>
      </c>
      <c r="H8" s="3">
        <v>13</v>
      </c>
      <c r="I8" s="3">
        <v>39</v>
      </c>
      <c r="J8" s="4">
        <v>2</v>
      </c>
      <c r="K8" s="5">
        <v>1271</v>
      </c>
      <c r="L8" t="str">
        <f t="shared" si="2"/>
        <v>20160126008</v>
      </c>
      <c r="M8" t="str">
        <f t="shared" si="3"/>
        <v>20160126</v>
      </c>
    </row>
    <row r="9" spans="1:13" x14ac:dyDescent="0.25">
      <c r="A9" s="4">
        <v>2016</v>
      </c>
      <c r="B9" s="7">
        <v>42398</v>
      </c>
      <c r="C9" s="2">
        <v>9</v>
      </c>
      <c r="D9" s="3">
        <v>16</v>
      </c>
      <c r="E9" s="3">
        <v>38</v>
      </c>
      <c r="F9" s="3">
        <v>35</v>
      </c>
      <c r="G9" s="3">
        <v>45</v>
      </c>
      <c r="H9" s="3">
        <v>48</v>
      </c>
      <c r="I9" s="3">
        <v>44</v>
      </c>
      <c r="J9" s="4">
        <v>27</v>
      </c>
      <c r="K9" s="5">
        <v>1272</v>
      </c>
      <c r="L9" t="str">
        <f t="shared" si="2"/>
        <v>20160129009</v>
      </c>
      <c r="M9" t="str">
        <f t="shared" si="3"/>
        <v>20160129</v>
      </c>
    </row>
    <row r="10" spans="1:13" x14ac:dyDescent="0.25">
      <c r="A10" s="4">
        <v>2016</v>
      </c>
      <c r="B10" s="7">
        <v>42402</v>
      </c>
      <c r="C10" s="2">
        <v>10</v>
      </c>
      <c r="D10" s="3">
        <v>48</v>
      </c>
      <c r="E10" s="3">
        <v>15</v>
      </c>
      <c r="F10" s="3">
        <v>21</v>
      </c>
      <c r="G10" s="3">
        <v>26</v>
      </c>
      <c r="H10" s="3">
        <v>43</v>
      </c>
      <c r="I10" s="3">
        <v>23</v>
      </c>
      <c r="J10" s="4">
        <v>34</v>
      </c>
      <c r="K10" s="5">
        <v>1273</v>
      </c>
      <c r="L10" t="str">
        <f t="shared" si="2"/>
        <v>20160202010</v>
      </c>
      <c r="M10" t="str">
        <f t="shared" si="3"/>
        <v>20160202</v>
      </c>
    </row>
    <row r="11" spans="1:13" x14ac:dyDescent="0.25">
      <c r="A11" s="4">
        <v>2016</v>
      </c>
      <c r="B11" s="7">
        <v>42405</v>
      </c>
      <c r="C11" s="2">
        <v>11</v>
      </c>
      <c r="D11" s="3">
        <v>41</v>
      </c>
      <c r="E11" s="3">
        <v>5</v>
      </c>
      <c r="F11" s="3">
        <v>30</v>
      </c>
      <c r="G11" s="3">
        <v>4</v>
      </c>
      <c r="H11" s="3">
        <v>26</v>
      </c>
      <c r="I11" s="3">
        <v>38</v>
      </c>
      <c r="J11" s="4">
        <v>28</v>
      </c>
      <c r="K11" s="5">
        <v>1274</v>
      </c>
      <c r="L11" t="str">
        <f t="shared" si="2"/>
        <v>20160205011</v>
      </c>
      <c r="M11" t="str">
        <f t="shared" si="3"/>
        <v>20160205</v>
      </c>
    </row>
    <row r="12" spans="1:13" x14ac:dyDescent="0.25">
      <c r="A12" s="23">
        <v>2016</v>
      </c>
      <c r="B12" s="24">
        <v>42407</v>
      </c>
      <c r="C12" s="25">
        <v>12</v>
      </c>
      <c r="D12" s="26">
        <v>21</v>
      </c>
      <c r="E12" s="26">
        <v>11</v>
      </c>
      <c r="F12" s="26">
        <v>4</v>
      </c>
      <c r="G12" s="26">
        <v>37</v>
      </c>
      <c r="H12" s="26">
        <v>35</v>
      </c>
      <c r="I12" s="26">
        <v>25</v>
      </c>
      <c r="J12" s="23">
        <v>43</v>
      </c>
      <c r="K12" s="5">
        <v>1275</v>
      </c>
      <c r="L12" t="str">
        <f t="shared" si="2"/>
        <v>20160207012</v>
      </c>
      <c r="M12" t="str">
        <f t="shared" si="3"/>
        <v>20160207</v>
      </c>
    </row>
    <row r="13" spans="1:13" x14ac:dyDescent="0.25">
      <c r="A13" s="23">
        <v>2016</v>
      </c>
      <c r="B13" s="24">
        <v>42408</v>
      </c>
      <c r="C13" s="25">
        <v>13</v>
      </c>
      <c r="D13" s="26">
        <v>27</v>
      </c>
      <c r="E13" s="26">
        <v>12</v>
      </c>
      <c r="F13" s="26">
        <v>8</v>
      </c>
      <c r="G13" s="26">
        <v>32</v>
      </c>
      <c r="H13" s="26">
        <v>13</v>
      </c>
      <c r="I13" s="26">
        <v>16</v>
      </c>
      <c r="J13" s="23">
        <v>24</v>
      </c>
      <c r="K13" s="5">
        <v>1276</v>
      </c>
      <c r="L13" t="str">
        <f t="shared" si="2"/>
        <v>20160208013</v>
      </c>
      <c r="M13" t="str">
        <f t="shared" si="3"/>
        <v>20160208</v>
      </c>
    </row>
    <row r="14" spans="1:13" x14ac:dyDescent="0.25">
      <c r="A14" s="4">
        <v>2016</v>
      </c>
      <c r="B14" s="7">
        <v>42409</v>
      </c>
      <c r="C14" s="2">
        <v>14</v>
      </c>
      <c r="D14" s="3">
        <v>31</v>
      </c>
      <c r="E14" s="3">
        <v>25</v>
      </c>
      <c r="F14" s="3">
        <v>9</v>
      </c>
      <c r="G14" s="3">
        <v>24</v>
      </c>
      <c r="H14" s="3">
        <v>45</v>
      </c>
      <c r="I14" s="3">
        <v>37</v>
      </c>
      <c r="J14" s="4">
        <v>12</v>
      </c>
      <c r="K14" s="5">
        <v>1277</v>
      </c>
      <c r="L14" t="str">
        <f t="shared" si="2"/>
        <v>20160209014</v>
      </c>
      <c r="M14" t="str">
        <f t="shared" si="3"/>
        <v>20160209</v>
      </c>
    </row>
    <row r="15" spans="1:13" x14ac:dyDescent="0.25">
      <c r="A15" s="23">
        <v>2016</v>
      </c>
      <c r="B15" s="24">
        <v>42410</v>
      </c>
      <c r="C15" s="25">
        <v>15</v>
      </c>
      <c r="D15" s="26">
        <v>19</v>
      </c>
      <c r="E15" s="26">
        <v>32</v>
      </c>
      <c r="F15" s="26">
        <v>22</v>
      </c>
      <c r="G15" s="26">
        <v>47</v>
      </c>
      <c r="H15" s="26">
        <v>18</v>
      </c>
      <c r="I15" s="26">
        <v>44</v>
      </c>
      <c r="J15" s="23">
        <v>9</v>
      </c>
      <c r="K15" s="5">
        <v>1278</v>
      </c>
      <c r="L15" t="str">
        <f t="shared" si="2"/>
        <v>20160210015</v>
      </c>
      <c r="M15" t="str">
        <f t="shared" si="3"/>
        <v>20160210</v>
      </c>
    </row>
    <row r="16" spans="1:13" x14ac:dyDescent="0.25">
      <c r="A16" s="23">
        <v>2016</v>
      </c>
      <c r="B16" s="24">
        <v>42411</v>
      </c>
      <c r="C16" s="25">
        <v>16</v>
      </c>
      <c r="D16" s="26">
        <v>3</v>
      </c>
      <c r="E16" s="26">
        <v>34</v>
      </c>
      <c r="F16" s="26">
        <v>13</v>
      </c>
      <c r="G16" s="26">
        <v>48</v>
      </c>
      <c r="H16" s="26">
        <v>29</v>
      </c>
      <c r="I16" s="26">
        <v>30</v>
      </c>
      <c r="J16" s="23">
        <v>28</v>
      </c>
      <c r="K16" s="5">
        <v>1279</v>
      </c>
      <c r="L16" t="str">
        <f t="shared" si="2"/>
        <v>20160211016</v>
      </c>
      <c r="M16" t="str">
        <f t="shared" si="3"/>
        <v>20160211</v>
      </c>
    </row>
    <row r="17" spans="1:13" x14ac:dyDescent="0.25">
      <c r="A17" s="4">
        <v>2016</v>
      </c>
      <c r="B17" s="7">
        <v>42412</v>
      </c>
      <c r="C17" s="2">
        <v>17</v>
      </c>
      <c r="D17" s="3">
        <v>32</v>
      </c>
      <c r="E17" s="3">
        <v>22</v>
      </c>
      <c r="F17" s="3">
        <v>6</v>
      </c>
      <c r="G17" s="3">
        <v>10</v>
      </c>
      <c r="H17" s="3">
        <v>11</v>
      </c>
      <c r="I17" s="3">
        <v>45</v>
      </c>
      <c r="J17" s="4">
        <v>4</v>
      </c>
      <c r="K17" s="5">
        <v>1280</v>
      </c>
      <c r="L17" t="str">
        <f t="shared" si="2"/>
        <v>20160212017</v>
      </c>
      <c r="M17" t="str">
        <f t="shared" si="3"/>
        <v>20160212</v>
      </c>
    </row>
    <row r="18" spans="1:13" x14ac:dyDescent="0.25">
      <c r="A18" s="23">
        <v>2016</v>
      </c>
      <c r="B18" s="24">
        <v>42413</v>
      </c>
      <c r="C18" s="25">
        <v>18</v>
      </c>
      <c r="D18" s="26">
        <v>6</v>
      </c>
      <c r="E18" s="26">
        <v>18</v>
      </c>
      <c r="F18" s="26">
        <v>29</v>
      </c>
      <c r="G18" s="26">
        <v>35</v>
      </c>
      <c r="H18" s="26">
        <v>4</v>
      </c>
      <c r="I18" s="26">
        <v>48</v>
      </c>
      <c r="J18" s="23">
        <v>20</v>
      </c>
      <c r="K18" s="5">
        <v>1281</v>
      </c>
      <c r="L18" t="str">
        <f t="shared" si="2"/>
        <v>20160213018</v>
      </c>
      <c r="M18" t="str">
        <f t="shared" si="3"/>
        <v>20160213</v>
      </c>
    </row>
    <row r="19" spans="1:13" x14ac:dyDescent="0.25">
      <c r="A19" s="23">
        <v>2016</v>
      </c>
      <c r="B19" s="24">
        <v>42414</v>
      </c>
      <c r="C19" s="25">
        <v>19</v>
      </c>
      <c r="D19" s="26">
        <v>21</v>
      </c>
      <c r="E19" s="26">
        <v>3</v>
      </c>
      <c r="F19" s="26">
        <v>26</v>
      </c>
      <c r="G19" s="26">
        <v>16</v>
      </c>
      <c r="H19" s="26">
        <v>20</v>
      </c>
      <c r="I19" s="26">
        <v>1</v>
      </c>
      <c r="J19" s="23">
        <v>22</v>
      </c>
      <c r="K19" s="5">
        <v>1282</v>
      </c>
      <c r="L19" t="str">
        <f t="shared" si="2"/>
        <v>20160214019</v>
      </c>
      <c r="M19" t="str">
        <f t="shared" si="3"/>
        <v>20160214</v>
      </c>
    </row>
    <row r="20" spans="1:13" x14ac:dyDescent="0.25">
      <c r="A20" s="4">
        <v>2016</v>
      </c>
      <c r="B20" s="7">
        <v>42414</v>
      </c>
      <c r="C20" s="2">
        <v>19</v>
      </c>
      <c r="D20" s="3">
        <v>23</v>
      </c>
      <c r="E20" s="3">
        <v>33</v>
      </c>
      <c r="F20" s="3">
        <v>11</v>
      </c>
      <c r="G20" s="3">
        <v>34</v>
      </c>
      <c r="H20" s="3">
        <v>40</v>
      </c>
      <c r="I20" s="3">
        <v>29</v>
      </c>
      <c r="J20" s="4">
        <v>6</v>
      </c>
      <c r="K20" s="5">
        <v>1282</v>
      </c>
      <c r="L20" t="str">
        <f t="shared" si="2"/>
        <v>20160214019</v>
      </c>
      <c r="M20" t="str">
        <f t="shared" si="3"/>
        <v>20160214</v>
      </c>
    </row>
    <row r="21" spans="1:13" x14ac:dyDescent="0.25">
      <c r="A21" s="4">
        <v>2016</v>
      </c>
      <c r="B21" s="7">
        <v>42419</v>
      </c>
      <c r="C21" s="2">
        <v>20</v>
      </c>
      <c r="D21" s="3">
        <v>23</v>
      </c>
      <c r="E21" s="3">
        <v>20</v>
      </c>
      <c r="F21" s="3">
        <v>44</v>
      </c>
      <c r="G21" s="3">
        <v>30</v>
      </c>
      <c r="H21" s="3">
        <v>11</v>
      </c>
      <c r="I21" s="3">
        <v>39</v>
      </c>
      <c r="J21" s="4">
        <v>49</v>
      </c>
      <c r="K21" s="5">
        <v>1283</v>
      </c>
      <c r="L21" t="str">
        <f t="shared" si="2"/>
        <v>20160219020</v>
      </c>
      <c r="M21" t="str">
        <f t="shared" si="3"/>
        <v>20160219</v>
      </c>
    </row>
    <row r="22" spans="1:13" x14ac:dyDescent="0.25">
      <c r="A22" s="4">
        <v>2016</v>
      </c>
      <c r="B22" s="7">
        <v>42423</v>
      </c>
      <c r="C22" s="2">
        <v>22</v>
      </c>
      <c r="D22" s="3">
        <v>20</v>
      </c>
      <c r="E22" s="3">
        <v>14</v>
      </c>
      <c r="F22" s="3">
        <v>19</v>
      </c>
      <c r="G22" s="3">
        <v>43</v>
      </c>
      <c r="H22" s="3">
        <v>45</v>
      </c>
      <c r="I22" s="3">
        <v>10</v>
      </c>
      <c r="J22" s="4">
        <v>22</v>
      </c>
      <c r="K22" s="5">
        <v>1285</v>
      </c>
      <c r="L22" t="str">
        <f t="shared" ref="L22:L57" si="4">CONCATENATE(TEXT(A22,"0000"),TEXT(B22,"mmdd"),TEXT(C22,"000"))</f>
        <v>20160223022</v>
      </c>
      <c r="M22" t="str">
        <f t="shared" ref="M22:M57" si="5">CONCATENATE(TEXT(A22,"0000"),TEXT(B22,"mmdd"))</f>
        <v>20160223</v>
      </c>
    </row>
    <row r="23" spans="1:13" x14ac:dyDescent="0.25">
      <c r="A23" s="4">
        <v>2016</v>
      </c>
      <c r="B23" s="7">
        <v>42426</v>
      </c>
      <c r="C23" s="2">
        <v>23</v>
      </c>
      <c r="D23" s="3">
        <v>3</v>
      </c>
      <c r="E23" s="3">
        <v>46</v>
      </c>
      <c r="F23" s="3">
        <v>21</v>
      </c>
      <c r="G23" s="3">
        <v>9</v>
      </c>
      <c r="H23" s="3">
        <v>17</v>
      </c>
      <c r="I23" s="3">
        <v>41</v>
      </c>
      <c r="J23" s="4">
        <v>27</v>
      </c>
      <c r="K23" s="5">
        <v>1286</v>
      </c>
      <c r="L23" t="str">
        <f t="shared" si="4"/>
        <v>20160226023</v>
      </c>
      <c r="M23" t="str">
        <f t="shared" si="5"/>
        <v>20160226</v>
      </c>
    </row>
    <row r="24" spans="1:13" x14ac:dyDescent="0.25">
      <c r="A24" s="4">
        <v>2016</v>
      </c>
      <c r="B24" s="7">
        <v>42430</v>
      </c>
      <c r="C24" s="2">
        <v>24</v>
      </c>
      <c r="D24" s="3">
        <v>34</v>
      </c>
      <c r="E24" s="3">
        <v>17</v>
      </c>
      <c r="F24" s="3">
        <v>23</v>
      </c>
      <c r="G24" s="3">
        <v>14</v>
      </c>
      <c r="H24" s="3">
        <v>7</v>
      </c>
      <c r="I24" s="3">
        <v>22</v>
      </c>
      <c r="J24" s="4">
        <v>12</v>
      </c>
      <c r="K24" s="5">
        <v>1287</v>
      </c>
      <c r="L24" t="str">
        <f t="shared" si="4"/>
        <v>20160301024</v>
      </c>
      <c r="M24" t="str">
        <f t="shared" si="5"/>
        <v>20160301</v>
      </c>
    </row>
    <row r="25" spans="1:13" x14ac:dyDescent="0.25">
      <c r="A25" s="4">
        <v>2016</v>
      </c>
      <c r="B25" s="7">
        <v>42433</v>
      </c>
      <c r="C25" s="2">
        <v>25</v>
      </c>
      <c r="D25" s="3">
        <v>29</v>
      </c>
      <c r="E25" s="3">
        <v>7</v>
      </c>
      <c r="F25" s="3">
        <v>5</v>
      </c>
      <c r="G25" s="3">
        <v>12</v>
      </c>
      <c r="H25" s="3">
        <v>22</v>
      </c>
      <c r="I25" s="3">
        <v>17</v>
      </c>
      <c r="J25" s="4">
        <v>4</v>
      </c>
      <c r="K25" s="5">
        <v>1288</v>
      </c>
      <c r="L25" t="str">
        <f t="shared" si="4"/>
        <v>20160304025</v>
      </c>
      <c r="M25" t="str">
        <f t="shared" si="5"/>
        <v>20160304</v>
      </c>
    </row>
    <row r="26" spans="1:13" x14ac:dyDescent="0.25">
      <c r="A26" s="4">
        <v>2016</v>
      </c>
      <c r="B26" s="7">
        <v>42437</v>
      </c>
      <c r="C26" s="2">
        <v>26</v>
      </c>
      <c r="D26" s="3">
        <v>3</v>
      </c>
      <c r="E26" s="3">
        <v>30</v>
      </c>
      <c r="F26" s="3">
        <v>27</v>
      </c>
      <c r="G26" s="3">
        <v>39</v>
      </c>
      <c r="H26" s="3">
        <v>41</v>
      </c>
      <c r="I26" s="3">
        <v>35</v>
      </c>
      <c r="J26" s="4">
        <v>32</v>
      </c>
      <c r="K26" s="5">
        <v>1289</v>
      </c>
      <c r="L26" t="str">
        <f t="shared" si="4"/>
        <v>20160308026</v>
      </c>
      <c r="M26" t="str">
        <f t="shared" si="5"/>
        <v>20160308</v>
      </c>
    </row>
    <row r="27" spans="1:13" x14ac:dyDescent="0.25">
      <c r="A27" s="4">
        <v>2016</v>
      </c>
      <c r="B27" s="7">
        <v>42440</v>
      </c>
      <c r="C27" s="2">
        <v>27</v>
      </c>
      <c r="D27" s="3">
        <v>9</v>
      </c>
      <c r="E27" s="3">
        <v>34</v>
      </c>
      <c r="F27" s="3">
        <v>49</v>
      </c>
      <c r="G27" s="3">
        <v>36</v>
      </c>
      <c r="H27" s="3">
        <v>16</v>
      </c>
      <c r="I27" s="3">
        <v>30</v>
      </c>
      <c r="J27" s="4">
        <v>31</v>
      </c>
      <c r="K27" s="5">
        <v>1290</v>
      </c>
      <c r="L27" t="str">
        <f t="shared" si="4"/>
        <v>20160311027</v>
      </c>
      <c r="M27" t="str">
        <f t="shared" si="5"/>
        <v>20160311</v>
      </c>
    </row>
    <row r="28" spans="1:13" x14ac:dyDescent="0.25">
      <c r="A28" s="4">
        <v>2016</v>
      </c>
      <c r="B28" s="7">
        <v>42444</v>
      </c>
      <c r="C28" s="2">
        <v>28</v>
      </c>
      <c r="D28" s="3">
        <v>14</v>
      </c>
      <c r="E28" s="3">
        <v>48</v>
      </c>
      <c r="F28" s="3">
        <v>6</v>
      </c>
      <c r="G28" s="3">
        <v>30</v>
      </c>
      <c r="H28" s="3">
        <v>42</v>
      </c>
      <c r="I28" s="3">
        <v>47</v>
      </c>
      <c r="J28" s="4">
        <v>18</v>
      </c>
      <c r="K28" s="5">
        <v>1291</v>
      </c>
      <c r="L28" t="str">
        <f t="shared" si="4"/>
        <v>20160315028</v>
      </c>
      <c r="M28" t="str">
        <f t="shared" si="5"/>
        <v>20160315</v>
      </c>
    </row>
    <row r="29" spans="1:13" x14ac:dyDescent="0.25">
      <c r="A29" s="4">
        <v>2016</v>
      </c>
      <c r="B29" s="7">
        <v>42447</v>
      </c>
      <c r="C29" s="2">
        <v>29</v>
      </c>
      <c r="D29" s="3">
        <v>4</v>
      </c>
      <c r="E29" s="3">
        <v>18</v>
      </c>
      <c r="F29" s="3">
        <v>1</v>
      </c>
      <c r="G29" s="3">
        <v>3</v>
      </c>
      <c r="H29" s="3">
        <v>25</v>
      </c>
      <c r="I29" s="3">
        <v>47</v>
      </c>
      <c r="J29" s="4">
        <v>13</v>
      </c>
      <c r="K29" s="5">
        <v>1292</v>
      </c>
      <c r="L29" t="str">
        <f t="shared" si="4"/>
        <v>20160318029</v>
      </c>
      <c r="M29" t="str">
        <f t="shared" si="5"/>
        <v>20160318</v>
      </c>
    </row>
    <row r="30" spans="1:13" x14ac:dyDescent="0.25">
      <c r="A30" s="4">
        <v>2016</v>
      </c>
      <c r="B30" s="7">
        <v>42451</v>
      </c>
      <c r="C30" s="2">
        <v>30</v>
      </c>
      <c r="D30" s="3">
        <v>33</v>
      </c>
      <c r="E30" s="3">
        <v>7</v>
      </c>
      <c r="F30" s="3">
        <v>16</v>
      </c>
      <c r="G30" s="3">
        <v>20</v>
      </c>
      <c r="H30" s="3">
        <v>30</v>
      </c>
      <c r="I30" s="3">
        <v>11</v>
      </c>
      <c r="J30" s="4">
        <v>6</v>
      </c>
      <c r="K30" s="5">
        <v>1293</v>
      </c>
      <c r="L30" t="str">
        <f t="shared" si="4"/>
        <v>20160322030</v>
      </c>
      <c r="M30" t="str">
        <f t="shared" si="5"/>
        <v>20160322</v>
      </c>
    </row>
    <row r="31" spans="1:13" x14ac:dyDescent="0.25">
      <c r="A31" s="4">
        <v>2016</v>
      </c>
      <c r="B31" s="7">
        <v>42454</v>
      </c>
      <c r="C31" s="2">
        <v>31</v>
      </c>
      <c r="D31" s="3">
        <v>37</v>
      </c>
      <c r="E31" s="3">
        <v>41</v>
      </c>
      <c r="F31" s="3">
        <v>7</v>
      </c>
      <c r="G31" s="3">
        <v>11</v>
      </c>
      <c r="H31" s="3">
        <v>40</v>
      </c>
      <c r="I31" s="3">
        <v>22</v>
      </c>
      <c r="J31" s="4">
        <v>20</v>
      </c>
      <c r="K31" s="5">
        <v>1294</v>
      </c>
      <c r="L31" t="str">
        <f t="shared" si="4"/>
        <v>20160325031</v>
      </c>
      <c r="M31" t="str">
        <f t="shared" si="5"/>
        <v>20160325</v>
      </c>
    </row>
    <row r="32" spans="1:13" x14ac:dyDescent="0.25">
      <c r="A32" s="4">
        <v>2016</v>
      </c>
      <c r="B32" s="7">
        <v>42458</v>
      </c>
      <c r="C32" s="2">
        <v>32</v>
      </c>
      <c r="D32" s="3">
        <v>47</v>
      </c>
      <c r="E32" s="3">
        <v>18</v>
      </c>
      <c r="F32" s="3">
        <v>46</v>
      </c>
      <c r="G32" s="3">
        <v>1</v>
      </c>
      <c r="H32" s="3">
        <v>34</v>
      </c>
      <c r="I32" s="3">
        <v>17</v>
      </c>
      <c r="J32" s="4">
        <v>25</v>
      </c>
      <c r="K32" s="5">
        <v>1295</v>
      </c>
      <c r="L32" t="str">
        <f t="shared" si="4"/>
        <v>20160329032</v>
      </c>
      <c r="M32" t="str">
        <f t="shared" si="5"/>
        <v>20160329</v>
      </c>
    </row>
    <row r="33" spans="1:13" x14ac:dyDescent="0.25">
      <c r="A33" s="4">
        <v>2016</v>
      </c>
      <c r="B33" s="7">
        <v>42461</v>
      </c>
      <c r="C33" s="2">
        <v>33</v>
      </c>
      <c r="D33" s="3">
        <v>39</v>
      </c>
      <c r="E33" s="3">
        <v>12</v>
      </c>
      <c r="F33" s="3">
        <v>16</v>
      </c>
      <c r="G33" s="3">
        <v>29</v>
      </c>
      <c r="H33" s="3">
        <v>8</v>
      </c>
      <c r="I33" s="3">
        <v>37</v>
      </c>
      <c r="J33" s="4">
        <v>40</v>
      </c>
      <c r="K33" s="5">
        <v>1296</v>
      </c>
      <c r="L33" t="str">
        <f t="shared" si="4"/>
        <v>20160401033</v>
      </c>
      <c r="M33" t="str">
        <f t="shared" si="5"/>
        <v>20160401</v>
      </c>
    </row>
    <row r="34" spans="1:13" x14ac:dyDescent="0.25">
      <c r="A34" s="4">
        <v>2016</v>
      </c>
      <c r="B34" s="7">
        <v>42465</v>
      </c>
      <c r="C34" s="2">
        <v>34</v>
      </c>
      <c r="D34" s="3">
        <v>14</v>
      </c>
      <c r="E34" s="3">
        <v>32</v>
      </c>
      <c r="F34" s="3">
        <v>38</v>
      </c>
      <c r="G34" s="3">
        <v>43</v>
      </c>
      <c r="H34" s="3">
        <v>23</v>
      </c>
      <c r="I34" s="3">
        <v>26</v>
      </c>
      <c r="J34" s="4">
        <v>3</v>
      </c>
      <c r="K34" s="5">
        <v>1297</v>
      </c>
      <c r="L34" t="str">
        <f t="shared" si="4"/>
        <v>20160405034</v>
      </c>
      <c r="M34" t="str">
        <f t="shared" si="5"/>
        <v>20160405</v>
      </c>
    </row>
    <row r="35" spans="1:13" x14ac:dyDescent="0.25">
      <c r="A35" s="4">
        <v>2016</v>
      </c>
      <c r="B35" s="7">
        <v>42468</v>
      </c>
      <c r="C35" s="2">
        <v>35</v>
      </c>
      <c r="D35" s="3">
        <v>36</v>
      </c>
      <c r="E35" s="3">
        <v>45</v>
      </c>
      <c r="F35" s="3">
        <v>7</v>
      </c>
      <c r="G35" s="3">
        <v>30</v>
      </c>
      <c r="H35" s="3">
        <v>13</v>
      </c>
      <c r="I35" s="3">
        <v>2</v>
      </c>
      <c r="J35" s="4">
        <v>43</v>
      </c>
      <c r="K35" s="5">
        <v>1298</v>
      </c>
      <c r="L35" t="str">
        <f t="shared" si="4"/>
        <v>20160408035</v>
      </c>
      <c r="M35" t="str">
        <f t="shared" si="5"/>
        <v>20160408</v>
      </c>
    </row>
    <row r="36" spans="1:13" x14ac:dyDescent="0.25">
      <c r="A36" s="4">
        <v>2016</v>
      </c>
      <c r="B36" s="7">
        <v>42472</v>
      </c>
      <c r="C36" s="2">
        <v>36</v>
      </c>
      <c r="D36" s="3">
        <v>19</v>
      </c>
      <c r="E36" s="3">
        <v>11</v>
      </c>
      <c r="F36" s="3">
        <v>49</v>
      </c>
      <c r="G36" s="3">
        <v>45</v>
      </c>
      <c r="H36" s="3">
        <v>39</v>
      </c>
      <c r="I36" s="3">
        <v>14</v>
      </c>
      <c r="J36" s="4">
        <v>23</v>
      </c>
      <c r="K36" s="5">
        <v>1299</v>
      </c>
      <c r="L36" t="str">
        <f t="shared" si="4"/>
        <v>20160412036</v>
      </c>
      <c r="M36" t="str">
        <f t="shared" si="5"/>
        <v>20160412</v>
      </c>
    </row>
    <row r="37" spans="1:13" x14ac:dyDescent="0.25">
      <c r="A37" s="4">
        <v>2016</v>
      </c>
      <c r="B37" s="7">
        <v>42475</v>
      </c>
      <c r="C37" s="2">
        <v>37</v>
      </c>
      <c r="D37" s="3">
        <v>28</v>
      </c>
      <c r="E37" s="3">
        <v>47</v>
      </c>
      <c r="F37" s="3">
        <v>13</v>
      </c>
      <c r="G37" s="3">
        <v>45</v>
      </c>
      <c r="H37" s="3">
        <v>17</v>
      </c>
      <c r="I37" s="3">
        <v>9</v>
      </c>
      <c r="J37" s="4">
        <v>3</v>
      </c>
      <c r="K37" s="5">
        <v>1300</v>
      </c>
      <c r="L37" t="str">
        <f t="shared" si="4"/>
        <v>20160415037</v>
      </c>
      <c r="M37" t="str">
        <f t="shared" si="5"/>
        <v>20160415</v>
      </c>
    </row>
    <row r="38" spans="1:13" x14ac:dyDescent="0.25">
      <c r="A38" s="4">
        <v>2016</v>
      </c>
      <c r="B38" s="7">
        <v>42479</v>
      </c>
      <c r="C38" s="2">
        <v>38</v>
      </c>
      <c r="D38" s="3">
        <v>12</v>
      </c>
      <c r="E38" s="3">
        <v>41</v>
      </c>
      <c r="F38" s="3">
        <v>47</v>
      </c>
      <c r="G38" s="3">
        <v>46</v>
      </c>
      <c r="H38" s="3">
        <v>39</v>
      </c>
      <c r="I38" s="3">
        <v>21</v>
      </c>
      <c r="J38" s="4">
        <v>14</v>
      </c>
      <c r="K38" s="5">
        <v>1301</v>
      </c>
      <c r="L38" t="str">
        <f t="shared" si="4"/>
        <v>20160419038</v>
      </c>
      <c r="M38" t="str">
        <f t="shared" si="5"/>
        <v>20160419</v>
      </c>
    </row>
    <row r="39" spans="1:13" x14ac:dyDescent="0.25">
      <c r="A39" s="4">
        <v>2016</v>
      </c>
      <c r="B39" s="7">
        <v>42482</v>
      </c>
      <c r="C39" s="2">
        <v>39</v>
      </c>
      <c r="D39" s="3">
        <v>48</v>
      </c>
      <c r="E39" s="3">
        <v>33</v>
      </c>
      <c r="F39" s="3">
        <v>46</v>
      </c>
      <c r="G39" s="3">
        <v>19</v>
      </c>
      <c r="H39" s="3">
        <v>12</v>
      </c>
      <c r="I39" s="3">
        <v>23</v>
      </c>
      <c r="J39" s="4">
        <v>29</v>
      </c>
      <c r="K39" s="5">
        <v>1302</v>
      </c>
      <c r="L39" t="str">
        <f t="shared" si="4"/>
        <v>20160422039</v>
      </c>
      <c r="M39" t="str">
        <f t="shared" si="5"/>
        <v>20160422</v>
      </c>
    </row>
    <row r="40" spans="1:13" x14ac:dyDescent="0.25">
      <c r="A40" s="4">
        <v>2016</v>
      </c>
      <c r="B40" s="7">
        <v>42486</v>
      </c>
      <c r="C40" s="2">
        <v>40</v>
      </c>
      <c r="D40" s="3">
        <v>12</v>
      </c>
      <c r="E40" s="3">
        <v>6</v>
      </c>
      <c r="F40" s="3">
        <v>34</v>
      </c>
      <c r="G40" s="3">
        <v>43</v>
      </c>
      <c r="H40" s="3">
        <v>21</v>
      </c>
      <c r="I40" s="3">
        <v>25</v>
      </c>
      <c r="J40" s="4">
        <v>28</v>
      </c>
      <c r="K40" s="5">
        <v>1303</v>
      </c>
      <c r="L40" t="str">
        <f t="shared" si="4"/>
        <v>20160426040</v>
      </c>
      <c r="M40" t="str">
        <f t="shared" si="5"/>
        <v>20160426</v>
      </c>
    </row>
    <row r="41" spans="1:13" x14ac:dyDescent="0.25">
      <c r="A41" s="4">
        <v>2016</v>
      </c>
      <c r="B41" s="7">
        <v>42489</v>
      </c>
      <c r="C41" s="2">
        <v>41</v>
      </c>
      <c r="D41" s="3">
        <v>8</v>
      </c>
      <c r="E41" s="3">
        <v>27</v>
      </c>
      <c r="F41" s="3">
        <v>36</v>
      </c>
      <c r="G41" s="3">
        <v>31</v>
      </c>
      <c r="H41" s="3">
        <v>14</v>
      </c>
      <c r="I41" s="3">
        <v>40</v>
      </c>
      <c r="J41" s="4">
        <v>3</v>
      </c>
      <c r="K41" s="5">
        <v>1304</v>
      </c>
      <c r="L41" t="str">
        <f t="shared" si="4"/>
        <v>20160429041</v>
      </c>
      <c r="M41" t="str">
        <f t="shared" si="5"/>
        <v>20160429</v>
      </c>
    </row>
    <row r="42" spans="1:13" x14ac:dyDescent="0.25">
      <c r="A42" s="4">
        <v>2016</v>
      </c>
      <c r="B42" s="7">
        <v>42493</v>
      </c>
      <c r="C42" s="2">
        <v>42</v>
      </c>
      <c r="D42" s="3">
        <v>40</v>
      </c>
      <c r="E42" s="3">
        <v>1</v>
      </c>
      <c r="F42" s="3">
        <v>7</v>
      </c>
      <c r="G42" s="3">
        <v>17</v>
      </c>
      <c r="H42" s="3">
        <v>43</v>
      </c>
      <c r="I42" s="3">
        <v>41</v>
      </c>
      <c r="J42" s="4">
        <v>33</v>
      </c>
      <c r="K42" s="5">
        <v>1305</v>
      </c>
      <c r="L42" t="str">
        <f t="shared" si="4"/>
        <v>20160503042</v>
      </c>
      <c r="M42" t="str">
        <f t="shared" si="5"/>
        <v>20160503</v>
      </c>
    </row>
    <row r="43" spans="1:13" x14ac:dyDescent="0.25">
      <c r="A43" s="4">
        <v>2016</v>
      </c>
      <c r="B43" s="7">
        <v>42496</v>
      </c>
      <c r="C43" s="2">
        <v>43</v>
      </c>
      <c r="D43" s="3">
        <v>26</v>
      </c>
      <c r="E43" s="3">
        <v>48</v>
      </c>
      <c r="F43" s="3">
        <v>1</v>
      </c>
      <c r="G43" s="3">
        <v>42</v>
      </c>
      <c r="H43" s="3">
        <v>39</v>
      </c>
      <c r="I43" s="3">
        <v>37</v>
      </c>
      <c r="J43" s="4">
        <v>41</v>
      </c>
      <c r="K43" s="5">
        <v>1306</v>
      </c>
      <c r="L43" t="str">
        <f t="shared" si="4"/>
        <v>20160506043</v>
      </c>
      <c r="M43" t="str">
        <f t="shared" si="5"/>
        <v>20160506</v>
      </c>
    </row>
    <row r="44" spans="1:13" x14ac:dyDescent="0.25">
      <c r="A44" s="4">
        <v>2016</v>
      </c>
      <c r="B44" s="7">
        <v>42500</v>
      </c>
      <c r="C44" s="2">
        <v>44</v>
      </c>
      <c r="D44" s="3">
        <v>36</v>
      </c>
      <c r="E44" s="3">
        <v>38</v>
      </c>
      <c r="F44" s="3">
        <v>22</v>
      </c>
      <c r="G44" s="3">
        <v>3</v>
      </c>
      <c r="H44" s="3">
        <v>4</v>
      </c>
      <c r="I44" s="3">
        <v>8</v>
      </c>
      <c r="J44" s="4">
        <v>7</v>
      </c>
      <c r="K44" s="5">
        <v>1307</v>
      </c>
      <c r="L44" t="str">
        <f t="shared" si="4"/>
        <v>20160510044</v>
      </c>
      <c r="M44" t="str">
        <f t="shared" si="5"/>
        <v>20160510</v>
      </c>
    </row>
    <row r="45" spans="1:13" x14ac:dyDescent="0.25">
      <c r="A45" s="4">
        <v>2016</v>
      </c>
      <c r="B45" s="7">
        <v>42503</v>
      </c>
      <c r="C45" s="2">
        <v>45</v>
      </c>
      <c r="D45" s="3">
        <v>10</v>
      </c>
      <c r="E45" s="3">
        <v>31</v>
      </c>
      <c r="F45" s="3">
        <v>35</v>
      </c>
      <c r="G45" s="3">
        <v>38</v>
      </c>
      <c r="H45" s="3">
        <v>22</v>
      </c>
      <c r="I45" s="3">
        <v>3</v>
      </c>
      <c r="J45" s="4">
        <v>37</v>
      </c>
      <c r="K45" s="5">
        <v>1308</v>
      </c>
      <c r="L45" t="str">
        <f t="shared" si="4"/>
        <v>20160513045</v>
      </c>
      <c r="M45" t="str">
        <f t="shared" si="5"/>
        <v>20160513</v>
      </c>
    </row>
    <row r="46" spans="1:13" x14ac:dyDescent="0.25">
      <c r="A46" s="4">
        <v>2016</v>
      </c>
      <c r="B46" s="7">
        <v>42507</v>
      </c>
      <c r="C46" s="2">
        <v>46</v>
      </c>
      <c r="D46" s="3">
        <v>2</v>
      </c>
      <c r="E46" s="3">
        <v>42</v>
      </c>
      <c r="F46" s="3">
        <v>3</v>
      </c>
      <c r="G46" s="3">
        <v>20</v>
      </c>
      <c r="H46" s="3">
        <v>23</v>
      </c>
      <c r="I46" s="3">
        <v>34</v>
      </c>
      <c r="J46" s="4">
        <v>40</v>
      </c>
      <c r="K46" s="5">
        <v>1309</v>
      </c>
      <c r="L46" t="str">
        <f t="shared" si="4"/>
        <v>20160517046</v>
      </c>
      <c r="M46" t="str">
        <f t="shared" si="5"/>
        <v>20160517</v>
      </c>
    </row>
    <row r="47" spans="1:13" x14ac:dyDescent="0.25">
      <c r="A47" s="4">
        <v>2016</v>
      </c>
      <c r="B47" s="7">
        <v>42510</v>
      </c>
      <c r="C47" s="2">
        <v>47</v>
      </c>
      <c r="D47" s="3">
        <v>40</v>
      </c>
      <c r="E47" s="3">
        <v>25</v>
      </c>
      <c r="F47" s="3">
        <v>43</v>
      </c>
      <c r="G47" s="3">
        <v>10</v>
      </c>
      <c r="H47" s="3">
        <v>5</v>
      </c>
      <c r="I47" s="3">
        <v>30</v>
      </c>
      <c r="J47" s="4">
        <v>26</v>
      </c>
      <c r="K47" s="5">
        <v>1310</v>
      </c>
      <c r="L47" t="str">
        <f t="shared" si="4"/>
        <v>20160520047</v>
      </c>
      <c r="M47" t="str">
        <f t="shared" si="5"/>
        <v>20160520</v>
      </c>
    </row>
    <row r="48" spans="1:13" x14ac:dyDescent="0.25">
      <c r="A48" s="4">
        <v>2016</v>
      </c>
      <c r="B48" s="7">
        <v>42514</v>
      </c>
      <c r="C48" s="2">
        <v>48</v>
      </c>
      <c r="D48" s="3">
        <v>8</v>
      </c>
      <c r="E48" s="3">
        <v>21</v>
      </c>
      <c r="F48" s="3">
        <v>13</v>
      </c>
      <c r="G48" s="3">
        <v>33</v>
      </c>
      <c r="H48" s="3">
        <v>39</v>
      </c>
      <c r="I48" s="3">
        <v>6</v>
      </c>
      <c r="J48" s="4">
        <v>45</v>
      </c>
      <c r="K48" s="5">
        <v>1311</v>
      </c>
      <c r="L48" t="str">
        <f t="shared" si="4"/>
        <v>20160524048</v>
      </c>
      <c r="M48" t="str">
        <f t="shared" si="5"/>
        <v>20160524</v>
      </c>
    </row>
    <row r="49" spans="1:13" x14ac:dyDescent="0.25">
      <c r="A49" s="4">
        <v>2016</v>
      </c>
      <c r="B49" s="7">
        <v>42517</v>
      </c>
      <c r="C49" s="2">
        <v>49</v>
      </c>
      <c r="D49" s="3">
        <v>2</v>
      </c>
      <c r="E49" s="3">
        <v>24</v>
      </c>
      <c r="F49" s="3">
        <v>13</v>
      </c>
      <c r="G49" s="3">
        <v>39</v>
      </c>
      <c r="H49" s="3">
        <v>9</v>
      </c>
      <c r="I49" s="3">
        <v>16</v>
      </c>
      <c r="J49" s="4">
        <v>41</v>
      </c>
      <c r="K49" s="5">
        <v>1312</v>
      </c>
      <c r="L49" t="str">
        <f t="shared" si="4"/>
        <v>20160527049</v>
      </c>
      <c r="M49" t="str">
        <f t="shared" si="5"/>
        <v>20160527</v>
      </c>
    </row>
    <row r="50" spans="1:13" x14ac:dyDescent="0.25">
      <c r="A50" s="4">
        <v>2016</v>
      </c>
      <c r="B50" s="7">
        <v>42521</v>
      </c>
      <c r="C50" s="2">
        <v>50</v>
      </c>
      <c r="D50" s="3">
        <v>1</v>
      </c>
      <c r="E50" s="3">
        <v>46</v>
      </c>
      <c r="F50" s="3">
        <v>32</v>
      </c>
      <c r="G50" s="3">
        <v>5</v>
      </c>
      <c r="H50" s="3">
        <v>2</v>
      </c>
      <c r="I50" s="3">
        <v>45</v>
      </c>
      <c r="J50" s="4">
        <v>43</v>
      </c>
      <c r="K50" s="5">
        <v>1313</v>
      </c>
      <c r="L50" t="str">
        <f t="shared" si="4"/>
        <v>20160531050</v>
      </c>
      <c r="M50" t="str">
        <f t="shared" si="5"/>
        <v>20160531</v>
      </c>
    </row>
    <row r="51" spans="1:13" x14ac:dyDescent="0.25">
      <c r="A51" s="4">
        <v>2016</v>
      </c>
      <c r="B51" s="7">
        <v>42524</v>
      </c>
      <c r="C51" s="2">
        <v>51</v>
      </c>
      <c r="D51" s="3">
        <v>10</v>
      </c>
      <c r="E51" s="3">
        <v>3</v>
      </c>
      <c r="F51" s="3">
        <v>41</v>
      </c>
      <c r="G51" s="3">
        <v>33</v>
      </c>
      <c r="H51" s="3">
        <v>27</v>
      </c>
      <c r="I51" s="3">
        <v>44</v>
      </c>
      <c r="J51" s="4">
        <v>7</v>
      </c>
      <c r="K51" s="5">
        <v>1314</v>
      </c>
      <c r="L51" t="str">
        <f t="shared" si="4"/>
        <v>20160603051</v>
      </c>
      <c r="M51" t="str">
        <f t="shared" si="5"/>
        <v>20160603</v>
      </c>
    </row>
    <row r="52" spans="1:13" x14ac:dyDescent="0.25">
      <c r="A52" s="4">
        <v>2016</v>
      </c>
      <c r="B52" s="7">
        <v>42528</v>
      </c>
      <c r="C52" s="2">
        <v>52</v>
      </c>
      <c r="D52" s="3">
        <v>5</v>
      </c>
      <c r="E52" s="3">
        <v>39</v>
      </c>
      <c r="F52" s="3">
        <v>31</v>
      </c>
      <c r="G52" s="3">
        <v>8</v>
      </c>
      <c r="H52" s="3">
        <v>44</v>
      </c>
      <c r="I52" s="3">
        <v>23</v>
      </c>
      <c r="J52" s="4">
        <v>19</v>
      </c>
      <c r="K52" s="5">
        <v>1315</v>
      </c>
      <c r="L52" t="str">
        <f t="shared" si="4"/>
        <v>20160607052</v>
      </c>
      <c r="M52" t="str">
        <f t="shared" si="5"/>
        <v>20160607</v>
      </c>
    </row>
    <row r="53" spans="1:13" x14ac:dyDescent="0.25">
      <c r="A53" s="4">
        <v>2016</v>
      </c>
      <c r="B53" s="7">
        <v>42531</v>
      </c>
      <c r="C53" s="2">
        <v>53</v>
      </c>
      <c r="D53" s="3">
        <v>23</v>
      </c>
      <c r="E53" s="3">
        <v>4</v>
      </c>
      <c r="F53" s="3">
        <v>48</v>
      </c>
      <c r="G53" s="3">
        <v>22</v>
      </c>
      <c r="H53" s="3">
        <v>15</v>
      </c>
      <c r="I53" s="3">
        <v>13</v>
      </c>
      <c r="J53" s="4">
        <v>3</v>
      </c>
      <c r="K53" s="5">
        <v>1316</v>
      </c>
      <c r="L53" t="str">
        <f t="shared" si="4"/>
        <v>20160610053</v>
      </c>
      <c r="M53" t="str">
        <f t="shared" si="5"/>
        <v>20160610</v>
      </c>
    </row>
    <row r="54" spans="1:13" x14ac:dyDescent="0.25">
      <c r="A54" s="4">
        <v>2016</v>
      </c>
      <c r="B54" s="7">
        <v>42535</v>
      </c>
      <c r="C54" s="2">
        <v>54</v>
      </c>
      <c r="D54" s="3">
        <v>33</v>
      </c>
      <c r="E54" s="3">
        <v>12</v>
      </c>
      <c r="F54" s="3">
        <v>37</v>
      </c>
      <c r="G54" s="3">
        <v>35</v>
      </c>
      <c r="H54" s="3">
        <v>13</v>
      </c>
      <c r="I54" s="3">
        <v>16</v>
      </c>
      <c r="J54" s="4">
        <v>18</v>
      </c>
      <c r="K54" s="5">
        <v>1317</v>
      </c>
      <c r="L54" t="str">
        <f t="shared" si="4"/>
        <v>20160614054</v>
      </c>
      <c r="M54" t="str">
        <f t="shared" si="5"/>
        <v>20160614</v>
      </c>
    </row>
    <row r="55" spans="1:13" x14ac:dyDescent="0.25">
      <c r="A55" s="4">
        <v>2016</v>
      </c>
      <c r="B55" s="7">
        <v>42538</v>
      </c>
      <c r="C55" s="2">
        <v>55</v>
      </c>
      <c r="D55" s="3">
        <v>17</v>
      </c>
      <c r="E55" s="3">
        <v>21</v>
      </c>
      <c r="F55" s="3">
        <v>31</v>
      </c>
      <c r="G55" s="3">
        <v>10</v>
      </c>
      <c r="H55" s="3">
        <v>7</v>
      </c>
      <c r="I55" s="3">
        <v>20</v>
      </c>
      <c r="J55" s="4">
        <v>49</v>
      </c>
      <c r="K55" s="5">
        <v>1318</v>
      </c>
      <c r="L55" t="str">
        <f t="shared" si="4"/>
        <v>20160617055</v>
      </c>
      <c r="M55" t="str">
        <f t="shared" si="5"/>
        <v>20160617</v>
      </c>
    </row>
    <row r="56" spans="1:13" x14ac:dyDescent="0.25">
      <c r="A56" s="4">
        <v>2016</v>
      </c>
      <c r="B56" s="7">
        <v>42542</v>
      </c>
      <c r="C56" s="2">
        <v>56</v>
      </c>
      <c r="D56" s="3">
        <v>36</v>
      </c>
      <c r="E56" s="3">
        <v>27</v>
      </c>
      <c r="F56" s="3">
        <v>2</v>
      </c>
      <c r="G56" s="3">
        <v>49</v>
      </c>
      <c r="H56" s="3">
        <v>35</v>
      </c>
      <c r="I56" s="3">
        <v>34</v>
      </c>
      <c r="J56" s="4">
        <v>26</v>
      </c>
      <c r="K56" s="5">
        <v>1319</v>
      </c>
      <c r="L56" t="str">
        <f t="shared" si="4"/>
        <v>20160621056</v>
      </c>
      <c r="M56" t="str">
        <f t="shared" si="5"/>
        <v>20160621</v>
      </c>
    </row>
    <row r="57" spans="1:13" x14ac:dyDescent="0.25">
      <c r="A57" s="4">
        <v>2016</v>
      </c>
      <c r="B57" s="7">
        <v>42545</v>
      </c>
      <c r="C57" s="2">
        <v>57</v>
      </c>
      <c r="D57" s="3">
        <v>17</v>
      </c>
      <c r="E57" s="3">
        <v>14</v>
      </c>
      <c r="F57" s="3">
        <v>39</v>
      </c>
      <c r="G57" s="3">
        <v>41</v>
      </c>
      <c r="H57" s="3">
        <v>27</v>
      </c>
      <c r="I57" s="3">
        <v>28</v>
      </c>
      <c r="J57" s="4">
        <v>18</v>
      </c>
      <c r="K57" s="5">
        <v>1320</v>
      </c>
      <c r="L57" t="str">
        <f t="shared" si="4"/>
        <v>20160624057</v>
      </c>
      <c r="M57" t="str">
        <f t="shared" si="5"/>
        <v>20160624</v>
      </c>
    </row>
    <row r="58" spans="1:13" x14ac:dyDescent="0.25">
      <c r="A58" s="4">
        <v>2016</v>
      </c>
      <c r="B58" s="7">
        <v>42549</v>
      </c>
      <c r="C58" s="2">
        <v>58</v>
      </c>
      <c r="D58" s="3">
        <v>25</v>
      </c>
      <c r="E58" s="3">
        <v>46</v>
      </c>
      <c r="F58" s="3">
        <v>45</v>
      </c>
      <c r="G58" s="3">
        <v>8</v>
      </c>
      <c r="H58" s="3">
        <v>39</v>
      </c>
      <c r="I58" s="3">
        <v>7</v>
      </c>
      <c r="J58" s="4">
        <v>38</v>
      </c>
      <c r="K58" s="5">
        <v>1321</v>
      </c>
      <c r="L58" t="str">
        <f t="shared" ref="L58:L63" si="6">CONCATENATE(TEXT(A58,"0000"),TEXT(B58,"mmdd"),TEXT(C58,"000"))</f>
        <v>20160628058</v>
      </c>
      <c r="M58" t="str">
        <f t="shared" ref="M58:M63" si="7">CONCATENATE(TEXT(A58,"0000"),TEXT(B58,"mmdd"))</f>
        <v>20160628</v>
      </c>
    </row>
    <row r="59" spans="1:13" x14ac:dyDescent="0.25">
      <c r="A59" s="4">
        <v>2016</v>
      </c>
      <c r="B59" s="7">
        <v>42552</v>
      </c>
      <c r="C59" s="2">
        <v>59</v>
      </c>
      <c r="D59" s="3">
        <v>41</v>
      </c>
      <c r="E59" s="3">
        <v>34</v>
      </c>
      <c r="F59" s="3">
        <v>20</v>
      </c>
      <c r="G59" s="3">
        <v>43</v>
      </c>
      <c r="H59" s="3">
        <v>24</v>
      </c>
      <c r="I59" s="3">
        <v>8</v>
      </c>
      <c r="J59" s="4">
        <v>32</v>
      </c>
      <c r="K59" s="5">
        <v>1322</v>
      </c>
      <c r="L59" t="str">
        <f t="shared" si="6"/>
        <v>20160701059</v>
      </c>
      <c r="M59" t="str">
        <f t="shared" si="7"/>
        <v>20160701</v>
      </c>
    </row>
    <row r="60" spans="1:13" x14ac:dyDescent="0.25">
      <c r="A60" s="4">
        <v>2016</v>
      </c>
      <c r="B60" s="7">
        <v>42556</v>
      </c>
      <c r="C60" s="2">
        <v>60</v>
      </c>
      <c r="D60" s="3">
        <v>9</v>
      </c>
      <c r="E60" s="3">
        <v>17</v>
      </c>
      <c r="F60" s="3">
        <v>40</v>
      </c>
      <c r="G60" s="3">
        <v>6</v>
      </c>
      <c r="H60" s="3">
        <v>15</v>
      </c>
      <c r="I60" s="3">
        <v>47</v>
      </c>
      <c r="J60" s="4">
        <v>24</v>
      </c>
      <c r="K60" s="5">
        <v>1323</v>
      </c>
      <c r="L60" t="str">
        <f t="shared" si="6"/>
        <v>20160705060</v>
      </c>
      <c r="M60" t="str">
        <f t="shared" si="7"/>
        <v>20160705</v>
      </c>
    </row>
    <row r="61" spans="1:13" x14ac:dyDescent="0.25">
      <c r="A61" s="4">
        <v>2016</v>
      </c>
      <c r="B61" s="7">
        <v>42559</v>
      </c>
      <c r="C61" s="2">
        <v>61</v>
      </c>
      <c r="D61" s="3">
        <v>13</v>
      </c>
      <c r="E61" s="3">
        <v>10</v>
      </c>
      <c r="F61" s="3">
        <v>9</v>
      </c>
      <c r="G61" s="3">
        <v>19</v>
      </c>
      <c r="H61" s="3">
        <v>35</v>
      </c>
      <c r="I61" s="3">
        <v>23</v>
      </c>
      <c r="J61" s="4">
        <v>38</v>
      </c>
      <c r="K61" s="5">
        <v>1324</v>
      </c>
      <c r="L61" t="str">
        <f t="shared" si="6"/>
        <v>20160708061</v>
      </c>
      <c r="M61" t="str">
        <f t="shared" si="7"/>
        <v>20160708</v>
      </c>
    </row>
    <row r="62" spans="1:13" x14ac:dyDescent="0.25">
      <c r="A62" s="4">
        <v>2016</v>
      </c>
      <c r="B62" s="7">
        <v>42563</v>
      </c>
      <c r="C62" s="2">
        <v>62</v>
      </c>
      <c r="D62" s="3">
        <v>42</v>
      </c>
      <c r="E62" s="3">
        <v>31</v>
      </c>
      <c r="F62" s="3">
        <v>46</v>
      </c>
      <c r="G62" s="3">
        <v>43</v>
      </c>
      <c r="H62" s="3">
        <v>25</v>
      </c>
      <c r="I62" s="3">
        <v>34</v>
      </c>
      <c r="J62" s="4">
        <v>5</v>
      </c>
      <c r="K62" s="5">
        <v>1325</v>
      </c>
      <c r="L62" t="str">
        <f t="shared" si="6"/>
        <v>20160712062</v>
      </c>
      <c r="M62" t="str">
        <f t="shared" si="7"/>
        <v>20160712</v>
      </c>
    </row>
    <row r="63" spans="1:13" x14ac:dyDescent="0.25">
      <c r="A63" s="4">
        <v>2016</v>
      </c>
      <c r="B63" s="7">
        <v>42566</v>
      </c>
      <c r="C63" s="2">
        <v>63</v>
      </c>
      <c r="D63" s="3">
        <v>29</v>
      </c>
      <c r="E63" s="3">
        <v>24</v>
      </c>
      <c r="F63" s="3">
        <v>25</v>
      </c>
      <c r="G63" s="3">
        <v>35</v>
      </c>
      <c r="H63" s="3">
        <v>33</v>
      </c>
      <c r="I63" s="3">
        <v>38</v>
      </c>
      <c r="J63" s="4">
        <v>49</v>
      </c>
      <c r="K63" s="5">
        <v>1326</v>
      </c>
      <c r="L63" t="str">
        <f t="shared" si="6"/>
        <v>20160715063</v>
      </c>
      <c r="M63" t="str">
        <f t="shared" si="7"/>
        <v>20160715</v>
      </c>
    </row>
    <row r="64" spans="1:13" x14ac:dyDescent="0.25">
      <c r="A64" s="4">
        <v>2016</v>
      </c>
      <c r="B64" s="7">
        <v>42570</v>
      </c>
      <c r="C64" s="2">
        <v>64</v>
      </c>
      <c r="D64" s="3">
        <v>7</v>
      </c>
      <c r="E64" s="3">
        <v>46</v>
      </c>
      <c r="F64" s="3">
        <v>40</v>
      </c>
      <c r="G64" s="3">
        <v>33</v>
      </c>
      <c r="H64" s="3">
        <v>45</v>
      </c>
      <c r="I64" s="3">
        <v>13</v>
      </c>
      <c r="J64" s="4">
        <v>39</v>
      </c>
      <c r="K64" s="5">
        <v>1327</v>
      </c>
      <c r="L64" t="str">
        <f t="shared" ref="L64:L67" si="8">CONCATENATE(TEXT(A64,"0000"),TEXT(B64,"mmdd"),TEXT(C64,"000"))</f>
        <v>20160719064</v>
      </c>
      <c r="M64" t="str">
        <f t="shared" ref="M64:M67" si="9">CONCATENATE(TEXT(A64,"0000"),TEXT(B64,"mmdd"))</f>
        <v>20160719</v>
      </c>
    </row>
    <row r="65" spans="1:13" x14ac:dyDescent="0.25">
      <c r="A65" s="4">
        <v>2016</v>
      </c>
      <c r="B65" s="7">
        <v>42573</v>
      </c>
      <c r="C65" s="2">
        <v>65</v>
      </c>
      <c r="D65" s="3">
        <v>17</v>
      </c>
      <c r="E65" s="3">
        <v>10</v>
      </c>
      <c r="F65" s="3">
        <v>33</v>
      </c>
      <c r="G65" s="3">
        <v>2</v>
      </c>
      <c r="H65" s="3">
        <v>49</v>
      </c>
      <c r="I65" s="3">
        <v>27</v>
      </c>
      <c r="J65" s="4">
        <v>15</v>
      </c>
      <c r="K65" s="5">
        <v>1328</v>
      </c>
      <c r="L65" t="str">
        <f t="shared" si="8"/>
        <v>20160722065</v>
      </c>
      <c r="M65" t="str">
        <f t="shared" si="9"/>
        <v>20160722</v>
      </c>
    </row>
    <row r="66" spans="1:13" x14ac:dyDescent="0.25">
      <c r="A66" s="4">
        <v>2016</v>
      </c>
      <c r="B66" s="7">
        <v>42577</v>
      </c>
      <c r="C66" s="2">
        <v>66</v>
      </c>
      <c r="D66" s="3">
        <v>35</v>
      </c>
      <c r="E66" s="3">
        <v>41</v>
      </c>
      <c r="F66" s="3">
        <v>19</v>
      </c>
      <c r="G66" s="3">
        <v>22</v>
      </c>
      <c r="H66" s="3">
        <v>9</v>
      </c>
      <c r="I66" s="3">
        <v>15</v>
      </c>
      <c r="J66" s="4">
        <v>37</v>
      </c>
      <c r="K66" s="5">
        <v>1329</v>
      </c>
      <c r="L66" t="str">
        <f t="shared" si="8"/>
        <v>20160726066</v>
      </c>
      <c r="M66" t="str">
        <f t="shared" si="9"/>
        <v>20160726</v>
      </c>
    </row>
    <row r="67" spans="1:13" x14ac:dyDescent="0.25">
      <c r="A67" s="4">
        <v>2016</v>
      </c>
      <c r="B67" s="7">
        <v>42580</v>
      </c>
      <c r="C67" s="2">
        <v>67</v>
      </c>
      <c r="D67" s="3">
        <v>28</v>
      </c>
      <c r="E67" s="3">
        <v>9</v>
      </c>
      <c r="F67" s="3">
        <v>27</v>
      </c>
      <c r="G67" s="3">
        <v>15</v>
      </c>
      <c r="H67" s="3">
        <v>30</v>
      </c>
      <c r="I67" s="3">
        <v>41</v>
      </c>
      <c r="J67" s="4">
        <v>13</v>
      </c>
      <c r="K67" s="5">
        <v>1330</v>
      </c>
      <c r="L67" t="str">
        <f t="shared" si="8"/>
        <v>20160729067</v>
      </c>
      <c r="M67" t="str">
        <f t="shared" si="9"/>
        <v>20160729</v>
      </c>
    </row>
    <row r="68" spans="1:13" x14ac:dyDescent="0.25">
      <c r="A68" s="4">
        <v>2016</v>
      </c>
      <c r="B68" s="7">
        <v>42584</v>
      </c>
      <c r="C68" s="2">
        <v>68</v>
      </c>
      <c r="D68" s="3">
        <v>15</v>
      </c>
      <c r="E68" s="3">
        <v>4</v>
      </c>
      <c r="F68" s="3">
        <v>20</v>
      </c>
      <c r="G68" s="3">
        <v>22</v>
      </c>
      <c r="H68" s="3">
        <v>28</v>
      </c>
      <c r="I68" s="3">
        <v>29</v>
      </c>
      <c r="J68" s="4">
        <v>1</v>
      </c>
      <c r="K68" s="5">
        <v>1331</v>
      </c>
      <c r="L68" t="str">
        <f t="shared" ref="L68:L74" si="10">CONCATENATE(TEXT(A68,"0000"),TEXT(B68,"mmdd"),TEXT(C68,"000"))</f>
        <v>20160802068</v>
      </c>
      <c r="M68" t="str">
        <f t="shared" ref="M68:M74" si="11">CONCATENATE(TEXT(A68,"0000"),TEXT(B68,"mmdd"))</f>
        <v>20160802</v>
      </c>
    </row>
    <row r="69" spans="1:13" x14ac:dyDescent="0.25">
      <c r="A69" s="4">
        <v>2016</v>
      </c>
      <c r="B69" s="7">
        <v>42587</v>
      </c>
      <c r="C69" s="2">
        <v>69</v>
      </c>
      <c r="D69" s="3">
        <v>27</v>
      </c>
      <c r="E69" s="3">
        <v>40</v>
      </c>
      <c r="F69" s="3">
        <v>2</v>
      </c>
      <c r="G69" s="3">
        <v>35</v>
      </c>
      <c r="H69" s="3">
        <v>22</v>
      </c>
      <c r="I69" s="3">
        <v>1</v>
      </c>
      <c r="J69" s="4">
        <v>33</v>
      </c>
      <c r="K69" s="5">
        <v>1332</v>
      </c>
      <c r="L69" t="str">
        <f t="shared" si="10"/>
        <v>20160805069</v>
      </c>
      <c r="M69" t="str">
        <f t="shared" si="11"/>
        <v>20160805</v>
      </c>
    </row>
    <row r="70" spans="1:13" x14ac:dyDescent="0.25">
      <c r="A70" s="4">
        <v>2016</v>
      </c>
      <c r="B70" s="7">
        <v>42591</v>
      </c>
      <c r="C70" s="2">
        <v>70</v>
      </c>
      <c r="D70" s="3">
        <v>15</v>
      </c>
      <c r="E70" s="3">
        <v>37</v>
      </c>
      <c r="F70" s="3">
        <v>35</v>
      </c>
      <c r="G70" s="3">
        <v>17</v>
      </c>
      <c r="H70" s="3">
        <v>45</v>
      </c>
      <c r="I70" s="3">
        <v>30</v>
      </c>
      <c r="J70" s="4">
        <v>41</v>
      </c>
      <c r="K70" s="5">
        <v>1333</v>
      </c>
      <c r="L70" t="str">
        <f t="shared" si="10"/>
        <v>20160809070</v>
      </c>
      <c r="M70" t="str">
        <f t="shared" si="11"/>
        <v>20160809</v>
      </c>
    </row>
    <row r="71" spans="1:13" x14ac:dyDescent="0.25">
      <c r="A71" s="4">
        <v>2016</v>
      </c>
      <c r="B71" s="7">
        <v>42594</v>
      </c>
      <c r="C71" s="2">
        <v>71</v>
      </c>
      <c r="D71" s="3">
        <v>8</v>
      </c>
      <c r="E71" s="3">
        <v>35</v>
      </c>
      <c r="F71" s="3">
        <v>43</v>
      </c>
      <c r="G71" s="3">
        <v>33</v>
      </c>
      <c r="H71" s="3">
        <v>20</v>
      </c>
      <c r="I71" s="3">
        <v>42</v>
      </c>
      <c r="J71" s="4">
        <v>10</v>
      </c>
      <c r="K71" s="5">
        <v>1334</v>
      </c>
      <c r="L71" t="str">
        <f t="shared" si="10"/>
        <v>20160812071</v>
      </c>
      <c r="M71" t="str">
        <f t="shared" si="11"/>
        <v>20160812</v>
      </c>
    </row>
    <row r="72" spans="1:13" x14ac:dyDescent="0.25">
      <c r="A72" s="4">
        <v>2016</v>
      </c>
      <c r="B72" s="7">
        <v>42598</v>
      </c>
      <c r="C72" s="2">
        <v>72</v>
      </c>
      <c r="D72" s="3">
        <v>29</v>
      </c>
      <c r="E72" s="3">
        <v>20</v>
      </c>
      <c r="F72" s="3">
        <v>14</v>
      </c>
      <c r="G72" s="3">
        <v>15</v>
      </c>
      <c r="H72" s="3">
        <v>5</v>
      </c>
      <c r="I72" s="3">
        <v>27</v>
      </c>
      <c r="J72" s="4">
        <v>35</v>
      </c>
      <c r="K72" s="5">
        <v>1335</v>
      </c>
      <c r="L72" t="str">
        <f t="shared" si="10"/>
        <v>20160816072</v>
      </c>
      <c r="M72" t="str">
        <f t="shared" si="11"/>
        <v>20160816</v>
      </c>
    </row>
    <row r="73" spans="1:13" x14ac:dyDescent="0.25">
      <c r="A73" s="4">
        <v>2016</v>
      </c>
      <c r="B73" s="7">
        <v>42601</v>
      </c>
      <c r="C73" s="2">
        <v>73</v>
      </c>
      <c r="D73" s="3">
        <v>19</v>
      </c>
      <c r="E73" s="3">
        <v>26</v>
      </c>
      <c r="F73" s="3">
        <v>44</v>
      </c>
      <c r="G73" s="3">
        <v>46</v>
      </c>
      <c r="H73" s="3">
        <v>5</v>
      </c>
      <c r="I73" s="3">
        <v>48</v>
      </c>
      <c r="J73" s="4">
        <v>36</v>
      </c>
      <c r="K73" s="5">
        <v>1336</v>
      </c>
      <c r="L73" t="str">
        <f t="shared" si="10"/>
        <v>20160819073</v>
      </c>
      <c r="M73" t="str">
        <f t="shared" si="11"/>
        <v>20160819</v>
      </c>
    </row>
    <row r="74" spans="1:13" x14ac:dyDescent="0.25">
      <c r="A74" s="4">
        <v>2016</v>
      </c>
      <c r="B74" s="7">
        <v>42605</v>
      </c>
      <c r="C74" s="2">
        <v>74</v>
      </c>
      <c r="D74" s="3">
        <v>44</v>
      </c>
      <c r="E74" s="3">
        <v>26</v>
      </c>
      <c r="F74" s="3">
        <v>38</v>
      </c>
      <c r="G74" s="3">
        <v>25</v>
      </c>
      <c r="H74" s="3">
        <v>48</v>
      </c>
      <c r="I74" s="3">
        <v>37</v>
      </c>
      <c r="J74" s="4">
        <v>31</v>
      </c>
      <c r="K74" s="5">
        <v>1337</v>
      </c>
      <c r="L74" t="str">
        <f t="shared" si="10"/>
        <v>20160823074</v>
      </c>
      <c r="M74" t="str">
        <f t="shared" si="11"/>
        <v>20160823</v>
      </c>
    </row>
    <row r="75" spans="1:13" x14ac:dyDescent="0.25">
      <c r="A75" s="4">
        <v>2016</v>
      </c>
      <c r="B75" s="7">
        <v>42608</v>
      </c>
      <c r="C75" s="2">
        <v>75</v>
      </c>
      <c r="D75" s="3">
        <v>34</v>
      </c>
      <c r="E75" s="3">
        <v>49</v>
      </c>
      <c r="F75" s="3">
        <v>28</v>
      </c>
      <c r="G75" s="3">
        <v>9</v>
      </c>
      <c r="H75" s="3">
        <v>42</v>
      </c>
      <c r="I75" s="3">
        <v>41</v>
      </c>
      <c r="J75" s="4">
        <v>6</v>
      </c>
      <c r="K75" s="5">
        <v>1338</v>
      </c>
      <c r="L75" t="str">
        <f t="shared" ref="L75:L81" si="12">CONCATENATE(TEXT(A75,"0000"),TEXT(B75,"mmdd"),TEXT(C75,"000"))</f>
        <v>20160826075</v>
      </c>
      <c r="M75" t="str">
        <f t="shared" ref="M75:M81" si="13">CONCATENATE(TEXT(A75,"0000"),TEXT(B75,"mmdd"))</f>
        <v>20160826</v>
      </c>
    </row>
    <row r="76" spans="1:13" x14ac:dyDescent="0.25">
      <c r="A76" s="4">
        <v>2016</v>
      </c>
      <c r="B76" s="7">
        <v>42612</v>
      </c>
      <c r="C76" s="2">
        <v>76</v>
      </c>
      <c r="D76" s="3">
        <v>1</v>
      </c>
      <c r="E76" s="3">
        <v>46</v>
      </c>
      <c r="F76" s="3">
        <v>36</v>
      </c>
      <c r="G76" s="3">
        <v>27</v>
      </c>
      <c r="H76" s="3">
        <v>11</v>
      </c>
      <c r="I76" s="3">
        <v>18</v>
      </c>
      <c r="J76" s="4">
        <v>26</v>
      </c>
      <c r="K76" s="5">
        <v>1339</v>
      </c>
      <c r="L76" t="str">
        <f t="shared" si="12"/>
        <v>20160830076</v>
      </c>
      <c r="M76" t="str">
        <f t="shared" si="13"/>
        <v>20160830</v>
      </c>
    </row>
    <row r="77" spans="1:13" x14ac:dyDescent="0.25">
      <c r="A77" s="4">
        <v>2016</v>
      </c>
      <c r="B77" s="7">
        <v>42615</v>
      </c>
      <c r="C77" s="2">
        <v>77</v>
      </c>
      <c r="D77" s="3">
        <v>9</v>
      </c>
      <c r="E77" s="3">
        <v>45</v>
      </c>
      <c r="F77" s="3">
        <v>46</v>
      </c>
      <c r="G77" s="3">
        <v>11</v>
      </c>
      <c r="H77" s="3">
        <v>20</v>
      </c>
      <c r="I77" s="3">
        <v>21</v>
      </c>
      <c r="J77" s="4">
        <v>42</v>
      </c>
      <c r="K77" s="5">
        <v>1340</v>
      </c>
      <c r="L77" t="str">
        <f t="shared" si="12"/>
        <v>20160902077</v>
      </c>
      <c r="M77" t="str">
        <f t="shared" si="13"/>
        <v>20160902</v>
      </c>
    </row>
    <row r="78" spans="1:13" x14ac:dyDescent="0.25">
      <c r="A78" s="4">
        <v>2016</v>
      </c>
      <c r="B78" s="7">
        <v>42619</v>
      </c>
      <c r="C78" s="2">
        <v>78</v>
      </c>
      <c r="D78" s="3">
        <v>7</v>
      </c>
      <c r="E78" s="3">
        <v>4</v>
      </c>
      <c r="F78" s="3">
        <v>28</v>
      </c>
      <c r="G78" s="3">
        <v>20</v>
      </c>
      <c r="H78" s="3">
        <v>45</v>
      </c>
      <c r="I78" s="3">
        <v>23</v>
      </c>
      <c r="J78" s="4">
        <v>35</v>
      </c>
      <c r="K78" s="5">
        <v>1341</v>
      </c>
      <c r="L78" t="str">
        <f t="shared" si="12"/>
        <v>20160906078</v>
      </c>
      <c r="M78" t="str">
        <f t="shared" si="13"/>
        <v>20160906</v>
      </c>
    </row>
    <row r="79" spans="1:13" x14ac:dyDescent="0.25">
      <c r="A79" s="4">
        <v>2016</v>
      </c>
      <c r="B79" s="7">
        <v>42622</v>
      </c>
      <c r="C79" s="2">
        <v>79</v>
      </c>
      <c r="D79" s="3">
        <v>41</v>
      </c>
      <c r="E79" s="3">
        <v>12</v>
      </c>
      <c r="F79" s="3">
        <v>1</v>
      </c>
      <c r="G79" s="3">
        <v>44</v>
      </c>
      <c r="H79" s="3">
        <v>36</v>
      </c>
      <c r="I79" s="3">
        <v>35</v>
      </c>
      <c r="J79" s="4">
        <v>21</v>
      </c>
      <c r="K79" s="5">
        <v>1342</v>
      </c>
      <c r="L79" t="str">
        <f t="shared" si="12"/>
        <v>20160909079</v>
      </c>
      <c r="M79" t="str">
        <f t="shared" si="13"/>
        <v>20160909</v>
      </c>
    </row>
    <row r="80" spans="1:13" x14ac:dyDescent="0.25">
      <c r="A80" s="4">
        <v>2016</v>
      </c>
      <c r="B80" s="7">
        <v>42626</v>
      </c>
      <c r="C80" s="2">
        <v>80</v>
      </c>
      <c r="D80" s="3">
        <v>3</v>
      </c>
      <c r="E80" s="3">
        <v>41</v>
      </c>
      <c r="F80" s="3">
        <v>16</v>
      </c>
      <c r="G80" s="3">
        <v>40</v>
      </c>
      <c r="H80" s="3">
        <v>22</v>
      </c>
      <c r="I80" s="3">
        <v>33</v>
      </c>
      <c r="J80" s="4">
        <v>39</v>
      </c>
      <c r="K80" s="5">
        <v>1343</v>
      </c>
      <c r="L80" t="str">
        <f t="shared" si="12"/>
        <v>20160913080</v>
      </c>
      <c r="M80" t="str">
        <f t="shared" si="13"/>
        <v>20160913</v>
      </c>
    </row>
    <row r="81" spans="1:13" x14ac:dyDescent="0.25">
      <c r="A81" s="4">
        <v>2016</v>
      </c>
      <c r="B81" s="7">
        <v>42629</v>
      </c>
      <c r="C81" s="2">
        <v>81</v>
      </c>
      <c r="D81" s="3">
        <v>34</v>
      </c>
      <c r="E81" s="3">
        <v>31</v>
      </c>
      <c r="F81" s="3">
        <v>49</v>
      </c>
      <c r="G81" s="3">
        <v>30</v>
      </c>
      <c r="H81" s="3">
        <v>17</v>
      </c>
      <c r="I81" s="3">
        <v>23</v>
      </c>
      <c r="J81" s="4">
        <v>36</v>
      </c>
      <c r="K81" s="5">
        <v>1344</v>
      </c>
      <c r="L81" t="str">
        <f t="shared" si="12"/>
        <v>20160916081</v>
      </c>
      <c r="M81" t="str">
        <f t="shared" si="13"/>
        <v>20160916</v>
      </c>
    </row>
    <row r="82" spans="1:13" x14ac:dyDescent="0.25">
      <c r="A82" s="4">
        <v>2016</v>
      </c>
      <c r="B82" s="7">
        <v>42633</v>
      </c>
      <c r="C82" s="2">
        <v>82</v>
      </c>
      <c r="D82" s="3">
        <v>22</v>
      </c>
      <c r="E82" s="3">
        <v>7</v>
      </c>
      <c r="F82" s="3">
        <v>17</v>
      </c>
      <c r="G82" s="3">
        <v>44</v>
      </c>
      <c r="H82" s="3">
        <v>4</v>
      </c>
      <c r="I82" s="3">
        <v>45</v>
      </c>
      <c r="J82" s="4">
        <v>32</v>
      </c>
      <c r="K82" s="5">
        <v>1345</v>
      </c>
      <c r="L82" t="str">
        <f t="shared" ref="L82:L84" si="14">CONCATENATE(TEXT(A82,"0000"),TEXT(B82,"mmdd"),TEXT(C82,"000"))</f>
        <v>20160920082</v>
      </c>
      <c r="M82" t="str">
        <f t="shared" ref="M82:M84" si="15">CONCATENATE(TEXT(A82,"0000"),TEXT(B82,"mmdd"))</f>
        <v>20160920</v>
      </c>
    </row>
    <row r="83" spans="1:13" x14ac:dyDescent="0.25">
      <c r="A83" s="4">
        <v>2016</v>
      </c>
      <c r="B83" s="7">
        <v>42636</v>
      </c>
      <c r="C83" s="2">
        <v>83</v>
      </c>
      <c r="D83" s="3">
        <v>1</v>
      </c>
      <c r="E83" s="3">
        <v>43</v>
      </c>
      <c r="F83" s="3">
        <v>33</v>
      </c>
      <c r="G83" s="3">
        <v>29</v>
      </c>
      <c r="H83" s="3">
        <v>31</v>
      </c>
      <c r="I83" s="3">
        <v>2</v>
      </c>
      <c r="J83" s="4">
        <v>40</v>
      </c>
      <c r="K83" s="5">
        <v>1346</v>
      </c>
      <c r="L83" t="str">
        <f t="shared" si="14"/>
        <v>20160923083</v>
      </c>
      <c r="M83" t="str">
        <f t="shared" si="15"/>
        <v>20160923</v>
      </c>
    </row>
    <row r="84" spans="1:13" x14ac:dyDescent="0.25">
      <c r="A84" s="4">
        <v>2016</v>
      </c>
      <c r="B84" s="7">
        <v>42640</v>
      </c>
      <c r="C84" s="2">
        <v>84</v>
      </c>
      <c r="D84" s="3">
        <v>35</v>
      </c>
      <c r="E84" s="3">
        <v>15</v>
      </c>
      <c r="F84" s="3">
        <v>48</v>
      </c>
      <c r="G84" s="3">
        <v>14</v>
      </c>
      <c r="H84" s="3">
        <v>16</v>
      </c>
      <c r="I84" s="3">
        <v>46</v>
      </c>
      <c r="J84" s="4">
        <v>2</v>
      </c>
      <c r="K84" s="5">
        <v>1347</v>
      </c>
      <c r="L84" t="str">
        <f t="shared" si="14"/>
        <v>20160927084</v>
      </c>
      <c r="M84" t="str">
        <f t="shared" si="15"/>
        <v>20160927</v>
      </c>
    </row>
    <row r="85" spans="1:13" x14ac:dyDescent="0.25">
      <c r="A85" s="4">
        <v>2016</v>
      </c>
      <c r="B85" s="7">
        <v>42643</v>
      </c>
      <c r="C85" s="2">
        <v>85</v>
      </c>
      <c r="D85" s="3">
        <v>48</v>
      </c>
      <c r="E85" s="3">
        <v>4</v>
      </c>
      <c r="F85" s="3">
        <v>10</v>
      </c>
      <c r="G85" s="3">
        <v>31</v>
      </c>
      <c r="H85" s="3">
        <v>38</v>
      </c>
      <c r="I85" s="3">
        <v>40</v>
      </c>
      <c r="J85" s="4">
        <v>5</v>
      </c>
      <c r="K85" s="5">
        <v>1348</v>
      </c>
      <c r="L85" t="str">
        <f t="shared" ref="L85:L89" si="16">CONCATENATE(TEXT(A85,"0000"),TEXT(B85,"mmdd"),TEXT(C85,"000"))</f>
        <v>20160930085</v>
      </c>
      <c r="M85" t="str">
        <f t="shared" ref="M85:M89" si="17">CONCATENATE(TEXT(A85,"0000"),TEXT(B85,"mmdd"))</f>
        <v>20160930</v>
      </c>
    </row>
    <row r="86" spans="1:13" x14ac:dyDescent="0.25">
      <c r="A86" s="4">
        <v>2016</v>
      </c>
      <c r="B86" s="7">
        <v>42647</v>
      </c>
      <c r="C86" s="2">
        <v>86</v>
      </c>
      <c r="D86" s="3">
        <v>23</v>
      </c>
      <c r="E86" s="3">
        <v>11</v>
      </c>
      <c r="F86" s="3">
        <v>30</v>
      </c>
      <c r="G86" s="3">
        <v>35</v>
      </c>
      <c r="H86" s="3">
        <v>44</v>
      </c>
      <c r="I86" s="3">
        <v>40</v>
      </c>
      <c r="J86" s="4">
        <v>7</v>
      </c>
      <c r="K86" s="5">
        <v>1349</v>
      </c>
      <c r="L86" t="str">
        <f t="shared" si="16"/>
        <v>20161004086</v>
      </c>
      <c r="M86" t="str">
        <f t="shared" si="17"/>
        <v>20161004</v>
      </c>
    </row>
    <row r="87" spans="1:13" x14ac:dyDescent="0.25">
      <c r="A87" s="4">
        <v>2016</v>
      </c>
      <c r="B87" s="7">
        <v>42650</v>
      </c>
      <c r="C87" s="2">
        <v>87</v>
      </c>
      <c r="D87" s="3">
        <v>10</v>
      </c>
      <c r="E87" s="3">
        <v>16</v>
      </c>
      <c r="F87" s="3">
        <v>30</v>
      </c>
      <c r="G87" s="3">
        <v>42</v>
      </c>
      <c r="H87" s="3">
        <v>33</v>
      </c>
      <c r="I87" s="3">
        <v>37</v>
      </c>
      <c r="J87" s="4">
        <v>43</v>
      </c>
      <c r="K87" s="5">
        <v>1350</v>
      </c>
      <c r="L87" t="str">
        <f t="shared" si="16"/>
        <v>20161007087</v>
      </c>
      <c r="M87" t="str">
        <f t="shared" si="17"/>
        <v>20161007</v>
      </c>
    </row>
    <row r="88" spans="1:13" x14ac:dyDescent="0.25">
      <c r="A88" s="4">
        <v>2016</v>
      </c>
      <c r="B88" s="7">
        <v>42654</v>
      </c>
      <c r="C88" s="2">
        <v>88</v>
      </c>
      <c r="D88" s="3">
        <v>37</v>
      </c>
      <c r="E88" s="3">
        <v>39</v>
      </c>
      <c r="F88" s="3">
        <v>2</v>
      </c>
      <c r="G88" s="3">
        <v>8</v>
      </c>
      <c r="H88" s="3">
        <v>13</v>
      </c>
      <c r="I88" s="3">
        <v>14</v>
      </c>
      <c r="J88" s="4">
        <v>38</v>
      </c>
      <c r="K88" s="5">
        <v>1351</v>
      </c>
      <c r="L88" t="str">
        <f t="shared" si="16"/>
        <v>20161011088</v>
      </c>
      <c r="M88" t="str">
        <f t="shared" si="17"/>
        <v>20161011</v>
      </c>
    </row>
    <row r="89" spans="1:13" x14ac:dyDescent="0.25">
      <c r="A89" s="4">
        <v>2016</v>
      </c>
      <c r="B89" s="7">
        <v>42657</v>
      </c>
      <c r="C89" s="2">
        <v>89</v>
      </c>
      <c r="D89" s="3">
        <v>23</v>
      </c>
      <c r="E89" s="3">
        <v>10</v>
      </c>
      <c r="F89" s="3">
        <v>30</v>
      </c>
      <c r="G89" s="3">
        <v>44</v>
      </c>
      <c r="H89" s="3">
        <v>29</v>
      </c>
      <c r="I89" s="3">
        <v>47</v>
      </c>
      <c r="J89" s="4">
        <v>7</v>
      </c>
      <c r="K89" s="5">
        <v>1352</v>
      </c>
      <c r="L89" t="str">
        <f t="shared" si="16"/>
        <v>20161014089</v>
      </c>
      <c r="M89" t="str">
        <f t="shared" si="17"/>
        <v>20161014</v>
      </c>
    </row>
    <row r="90" spans="1:13" x14ac:dyDescent="0.25">
      <c r="A90" s="4">
        <v>2016</v>
      </c>
      <c r="B90" s="7">
        <v>42661</v>
      </c>
      <c r="C90" s="2">
        <v>90</v>
      </c>
      <c r="D90" s="3">
        <v>44</v>
      </c>
      <c r="E90" s="3">
        <v>15</v>
      </c>
      <c r="F90" s="3">
        <v>14</v>
      </c>
      <c r="G90" s="3">
        <v>47</v>
      </c>
      <c r="H90" s="3">
        <v>16</v>
      </c>
      <c r="I90" s="3">
        <v>24</v>
      </c>
      <c r="J90" s="4">
        <v>21</v>
      </c>
      <c r="K90" s="5">
        <v>1353</v>
      </c>
      <c r="L90" t="str">
        <f t="shared" ref="L90:L93" si="18">CONCATENATE(TEXT(A90,"0000"),TEXT(B90,"mmdd"),TEXT(C90,"000"))</f>
        <v>20161018090</v>
      </c>
      <c r="M90" t="str">
        <f t="shared" ref="M90:M93" si="19">CONCATENATE(TEXT(A90,"0000"),TEXT(B90,"mmdd"))</f>
        <v>20161018</v>
      </c>
    </row>
    <row r="91" spans="1:13" x14ac:dyDescent="0.25">
      <c r="A91" s="4">
        <v>2016</v>
      </c>
      <c r="B91" s="7">
        <v>42664</v>
      </c>
      <c r="C91" s="2">
        <v>91</v>
      </c>
      <c r="D91" s="3">
        <v>33</v>
      </c>
      <c r="E91" s="3">
        <v>32</v>
      </c>
      <c r="F91" s="3">
        <v>2</v>
      </c>
      <c r="G91" s="3">
        <v>8</v>
      </c>
      <c r="H91" s="3">
        <v>21</v>
      </c>
      <c r="I91" s="3">
        <v>37</v>
      </c>
      <c r="J91" s="4">
        <v>15</v>
      </c>
      <c r="K91" s="5">
        <v>1354</v>
      </c>
      <c r="L91" t="str">
        <f t="shared" si="18"/>
        <v>20161021091</v>
      </c>
      <c r="M91" t="str">
        <f t="shared" si="19"/>
        <v>20161021</v>
      </c>
    </row>
    <row r="92" spans="1:13" x14ac:dyDescent="0.25">
      <c r="A92" s="4">
        <v>2016</v>
      </c>
      <c r="B92" s="7">
        <v>42668</v>
      </c>
      <c r="C92" s="2">
        <v>92</v>
      </c>
      <c r="D92" s="3">
        <v>34</v>
      </c>
      <c r="E92" s="3">
        <v>15</v>
      </c>
      <c r="F92" s="3">
        <v>25</v>
      </c>
      <c r="G92" s="3">
        <v>27</v>
      </c>
      <c r="H92" s="3">
        <v>33</v>
      </c>
      <c r="I92" s="3">
        <v>5</v>
      </c>
      <c r="J92" s="4">
        <v>43</v>
      </c>
      <c r="K92" s="5">
        <v>1355</v>
      </c>
      <c r="L92" t="str">
        <f t="shared" si="18"/>
        <v>20161025092</v>
      </c>
      <c r="M92" t="str">
        <f t="shared" si="19"/>
        <v>20161025</v>
      </c>
    </row>
    <row r="93" spans="1:13" x14ac:dyDescent="0.25">
      <c r="A93" s="4">
        <v>2016</v>
      </c>
      <c r="B93" s="7">
        <v>42671</v>
      </c>
      <c r="C93" s="2">
        <v>93</v>
      </c>
      <c r="D93" s="3">
        <v>10</v>
      </c>
      <c r="E93" s="3">
        <v>38</v>
      </c>
      <c r="F93" s="3">
        <v>13</v>
      </c>
      <c r="G93" s="3">
        <v>1</v>
      </c>
      <c r="H93" s="3">
        <v>33</v>
      </c>
      <c r="I93" s="3">
        <v>37</v>
      </c>
      <c r="J93" s="4">
        <v>40</v>
      </c>
      <c r="K93" s="5">
        <v>1356</v>
      </c>
      <c r="L93" t="str">
        <f t="shared" si="18"/>
        <v>20161028093</v>
      </c>
      <c r="M93" t="str">
        <f t="shared" si="19"/>
        <v>20161028</v>
      </c>
    </row>
    <row r="94" spans="1:13" x14ac:dyDescent="0.25">
      <c r="A94" s="4">
        <v>2016</v>
      </c>
      <c r="B94" s="7">
        <v>42675</v>
      </c>
      <c r="C94" s="2">
        <v>94</v>
      </c>
      <c r="D94" s="3">
        <v>11</v>
      </c>
      <c r="E94" s="3">
        <v>10</v>
      </c>
      <c r="F94" s="3">
        <v>49</v>
      </c>
      <c r="G94" s="3">
        <v>20</v>
      </c>
      <c r="H94" s="3">
        <v>15</v>
      </c>
      <c r="I94" s="3">
        <v>31</v>
      </c>
      <c r="J94" s="4">
        <v>44</v>
      </c>
      <c r="K94" s="5">
        <v>1357</v>
      </c>
      <c r="L94" t="str">
        <f t="shared" ref="L94:L96" si="20">CONCATENATE(TEXT(A94,"0000"),TEXT(B94,"mmdd"),TEXT(C94,"000"))</f>
        <v>20161101094</v>
      </c>
      <c r="M94" t="str">
        <f t="shared" ref="M94:M96" si="21">CONCATENATE(TEXT(A94,"0000"),TEXT(B94,"mmdd"))</f>
        <v>20161101</v>
      </c>
    </row>
    <row r="95" spans="1:13" x14ac:dyDescent="0.25">
      <c r="A95" s="4">
        <v>2016</v>
      </c>
      <c r="B95" s="7">
        <v>42678</v>
      </c>
      <c r="C95" s="2">
        <v>95</v>
      </c>
      <c r="D95" s="3">
        <v>49</v>
      </c>
      <c r="E95" s="3">
        <v>38</v>
      </c>
      <c r="F95" s="3">
        <v>2</v>
      </c>
      <c r="G95" s="3">
        <v>3</v>
      </c>
      <c r="H95" s="3">
        <v>17</v>
      </c>
      <c r="I95" s="3">
        <v>28</v>
      </c>
      <c r="J95" s="4">
        <v>21</v>
      </c>
      <c r="K95" s="5">
        <v>1358</v>
      </c>
      <c r="L95" t="str">
        <f t="shared" si="20"/>
        <v>20161104095</v>
      </c>
      <c r="M95" t="str">
        <f t="shared" si="21"/>
        <v>20161104</v>
      </c>
    </row>
    <row r="96" spans="1:13" x14ac:dyDescent="0.25">
      <c r="A96" s="4">
        <v>2016</v>
      </c>
      <c r="B96" s="7">
        <v>42682</v>
      </c>
      <c r="C96" s="2">
        <v>96</v>
      </c>
      <c r="D96" s="3">
        <v>22</v>
      </c>
      <c r="E96" s="3">
        <v>17</v>
      </c>
      <c r="F96" s="3">
        <v>6</v>
      </c>
      <c r="G96" s="3">
        <v>49</v>
      </c>
      <c r="H96" s="3">
        <v>11</v>
      </c>
      <c r="I96" s="3">
        <v>3</v>
      </c>
      <c r="J96" s="4">
        <v>44</v>
      </c>
      <c r="K96" s="5">
        <v>1359</v>
      </c>
      <c r="L96" t="str">
        <f t="shared" si="20"/>
        <v>20161108096</v>
      </c>
      <c r="M96" t="str">
        <f t="shared" si="21"/>
        <v>20161108</v>
      </c>
    </row>
    <row r="97" spans="1:13" x14ac:dyDescent="0.25">
      <c r="A97" s="4">
        <v>2016</v>
      </c>
      <c r="B97" s="7">
        <v>43050</v>
      </c>
      <c r="C97" s="2">
        <v>97</v>
      </c>
      <c r="D97" s="3">
        <v>8</v>
      </c>
      <c r="E97" s="3">
        <v>28</v>
      </c>
      <c r="F97" s="3">
        <v>7</v>
      </c>
      <c r="G97" s="3">
        <v>32</v>
      </c>
      <c r="H97" s="3">
        <v>2</v>
      </c>
      <c r="I97" s="3">
        <v>22</v>
      </c>
      <c r="J97" s="4">
        <v>20</v>
      </c>
      <c r="K97" s="5">
        <v>1360</v>
      </c>
      <c r="L97" t="str">
        <f t="shared" ref="L97:L111" si="22">CONCATENATE(TEXT(A97,"0000"),TEXT(B97,"mmdd"),TEXT(C97,"000"))</f>
        <v>20161111097</v>
      </c>
      <c r="M97" t="str">
        <f t="shared" ref="M97:M111" si="23">CONCATENATE(TEXT(A97,"0000"),TEXT(B97,"mmdd"))</f>
        <v>20161111</v>
      </c>
    </row>
    <row r="98" spans="1:13" x14ac:dyDescent="0.25">
      <c r="A98" s="4">
        <v>2016</v>
      </c>
      <c r="B98" s="7">
        <v>43054</v>
      </c>
      <c r="C98" s="2">
        <v>98</v>
      </c>
      <c r="D98" s="3">
        <v>8</v>
      </c>
      <c r="E98" s="3">
        <v>33</v>
      </c>
      <c r="F98" s="3">
        <v>41</v>
      </c>
      <c r="G98" s="3">
        <v>43</v>
      </c>
      <c r="H98" s="3">
        <v>25</v>
      </c>
      <c r="I98" s="3">
        <v>7</v>
      </c>
      <c r="J98" s="4">
        <v>6</v>
      </c>
      <c r="K98" s="5">
        <v>1361</v>
      </c>
      <c r="L98" t="str">
        <f t="shared" si="22"/>
        <v>20161115098</v>
      </c>
      <c r="M98" t="str">
        <f t="shared" si="23"/>
        <v>20161115</v>
      </c>
    </row>
    <row r="99" spans="1:13" x14ac:dyDescent="0.25">
      <c r="A99" s="4">
        <v>2016</v>
      </c>
      <c r="B99" s="7">
        <v>43057</v>
      </c>
      <c r="C99" s="2">
        <v>99</v>
      </c>
      <c r="D99" s="3">
        <v>26</v>
      </c>
      <c r="E99" s="3">
        <v>6</v>
      </c>
      <c r="F99" s="3">
        <v>18</v>
      </c>
      <c r="G99" s="3">
        <v>25</v>
      </c>
      <c r="H99" s="3">
        <v>34</v>
      </c>
      <c r="I99" s="3">
        <v>24</v>
      </c>
      <c r="J99" s="4">
        <v>19</v>
      </c>
      <c r="K99" s="5">
        <v>1362</v>
      </c>
      <c r="L99" t="str">
        <f t="shared" si="22"/>
        <v>20161118099</v>
      </c>
      <c r="M99" t="str">
        <f t="shared" si="23"/>
        <v>20161118</v>
      </c>
    </row>
    <row r="100" spans="1:13" x14ac:dyDescent="0.25">
      <c r="A100" s="4">
        <v>2016</v>
      </c>
      <c r="B100" s="7">
        <v>43061</v>
      </c>
      <c r="C100" s="2">
        <v>100</v>
      </c>
      <c r="D100" s="3">
        <v>34</v>
      </c>
      <c r="E100" s="3">
        <v>21</v>
      </c>
      <c r="F100" s="3">
        <v>25</v>
      </c>
      <c r="G100" s="3">
        <v>44</v>
      </c>
      <c r="H100" s="3">
        <v>1</v>
      </c>
      <c r="I100" s="3">
        <v>24</v>
      </c>
      <c r="J100" s="4">
        <v>19</v>
      </c>
      <c r="K100" s="5">
        <v>1363</v>
      </c>
      <c r="L100" t="str">
        <f t="shared" si="22"/>
        <v>20161122100</v>
      </c>
      <c r="M100" t="str">
        <f t="shared" si="23"/>
        <v>20161122</v>
      </c>
    </row>
    <row r="101" spans="1:13" x14ac:dyDescent="0.25">
      <c r="A101" s="4">
        <v>2016</v>
      </c>
      <c r="B101" s="7">
        <v>43064</v>
      </c>
      <c r="C101" s="2">
        <v>101</v>
      </c>
      <c r="D101" s="3">
        <v>3</v>
      </c>
      <c r="E101" s="3">
        <v>28</v>
      </c>
      <c r="F101" s="3">
        <v>42</v>
      </c>
      <c r="G101" s="3">
        <v>1</v>
      </c>
      <c r="H101" s="3">
        <v>37</v>
      </c>
      <c r="I101" s="3">
        <v>22</v>
      </c>
      <c r="J101" s="4">
        <v>10</v>
      </c>
      <c r="K101" s="5">
        <v>1364</v>
      </c>
      <c r="L101" t="str">
        <f t="shared" si="22"/>
        <v>20161125101</v>
      </c>
      <c r="M101" t="str">
        <f t="shared" si="23"/>
        <v>20161125</v>
      </c>
    </row>
    <row r="102" spans="1:13" x14ac:dyDescent="0.25">
      <c r="A102" s="4">
        <v>2016</v>
      </c>
      <c r="B102" s="7">
        <v>43068</v>
      </c>
      <c r="C102" s="2">
        <v>102</v>
      </c>
      <c r="D102" s="3">
        <v>3</v>
      </c>
      <c r="E102" s="3">
        <v>26</v>
      </c>
      <c r="F102" s="3">
        <v>28</v>
      </c>
      <c r="G102" s="3">
        <v>38</v>
      </c>
      <c r="H102" s="3">
        <v>40</v>
      </c>
      <c r="I102" s="3">
        <v>21</v>
      </c>
      <c r="J102" s="4">
        <v>42</v>
      </c>
      <c r="K102" s="5">
        <v>1365</v>
      </c>
      <c r="L102" t="str">
        <f t="shared" si="22"/>
        <v>20161129102</v>
      </c>
      <c r="M102" t="str">
        <f t="shared" si="23"/>
        <v>20161129</v>
      </c>
    </row>
    <row r="103" spans="1:13" x14ac:dyDescent="0.25">
      <c r="A103" s="4">
        <v>2016</v>
      </c>
      <c r="B103" s="7">
        <v>43071</v>
      </c>
      <c r="C103" s="2">
        <v>103</v>
      </c>
      <c r="D103" s="3">
        <v>5</v>
      </c>
      <c r="E103" s="3">
        <v>25</v>
      </c>
      <c r="F103" s="3">
        <v>34</v>
      </c>
      <c r="G103" s="3">
        <v>26</v>
      </c>
      <c r="H103" s="3">
        <v>49</v>
      </c>
      <c r="I103" s="3">
        <v>40</v>
      </c>
      <c r="J103" s="4">
        <v>47</v>
      </c>
      <c r="K103" s="5">
        <v>1366</v>
      </c>
      <c r="L103" t="str">
        <f t="shared" si="22"/>
        <v>20161202103</v>
      </c>
      <c r="M103" t="str">
        <f t="shared" si="23"/>
        <v>20161202</v>
      </c>
    </row>
    <row r="104" spans="1:13" x14ac:dyDescent="0.25">
      <c r="A104" s="4">
        <v>2016</v>
      </c>
      <c r="B104" s="7">
        <v>43075</v>
      </c>
      <c r="C104" s="2">
        <v>104</v>
      </c>
      <c r="D104" s="3">
        <v>46</v>
      </c>
      <c r="E104" s="3">
        <v>41</v>
      </c>
      <c r="F104" s="3">
        <v>30</v>
      </c>
      <c r="G104" s="3">
        <v>32</v>
      </c>
      <c r="H104" s="3">
        <v>27</v>
      </c>
      <c r="I104" s="3">
        <v>44</v>
      </c>
      <c r="J104" s="4">
        <v>42</v>
      </c>
      <c r="K104" s="5">
        <v>1367</v>
      </c>
      <c r="L104" t="str">
        <f t="shared" si="22"/>
        <v>20161206104</v>
      </c>
      <c r="M104" t="str">
        <f t="shared" si="23"/>
        <v>20161206</v>
      </c>
    </row>
    <row r="105" spans="1:13" x14ac:dyDescent="0.25">
      <c r="A105" s="4">
        <v>2016</v>
      </c>
      <c r="B105" s="7">
        <v>43078</v>
      </c>
      <c r="C105" s="2">
        <v>105</v>
      </c>
      <c r="D105" s="3">
        <v>12</v>
      </c>
      <c r="E105" s="3">
        <v>38</v>
      </c>
      <c r="F105" s="3">
        <v>42</v>
      </c>
      <c r="G105" s="3">
        <v>49</v>
      </c>
      <c r="H105" s="3">
        <v>44</v>
      </c>
      <c r="I105" s="3">
        <v>28</v>
      </c>
      <c r="J105" s="4">
        <v>2</v>
      </c>
      <c r="K105" s="5">
        <v>1368</v>
      </c>
      <c r="L105" t="str">
        <f t="shared" si="22"/>
        <v>20161209105</v>
      </c>
      <c r="M105" t="str">
        <f t="shared" si="23"/>
        <v>20161209</v>
      </c>
    </row>
    <row r="106" spans="1:13" x14ac:dyDescent="0.25">
      <c r="A106" s="4">
        <v>2016</v>
      </c>
      <c r="B106" s="7">
        <v>43082</v>
      </c>
      <c r="C106" s="2">
        <v>106</v>
      </c>
      <c r="D106" s="3">
        <v>36</v>
      </c>
      <c r="E106" s="3">
        <v>29</v>
      </c>
      <c r="F106" s="3">
        <v>49</v>
      </c>
      <c r="G106" s="3">
        <v>39</v>
      </c>
      <c r="H106" s="3">
        <v>33</v>
      </c>
      <c r="I106" s="3">
        <v>19</v>
      </c>
      <c r="J106" s="4">
        <v>6</v>
      </c>
      <c r="K106" s="5">
        <v>1369</v>
      </c>
      <c r="L106" t="str">
        <f t="shared" si="22"/>
        <v>20161213106</v>
      </c>
      <c r="M106" t="str">
        <f t="shared" si="23"/>
        <v>20161213</v>
      </c>
    </row>
    <row r="107" spans="1:13" x14ac:dyDescent="0.25">
      <c r="A107" s="4">
        <v>2016</v>
      </c>
      <c r="B107" s="7">
        <v>43085</v>
      </c>
      <c r="C107" s="2">
        <v>107</v>
      </c>
      <c r="D107" s="3">
        <v>25</v>
      </c>
      <c r="E107" s="3">
        <v>36</v>
      </c>
      <c r="F107" s="3">
        <v>42</v>
      </c>
      <c r="G107" s="3">
        <v>19</v>
      </c>
      <c r="H107" s="3">
        <v>11</v>
      </c>
      <c r="I107" s="3">
        <v>34</v>
      </c>
      <c r="J107" s="4">
        <v>8</v>
      </c>
      <c r="K107" s="5">
        <v>1370</v>
      </c>
      <c r="L107" t="str">
        <f t="shared" si="22"/>
        <v>20161216107</v>
      </c>
      <c r="M107" t="str">
        <f t="shared" si="23"/>
        <v>20161216</v>
      </c>
    </row>
    <row r="108" spans="1:13" x14ac:dyDescent="0.25">
      <c r="A108" s="4">
        <v>2016</v>
      </c>
      <c r="B108" s="7">
        <v>43089</v>
      </c>
      <c r="C108" s="2">
        <v>108</v>
      </c>
      <c r="D108" s="3">
        <v>35</v>
      </c>
      <c r="E108" s="3">
        <v>36</v>
      </c>
      <c r="F108" s="3">
        <v>46</v>
      </c>
      <c r="G108" s="3">
        <v>1</v>
      </c>
      <c r="H108" s="3">
        <v>29</v>
      </c>
      <c r="I108" s="3">
        <v>44</v>
      </c>
      <c r="J108" s="4">
        <v>6</v>
      </c>
      <c r="K108" s="5">
        <v>1371</v>
      </c>
      <c r="L108" t="str">
        <f t="shared" si="22"/>
        <v>20161220108</v>
      </c>
      <c r="M108" t="str">
        <f t="shared" si="23"/>
        <v>20161220</v>
      </c>
    </row>
    <row r="109" spans="1:13" x14ac:dyDescent="0.25">
      <c r="A109" s="4">
        <v>2016</v>
      </c>
      <c r="B109" s="7">
        <v>43092</v>
      </c>
      <c r="C109" s="2">
        <v>109</v>
      </c>
      <c r="D109" s="3">
        <v>38</v>
      </c>
      <c r="E109" s="3">
        <v>42</v>
      </c>
      <c r="F109" s="3">
        <v>23</v>
      </c>
      <c r="G109" s="3">
        <v>28</v>
      </c>
      <c r="H109" s="3">
        <v>41</v>
      </c>
      <c r="I109" s="3">
        <v>8</v>
      </c>
      <c r="J109" s="4">
        <v>30</v>
      </c>
      <c r="K109" s="5">
        <v>1372</v>
      </c>
      <c r="L109" t="str">
        <f t="shared" si="22"/>
        <v>20161223109</v>
      </c>
      <c r="M109" t="str">
        <f t="shared" si="23"/>
        <v>20161223</v>
      </c>
    </row>
    <row r="110" spans="1:13" x14ac:dyDescent="0.25">
      <c r="A110" s="4">
        <v>2016</v>
      </c>
      <c r="B110" s="7">
        <v>43096</v>
      </c>
      <c r="C110" s="2">
        <v>110</v>
      </c>
      <c r="D110" s="3">
        <v>40</v>
      </c>
      <c r="E110" s="3">
        <v>26</v>
      </c>
      <c r="F110" s="3">
        <v>29</v>
      </c>
      <c r="G110" s="3">
        <v>10</v>
      </c>
      <c r="H110" s="3">
        <v>31</v>
      </c>
      <c r="I110" s="3">
        <v>25</v>
      </c>
      <c r="J110" s="4">
        <v>2</v>
      </c>
      <c r="K110" s="5">
        <v>1373</v>
      </c>
      <c r="L110" t="str">
        <f t="shared" si="22"/>
        <v>20161227110</v>
      </c>
      <c r="M110" t="str">
        <f t="shared" si="23"/>
        <v>20161227</v>
      </c>
    </row>
    <row r="111" spans="1:13" x14ac:dyDescent="0.25">
      <c r="A111" s="4">
        <v>2016</v>
      </c>
      <c r="B111" s="7">
        <v>43099</v>
      </c>
      <c r="C111" s="2">
        <v>111</v>
      </c>
      <c r="D111" s="3">
        <v>37</v>
      </c>
      <c r="E111" s="3">
        <v>6</v>
      </c>
      <c r="F111" s="3">
        <v>7</v>
      </c>
      <c r="G111" s="3">
        <v>47</v>
      </c>
      <c r="H111" s="3">
        <v>35</v>
      </c>
      <c r="I111" s="3">
        <v>38</v>
      </c>
      <c r="J111" s="4">
        <v>12</v>
      </c>
      <c r="K111" s="5">
        <v>1374</v>
      </c>
      <c r="L111" t="str">
        <f t="shared" si="22"/>
        <v>20161230111</v>
      </c>
      <c r="M111" t="str">
        <f t="shared" si="23"/>
        <v>20161230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109"/>
  <sheetViews>
    <sheetView topLeftCell="A88" zoomScale="92" zoomScaleNormal="92" workbookViewId="0">
      <selection activeCell="J103" sqref="J103"/>
    </sheetView>
  </sheetViews>
  <sheetFormatPr defaultColWidth="6.125" defaultRowHeight="16.5" x14ac:dyDescent="0.25"/>
  <cols>
    <col min="1" max="1" width="6.25" bestFit="1" customWidth="1"/>
    <col min="2" max="2" width="8.25" bestFit="1" customWidth="1"/>
    <col min="3" max="10" width="4" bestFit="1" customWidth="1"/>
    <col min="11" max="11" width="6.25" bestFit="1" customWidth="1"/>
    <col min="12" max="12" width="12.75" bestFit="1" customWidth="1"/>
    <col min="13" max="13" width="9.5" bestFit="1" customWidth="1"/>
    <col min="15" max="15" width="6.25" style="13" bestFit="1" customWidth="1"/>
    <col min="16" max="16" width="7.875" style="13" bestFit="1" customWidth="1"/>
    <col min="17" max="20" width="4" style="13" bestFit="1" customWidth="1"/>
    <col min="21" max="24" width="4" bestFit="1" customWidth="1"/>
    <col min="25" max="25" width="6.25" bestFit="1" customWidth="1"/>
  </cols>
  <sheetData>
    <row r="1" spans="1:25" x14ac:dyDescent="0.25">
      <c r="A1" s="4">
        <v>2015</v>
      </c>
      <c r="B1" s="7">
        <v>42006</v>
      </c>
      <c r="C1" s="2">
        <v>1</v>
      </c>
      <c r="D1" s="3">
        <v>31</v>
      </c>
      <c r="E1" s="3">
        <v>23</v>
      </c>
      <c r="F1" s="3">
        <v>48</v>
      </c>
      <c r="G1" s="3">
        <v>29</v>
      </c>
      <c r="H1" s="3">
        <v>22</v>
      </c>
      <c r="I1" s="3">
        <v>13</v>
      </c>
      <c r="J1" s="4">
        <v>6</v>
      </c>
      <c r="K1" s="5">
        <v>1155</v>
      </c>
      <c r="L1" t="str">
        <f>CONCATENATE(TEXT(A1,"0000"),TEXT(B1,"mmdd"),TEXT(C1,"000"))</f>
        <v>20150102001</v>
      </c>
      <c r="M1" t="str">
        <f>CONCATENATE(TEXT(A1,"0000"),TEXT(B1,"mmdd"))</f>
        <v>20150102</v>
      </c>
      <c r="O1" s="4">
        <v>2015</v>
      </c>
      <c r="P1" s="7">
        <v>42006</v>
      </c>
      <c r="Q1" s="2">
        <v>1</v>
      </c>
      <c r="R1" s="3">
        <v>13</v>
      </c>
      <c r="S1" s="3">
        <v>22</v>
      </c>
      <c r="T1" s="3">
        <v>23</v>
      </c>
      <c r="U1" s="3">
        <v>29</v>
      </c>
      <c r="V1" s="3">
        <v>31</v>
      </c>
      <c r="W1" s="3">
        <v>48</v>
      </c>
      <c r="X1" s="4">
        <v>6</v>
      </c>
      <c r="Y1" s="5">
        <v>1155</v>
      </c>
    </row>
    <row r="2" spans="1:25" x14ac:dyDescent="0.25">
      <c r="A2" s="4">
        <v>2015</v>
      </c>
      <c r="B2" s="7">
        <v>42010</v>
      </c>
      <c r="C2" s="2">
        <v>2</v>
      </c>
      <c r="D2" s="3">
        <v>16</v>
      </c>
      <c r="E2" s="3">
        <v>37</v>
      </c>
      <c r="F2" s="3">
        <v>43</v>
      </c>
      <c r="G2" s="3">
        <v>11</v>
      </c>
      <c r="H2" s="3">
        <v>30</v>
      </c>
      <c r="I2" s="3">
        <v>29</v>
      </c>
      <c r="J2" s="4">
        <v>13</v>
      </c>
      <c r="K2" s="5">
        <v>1156</v>
      </c>
      <c r="L2" t="str">
        <f t="shared" ref="L2:L5" si="0">CONCATENATE(TEXT(A2,"0000"),TEXT(B2,"mmdd"),TEXT(C2,"000"))</f>
        <v>20150106002</v>
      </c>
      <c r="M2" t="str">
        <f t="shared" ref="M2:M5" si="1">CONCATENATE(TEXT(A2,"0000"),TEXT(B2,"mmdd"))</f>
        <v>20150106</v>
      </c>
      <c r="O2" s="4">
        <v>2015</v>
      </c>
      <c r="P2" s="7">
        <v>42010</v>
      </c>
      <c r="Q2" s="2">
        <v>2</v>
      </c>
      <c r="R2" s="3">
        <v>11</v>
      </c>
      <c r="S2" s="3">
        <v>16</v>
      </c>
      <c r="T2" s="3">
        <v>29</v>
      </c>
      <c r="U2" s="3">
        <v>30</v>
      </c>
      <c r="V2" s="3">
        <v>37</v>
      </c>
      <c r="W2" s="3">
        <v>43</v>
      </c>
      <c r="X2" s="4">
        <v>13</v>
      </c>
      <c r="Y2" s="5">
        <v>1156</v>
      </c>
    </row>
    <row r="3" spans="1:25" x14ac:dyDescent="0.25">
      <c r="A3" s="4">
        <v>2015</v>
      </c>
      <c r="B3" s="7">
        <v>42013</v>
      </c>
      <c r="C3" s="2">
        <v>3</v>
      </c>
      <c r="D3" s="3">
        <v>18</v>
      </c>
      <c r="E3" s="3">
        <v>7</v>
      </c>
      <c r="F3" s="3">
        <v>24</v>
      </c>
      <c r="G3" s="3">
        <v>21</v>
      </c>
      <c r="H3" s="3">
        <v>23</v>
      </c>
      <c r="I3" s="3">
        <v>8</v>
      </c>
      <c r="J3" s="4">
        <v>11</v>
      </c>
      <c r="K3" s="5">
        <v>1157</v>
      </c>
      <c r="L3" t="str">
        <f t="shared" si="0"/>
        <v>20150109003</v>
      </c>
      <c r="M3" t="str">
        <f t="shared" si="1"/>
        <v>20150109</v>
      </c>
      <c r="O3" s="4">
        <v>2015</v>
      </c>
      <c r="P3" s="7">
        <v>42013</v>
      </c>
      <c r="Q3" s="2">
        <v>3</v>
      </c>
      <c r="R3" s="3">
        <v>7</v>
      </c>
      <c r="S3" s="3">
        <v>8</v>
      </c>
      <c r="T3" s="3">
        <v>18</v>
      </c>
      <c r="U3" s="3">
        <v>21</v>
      </c>
      <c r="V3" s="3">
        <v>23</v>
      </c>
      <c r="W3" s="3">
        <v>24</v>
      </c>
      <c r="X3" s="4">
        <v>11</v>
      </c>
      <c r="Y3" s="5">
        <v>1157</v>
      </c>
    </row>
    <row r="4" spans="1:25" x14ac:dyDescent="0.25">
      <c r="A4" s="4">
        <v>2015</v>
      </c>
      <c r="B4" s="7">
        <v>42017</v>
      </c>
      <c r="C4" s="2">
        <v>4</v>
      </c>
      <c r="D4" s="3">
        <v>46</v>
      </c>
      <c r="E4" s="3">
        <v>14</v>
      </c>
      <c r="F4" s="3">
        <v>22</v>
      </c>
      <c r="G4" s="3">
        <v>37</v>
      </c>
      <c r="H4" s="3">
        <v>2</v>
      </c>
      <c r="I4" s="3">
        <v>16</v>
      </c>
      <c r="J4" s="4">
        <v>49</v>
      </c>
      <c r="K4" s="5">
        <v>1158</v>
      </c>
      <c r="L4" t="str">
        <f t="shared" si="0"/>
        <v>20150113004</v>
      </c>
      <c r="M4" t="str">
        <f t="shared" si="1"/>
        <v>20150113</v>
      </c>
      <c r="O4" s="4">
        <v>2015</v>
      </c>
      <c r="P4" s="7">
        <v>42017</v>
      </c>
      <c r="Q4" s="2">
        <v>4</v>
      </c>
      <c r="R4" s="3">
        <v>2</v>
      </c>
      <c r="S4" s="3">
        <v>14</v>
      </c>
      <c r="T4" s="3">
        <v>16</v>
      </c>
      <c r="U4" s="3">
        <v>22</v>
      </c>
      <c r="V4" s="3">
        <v>37</v>
      </c>
      <c r="W4" s="3">
        <v>46</v>
      </c>
      <c r="X4" s="4">
        <v>49</v>
      </c>
      <c r="Y4" s="5">
        <v>1158</v>
      </c>
    </row>
    <row r="5" spans="1:25" x14ac:dyDescent="0.25">
      <c r="A5" s="4">
        <v>2015</v>
      </c>
      <c r="B5" s="7">
        <v>42020</v>
      </c>
      <c r="C5" s="2">
        <v>5</v>
      </c>
      <c r="D5" s="3">
        <v>2</v>
      </c>
      <c r="E5" s="3">
        <v>46</v>
      </c>
      <c r="F5" s="3">
        <v>17</v>
      </c>
      <c r="G5" s="3">
        <v>32</v>
      </c>
      <c r="H5" s="3">
        <v>38</v>
      </c>
      <c r="I5" s="3">
        <v>28</v>
      </c>
      <c r="J5" s="4">
        <v>49</v>
      </c>
      <c r="K5" s="5">
        <v>1159</v>
      </c>
      <c r="L5" t="str">
        <f t="shared" si="0"/>
        <v>20150116005</v>
      </c>
      <c r="M5" t="str">
        <f t="shared" si="1"/>
        <v>20150116</v>
      </c>
      <c r="O5" s="4">
        <v>2015</v>
      </c>
      <c r="P5" s="7">
        <v>42020</v>
      </c>
      <c r="Q5" s="2">
        <v>5</v>
      </c>
      <c r="R5" s="3">
        <v>2</v>
      </c>
      <c r="S5" s="3">
        <v>17</v>
      </c>
      <c r="T5" s="3">
        <v>28</v>
      </c>
      <c r="U5" s="3">
        <v>32</v>
      </c>
      <c r="V5" s="3">
        <v>38</v>
      </c>
      <c r="W5" s="3">
        <v>46</v>
      </c>
      <c r="X5" s="4">
        <v>49</v>
      </c>
      <c r="Y5" s="5">
        <v>1159</v>
      </c>
    </row>
    <row r="6" spans="1:25" x14ac:dyDescent="0.25">
      <c r="A6" s="4">
        <v>2015</v>
      </c>
      <c r="B6" s="7">
        <v>42024</v>
      </c>
      <c r="C6" s="2">
        <v>6</v>
      </c>
      <c r="D6" s="3">
        <v>47</v>
      </c>
      <c r="E6" s="3">
        <v>35</v>
      </c>
      <c r="F6" s="3">
        <v>28</v>
      </c>
      <c r="G6" s="3">
        <v>45</v>
      </c>
      <c r="H6" s="3">
        <v>9</v>
      </c>
      <c r="I6" s="3">
        <v>24</v>
      </c>
      <c r="J6" s="4">
        <v>48</v>
      </c>
      <c r="K6" s="5">
        <v>1160</v>
      </c>
      <c r="L6" t="str">
        <f t="shared" ref="L6:L7" si="2">CONCATENATE(TEXT(A6,"0000"),TEXT(B6,"mmdd"),TEXT(C6,"000"))</f>
        <v>20150120006</v>
      </c>
      <c r="M6" t="str">
        <f t="shared" ref="M6:M7" si="3">CONCATENATE(TEXT(A6,"0000"),TEXT(B6,"mmdd"))</f>
        <v>20150120</v>
      </c>
      <c r="O6" s="4">
        <v>2015</v>
      </c>
      <c r="P6" s="7">
        <v>42024</v>
      </c>
      <c r="Q6" s="2">
        <v>6</v>
      </c>
      <c r="R6" s="3">
        <v>9</v>
      </c>
      <c r="S6" s="3">
        <v>24</v>
      </c>
      <c r="T6" s="3">
        <v>28</v>
      </c>
      <c r="U6" s="3">
        <v>35</v>
      </c>
      <c r="V6" s="3">
        <v>45</v>
      </c>
      <c r="W6" s="3">
        <v>47</v>
      </c>
      <c r="X6" s="4">
        <v>48</v>
      </c>
      <c r="Y6" s="5">
        <v>1160</v>
      </c>
    </row>
    <row r="7" spans="1:25" x14ac:dyDescent="0.25">
      <c r="A7" s="4">
        <v>2015</v>
      </c>
      <c r="B7" s="7">
        <v>42027</v>
      </c>
      <c r="C7" s="2">
        <v>7</v>
      </c>
      <c r="D7" s="3">
        <v>20</v>
      </c>
      <c r="E7" s="3">
        <v>16</v>
      </c>
      <c r="F7" s="3">
        <v>39</v>
      </c>
      <c r="G7" s="3">
        <v>42</v>
      </c>
      <c r="H7" s="3">
        <v>38</v>
      </c>
      <c r="I7" s="3">
        <v>8</v>
      </c>
      <c r="J7" s="4">
        <v>29</v>
      </c>
      <c r="K7" s="5">
        <v>1161</v>
      </c>
      <c r="L7" t="str">
        <f t="shared" si="2"/>
        <v>20150123007</v>
      </c>
      <c r="M7" t="str">
        <f t="shared" si="3"/>
        <v>20150123</v>
      </c>
      <c r="O7" s="4">
        <v>2015</v>
      </c>
      <c r="P7" s="7">
        <v>42027</v>
      </c>
      <c r="Q7" s="2">
        <v>7</v>
      </c>
      <c r="R7" s="3">
        <v>8</v>
      </c>
      <c r="S7" s="3">
        <v>16</v>
      </c>
      <c r="T7" s="3">
        <v>20</v>
      </c>
      <c r="U7" s="3">
        <v>38</v>
      </c>
      <c r="V7" s="3">
        <v>39</v>
      </c>
      <c r="W7" s="3">
        <v>42</v>
      </c>
      <c r="X7" s="4">
        <v>29</v>
      </c>
      <c r="Y7" s="5">
        <v>1161</v>
      </c>
    </row>
    <row r="8" spans="1:25" x14ac:dyDescent="0.25">
      <c r="A8" s="4">
        <v>2015</v>
      </c>
      <c r="B8" s="7">
        <v>42031</v>
      </c>
      <c r="C8" s="2">
        <v>8</v>
      </c>
      <c r="D8" s="3">
        <v>45</v>
      </c>
      <c r="E8" s="3">
        <v>4</v>
      </c>
      <c r="F8" s="3">
        <v>27</v>
      </c>
      <c r="G8" s="3">
        <v>15</v>
      </c>
      <c r="H8" s="3">
        <v>9</v>
      </c>
      <c r="I8" s="3">
        <v>21</v>
      </c>
      <c r="J8" s="4">
        <v>6</v>
      </c>
      <c r="K8" s="5">
        <v>1162</v>
      </c>
      <c r="L8" t="str">
        <f>CONCATENATE(TEXT(A8,"0000"),TEXT(B8,"mmdd"),TEXT(C8,"000"))</f>
        <v>20150127008</v>
      </c>
      <c r="M8" t="str">
        <f t="shared" ref="M8:M9" si="4">CONCATENATE(TEXT(A8,"0000"),TEXT(B8,"mmdd"))</f>
        <v>20150127</v>
      </c>
      <c r="O8" s="4">
        <v>2015</v>
      </c>
      <c r="P8" s="7">
        <v>42031</v>
      </c>
      <c r="Q8" s="2">
        <v>8</v>
      </c>
      <c r="R8" s="3">
        <v>4</v>
      </c>
      <c r="S8" s="3">
        <v>9</v>
      </c>
      <c r="T8" s="3">
        <v>15</v>
      </c>
      <c r="U8" s="3">
        <v>21</v>
      </c>
      <c r="V8" s="3">
        <v>27</v>
      </c>
      <c r="W8" s="3">
        <v>45</v>
      </c>
      <c r="X8" s="4">
        <v>6</v>
      </c>
      <c r="Y8" s="5">
        <v>1162</v>
      </c>
    </row>
    <row r="9" spans="1:25" x14ac:dyDescent="0.25">
      <c r="A9" s="4">
        <v>2015</v>
      </c>
      <c r="B9" s="7">
        <v>42034</v>
      </c>
      <c r="C9" s="2">
        <v>9</v>
      </c>
      <c r="D9" s="3">
        <v>35</v>
      </c>
      <c r="E9" s="3">
        <v>14</v>
      </c>
      <c r="F9" s="3">
        <v>24</v>
      </c>
      <c r="G9" s="3">
        <v>39</v>
      </c>
      <c r="H9" s="3">
        <v>3</v>
      </c>
      <c r="I9" s="3">
        <v>44</v>
      </c>
      <c r="J9" s="4">
        <v>28</v>
      </c>
      <c r="K9" s="5">
        <v>1163</v>
      </c>
      <c r="L9" t="str">
        <f t="shared" ref="L9" si="5">CONCATENATE(TEXT(A9,"0000"),TEXT(B9,"mmdd"),TEXT(C9,"000"))</f>
        <v>20150130009</v>
      </c>
      <c r="M9" t="str">
        <f t="shared" si="4"/>
        <v>20150130</v>
      </c>
      <c r="O9" s="4">
        <v>2015</v>
      </c>
      <c r="P9" s="7">
        <v>42034</v>
      </c>
      <c r="Q9" s="2">
        <v>9</v>
      </c>
      <c r="R9" s="3">
        <v>3</v>
      </c>
      <c r="S9" s="3">
        <v>14</v>
      </c>
      <c r="T9" s="3">
        <v>24</v>
      </c>
      <c r="U9" s="3">
        <v>35</v>
      </c>
      <c r="V9" s="3">
        <v>39</v>
      </c>
      <c r="W9" s="3">
        <v>44</v>
      </c>
      <c r="X9" s="4">
        <v>28</v>
      </c>
      <c r="Y9" s="5">
        <v>1163</v>
      </c>
    </row>
    <row r="10" spans="1:25" x14ac:dyDescent="0.25">
      <c r="A10" s="4">
        <v>2015</v>
      </c>
      <c r="B10" s="7">
        <v>42038</v>
      </c>
      <c r="C10" s="2">
        <v>10</v>
      </c>
      <c r="D10" s="3">
        <v>30</v>
      </c>
      <c r="E10" s="3">
        <v>13</v>
      </c>
      <c r="F10" s="3">
        <v>16</v>
      </c>
      <c r="G10" s="3">
        <v>18</v>
      </c>
      <c r="H10" s="3">
        <v>5</v>
      </c>
      <c r="I10" s="3">
        <v>15</v>
      </c>
      <c r="J10" s="4">
        <v>8</v>
      </c>
      <c r="K10" s="5">
        <v>1164</v>
      </c>
      <c r="L10" t="str">
        <f t="shared" ref="L10:L13" si="6">CONCATENATE(TEXT(A10,"0000"),TEXT(B10,"mmdd"),TEXT(C10,"000"))</f>
        <v>20150203010</v>
      </c>
      <c r="M10" t="str">
        <f t="shared" ref="M10:M13" si="7">CONCATENATE(TEXT(A10,"0000"),TEXT(B10,"mmdd"))</f>
        <v>20150203</v>
      </c>
      <c r="O10" s="4">
        <v>2015</v>
      </c>
      <c r="P10" s="7">
        <v>42038</v>
      </c>
      <c r="Q10" s="2">
        <v>10</v>
      </c>
      <c r="R10" s="3">
        <v>5</v>
      </c>
      <c r="S10" s="3">
        <v>13</v>
      </c>
      <c r="T10" s="3">
        <v>15</v>
      </c>
      <c r="U10" s="3">
        <v>16</v>
      </c>
      <c r="V10" s="3">
        <v>18</v>
      </c>
      <c r="W10" s="3">
        <v>30</v>
      </c>
      <c r="X10" s="4">
        <v>8</v>
      </c>
      <c r="Y10" s="5">
        <v>1164</v>
      </c>
    </row>
    <row r="11" spans="1:25" x14ac:dyDescent="0.25">
      <c r="A11" s="4">
        <v>2015</v>
      </c>
      <c r="B11" s="7">
        <v>42041</v>
      </c>
      <c r="C11" s="2">
        <v>11</v>
      </c>
      <c r="D11" s="3">
        <v>11</v>
      </c>
      <c r="E11" s="3">
        <v>42</v>
      </c>
      <c r="F11" s="3">
        <v>5</v>
      </c>
      <c r="G11" s="3">
        <v>29</v>
      </c>
      <c r="H11" s="3">
        <v>46</v>
      </c>
      <c r="I11" s="3">
        <v>36</v>
      </c>
      <c r="J11" s="4">
        <v>48</v>
      </c>
      <c r="K11" s="5">
        <v>1165</v>
      </c>
      <c r="L11" t="str">
        <f t="shared" si="6"/>
        <v>20150206011</v>
      </c>
      <c r="M11" t="str">
        <f t="shared" si="7"/>
        <v>20150206</v>
      </c>
      <c r="O11" s="4">
        <v>2015</v>
      </c>
      <c r="P11" s="7">
        <v>42041</v>
      </c>
      <c r="Q11" s="2">
        <v>11</v>
      </c>
      <c r="R11" s="3">
        <v>5</v>
      </c>
      <c r="S11" s="3">
        <v>11</v>
      </c>
      <c r="T11" s="3">
        <v>29</v>
      </c>
      <c r="U11" s="3">
        <v>36</v>
      </c>
      <c r="V11" s="3">
        <v>42</v>
      </c>
      <c r="W11" s="3">
        <v>46</v>
      </c>
      <c r="X11" s="4">
        <v>48</v>
      </c>
      <c r="Y11" s="5">
        <v>1165</v>
      </c>
    </row>
    <row r="12" spans="1:25" x14ac:dyDescent="0.25">
      <c r="A12" s="4">
        <v>2015</v>
      </c>
      <c r="B12" s="7">
        <v>42045</v>
      </c>
      <c r="C12" s="2">
        <v>12</v>
      </c>
      <c r="D12" s="3">
        <v>29</v>
      </c>
      <c r="E12" s="3">
        <v>14</v>
      </c>
      <c r="F12" s="3">
        <v>44</v>
      </c>
      <c r="G12" s="3">
        <v>26</v>
      </c>
      <c r="H12" s="3">
        <v>15</v>
      </c>
      <c r="I12" s="3">
        <v>35</v>
      </c>
      <c r="J12" s="4">
        <v>9</v>
      </c>
      <c r="K12" s="5">
        <v>1166</v>
      </c>
      <c r="L12" t="str">
        <f t="shared" si="6"/>
        <v>20150210012</v>
      </c>
      <c r="M12" t="str">
        <f t="shared" si="7"/>
        <v>20150210</v>
      </c>
      <c r="O12" s="4">
        <v>2015</v>
      </c>
      <c r="P12" s="7">
        <v>42045</v>
      </c>
      <c r="Q12" s="2">
        <v>12</v>
      </c>
      <c r="R12" s="3">
        <v>14</v>
      </c>
      <c r="S12" s="3">
        <v>15</v>
      </c>
      <c r="T12" s="3">
        <v>26</v>
      </c>
      <c r="U12" s="3">
        <v>29</v>
      </c>
      <c r="V12" s="3">
        <v>35</v>
      </c>
      <c r="W12" s="3">
        <v>44</v>
      </c>
      <c r="X12" s="4">
        <v>9</v>
      </c>
      <c r="Y12" s="5">
        <v>1166</v>
      </c>
    </row>
    <row r="13" spans="1:25" x14ac:dyDescent="0.25">
      <c r="A13" s="4">
        <v>2015</v>
      </c>
      <c r="B13" s="7">
        <v>42048</v>
      </c>
      <c r="C13" s="2">
        <v>13</v>
      </c>
      <c r="D13" s="3">
        <v>25</v>
      </c>
      <c r="E13" s="3">
        <v>1</v>
      </c>
      <c r="F13" s="3">
        <v>29</v>
      </c>
      <c r="G13" s="3">
        <v>9</v>
      </c>
      <c r="H13" s="3">
        <v>15</v>
      </c>
      <c r="I13" s="3">
        <v>35</v>
      </c>
      <c r="J13" s="4">
        <v>38</v>
      </c>
      <c r="K13" s="5">
        <v>1167</v>
      </c>
      <c r="L13" t="str">
        <f t="shared" si="6"/>
        <v>20150213013</v>
      </c>
      <c r="M13" t="str">
        <f t="shared" si="7"/>
        <v>20150213</v>
      </c>
      <c r="O13" s="4">
        <v>2015</v>
      </c>
      <c r="P13" s="7">
        <v>42048</v>
      </c>
      <c r="Q13" s="2">
        <v>13</v>
      </c>
      <c r="R13" s="3">
        <v>1</v>
      </c>
      <c r="S13" s="3">
        <v>9</v>
      </c>
      <c r="T13" s="3">
        <v>15</v>
      </c>
      <c r="U13" s="3">
        <v>25</v>
      </c>
      <c r="V13" s="3">
        <v>29</v>
      </c>
      <c r="W13" s="3">
        <v>35</v>
      </c>
      <c r="X13" s="4">
        <v>38</v>
      </c>
      <c r="Y13" s="5">
        <v>1167</v>
      </c>
    </row>
    <row r="14" spans="1:25" x14ac:dyDescent="0.25">
      <c r="A14" s="4">
        <v>2015</v>
      </c>
      <c r="B14" s="7">
        <v>42052</v>
      </c>
      <c r="C14" s="2">
        <v>14</v>
      </c>
      <c r="D14" s="3">
        <v>11</v>
      </c>
      <c r="E14" s="3">
        <v>15</v>
      </c>
      <c r="F14" s="3">
        <v>23</v>
      </c>
      <c r="G14" s="3">
        <v>46</v>
      </c>
      <c r="H14" s="3">
        <v>40</v>
      </c>
      <c r="I14" s="3">
        <v>3</v>
      </c>
      <c r="J14" s="4">
        <v>13</v>
      </c>
      <c r="K14" s="5">
        <v>1168</v>
      </c>
      <c r="L14" t="str">
        <f t="shared" ref="L14:L21" si="8">CONCATENATE(TEXT(A14,"0000"),TEXT(B14,"mmdd"),TEXT(C14,"000"))</f>
        <v>20150217014</v>
      </c>
      <c r="M14" t="str">
        <f t="shared" ref="M14:M21" si="9">CONCATENATE(TEXT(A14,"0000"),TEXT(B14,"mmdd"))</f>
        <v>20150217</v>
      </c>
      <c r="O14" s="4">
        <v>2015</v>
      </c>
      <c r="P14" s="7">
        <v>42052</v>
      </c>
      <c r="Q14" s="2">
        <v>14</v>
      </c>
      <c r="R14" s="3">
        <v>3</v>
      </c>
      <c r="S14" s="3">
        <v>11</v>
      </c>
      <c r="T14" s="3">
        <v>15</v>
      </c>
      <c r="U14" s="3">
        <v>23</v>
      </c>
      <c r="V14" s="3">
        <v>40</v>
      </c>
      <c r="W14" s="3">
        <v>46</v>
      </c>
      <c r="X14" s="4">
        <v>13</v>
      </c>
      <c r="Y14" s="5">
        <v>1168</v>
      </c>
    </row>
    <row r="15" spans="1:25" x14ac:dyDescent="0.25">
      <c r="A15" s="4">
        <v>2015</v>
      </c>
      <c r="B15" s="7">
        <v>42053</v>
      </c>
      <c r="C15" s="2">
        <v>15</v>
      </c>
      <c r="D15" s="8">
        <v>15</v>
      </c>
      <c r="E15" s="8">
        <v>27</v>
      </c>
      <c r="F15" s="8">
        <v>6</v>
      </c>
      <c r="G15" s="8">
        <v>16</v>
      </c>
      <c r="H15" s="8">
        <v>3</v>
      </c>
      <c r="I15" s="8">
        <v>31</v>
      </c>
      <c r="J15" s="9">
        <v>14</v>
      </c>
      <c r="K15" s="5">
        <v>1169</v>
      </c>
      <c r="L15" t="str">
        <f t="shared" si="8"/>
        <v>20150218015</v>
      </c>
      <c r="M15" t="str">
        <f t="shared" si="9"/>
        <v>20150218</v>
      </c>
      <c r="O15" s="4">
        <v>2015</v>
      </c>
      <c r="P15" s="7">
        <v>42053</v>
      </c>
      <c r="Q15" s="2">
        <v>15</v>
      </c>
      <c r="R15" s="8">
        <v>3</v>
      </c>
      <c r="S15" s="8">
        <v>6</v>
      </c>
      <c r="T15" s="8">
        <v>15</v>
      </c>
      <c r="U15" s="8">
        <v>16</v>
      </c>
      <c r="V15" s="8">
        <v>27</v>
      </c>
      <c r="W15" s="8">
        <v>31</v>
      </c>
      <c r="X15" s="9">
        <v>14</v>
      </c>
      <c r="Y15" s="5">
        <v>1169</v>
      </c>
    </row>
    <row r="16" spans="1:25" x14ac:dyDescent="0.25">
      <c r="A16" s="4">
        <v>2015</v>
      </c>
      <c r="B16" s="7">
        <v>42054</v>
      </c>
      <c r="C16" s="2">
        <v>16</v>
      </c>
      <c r="D16" s="8">
        <v>25</v>
      </c>
      <c r="E16" s="8">
        <v>40</v>
      </c>
      <c r="F16" s="8">
        <v>7</v>
      </c>
      <c r="G16" s="8">
        <v>49</v>
      </c>
      <c r="H16" s="8">
        <v>31</v>
      </c>
      <c r="I16" s="8">
        <v>27</v>
      </c>
      <c r="J16" s="9">
        <v>11</v>
      </c>
      <c r="K16" s="5">
        <v>1170</v>
      </c>
      <c r="L16" t="str">
        <f t="shared" si="8"/>
        <v>20150219016</v>
      </c>
      <c r="M16" t="str">
        <f t="shared" si="9"/>
        <v>20150219</v>
      </c>
      <c r="O16" s="4">
        <v>2015</v>
      </c>
      <c r="P16" s="7">
        <v>42054</v>
      </c>
      <c r="Q16" s="2">
        <v>16</v>
      </c>
      <c r="R16" s="8">
        <v>7</v>
      </c>
      <c r="S16" s="8">
        <v>25</v>
      </c>
      <c r="T16" s="8">
        <v>27</v>
      </c>
      <c r="U16" s="8">
        <v>31</v>
      </c>
      <c r="V16" s="8">
        <v>40</v>
      </c>
      <c r="W16" s="8">
        <v>49</v>
      </c>
      <c r="X16" s="9">
        <v>11</v>
      </c>
      <c r="Y16" s="5">
        <v>1170</v>
      </c>
    </row>
    <row r="17" spans="1:25" x14ac:dyDescent="0.25">
      <c r="A17" s="4">
        <v>2015</v>
      </c>
      <c r="B17" s="7">
        <v>42055</v>
      </c>
      <c r="C17" s="2">
        <v>17</v>
      </c>
      <c r="D17" s="3">
        <v>10</v>
      </c>
      <c r="E17" s="3">
        <v>45</v>
      </c>
      <c r="F17" s="3">
        <v>29</v>
      </c>
      <c r="G17" s="3">
        <v>5</v>
      </c>
      <c r="H17" s="3">
        <v>9</v>
      </c>
      <c r="I17" s="3">
        <v>28</v>
      </c>
      <c r="J17" s="4">
        <v>41</v>
      </c>
      <c r="K17" s="5">
        <v>1171</v>
      </c>
      <c r="L17" t="str">
        <f t="shared" si="8"/>
        <v>20150220017</v>
      </c>
      <c r="M17" t="str">
        <f t="shared" si="9"/>
        <v>20150220</v>
      </c>
      <c r="O17" s="4">
        <v>2015</v>
      </c>
      <c r="P17" s="7">
        <v>42055</v>
      </c>
      <c r="Q17" s="2">
        <v>17</v>
      </c>
      <c r="R17" s="3">
        <v>5</v>
      </c>
      <c r="S17" s="3">
        <v>9</v>
      </c>
      <c r="T17" s="3">
        <v>10</v>
      </c>
      <c r="U17" s="3">
        <v>28</v>
      </c>
      <c r="V17" s="3">
        <v>29</v>
      </c>
      <c r="W17" s="3">
        <v>45</v>
      </c>
      <c r="X17" s="4">
        <v>41</v>
      </c>
      <c r="Y17" s="5">
        <v>1171</v>
      </c>
    </row>
    <row r="18" spans="1:25" x14ac:dyDescent="0.25">
      <c r="A18" s="4">
        <v>2015</v>
      </c>
      <c r="B18" s="7">
        <v>42056</v>
      </c>
      <c r="C18" s="2">
        <v>18</v>
      </c>
      <c r="D18" s="8">
        <v>27</v>
      </c>
      <c r="E18" s="8">
        <v>17</v>
      </c>
      <c r="F18" s="8">
        <v>40</v>
      </c>
      <c r="G18" s="8">
        <v>2</v>
      </c>
      <c r="H18" s="8">
        <v>11</v>
      </c>
      <c r="I18" s="8">
        <v>5</v>
      </c>
      <c r="J18" s="9">
        <v>20</v>
      </c>
      <c r="K18" s="5">
        <v>1172</v>
      </c>
      <c r="L18" t="str">
        <f t="shared" si="8"/>
        <v>20150221018</v>
      </c>
      <c r="M18" t="str">
        <f t="shared" si="9"/>
        <v>20150221</v>
      </c>
      <c r="O18" s="4">
        <v>2015</v>
      </c>
      <c r="P18" s="7">
        <v>42056</v>
      </c>
      <c r="Q18" s="2">
        <v>18</v>
      </c>
      <c r="R18" s="8">
        <v>2</v>
      </c>
      <c r="S18" s="8">
        <v>5</v>
      </c>
      <c r="T18" s="8">
        <v>11</v>
      </c>
      <c r="U18" s="8">
        <v>17</v>
      </c>
      <c r="V18" s="8">
        <v>27</v>
      </c>
      <c r="W18" s="8">
        <v>40</v>
      </c>
      <c r="X18" s="9">
        <v>20</v>
      </c>
      <c r="Y18" s="5">
        <v>1172</v>
      </c>
    </row>
    <row r="19" spans="1:25" x14ac:dyDescent="0.25">
      <c r="A19" s="4">
        <v>2015</v>
      </c>
      <c r="B19" s="7">
        <v>42057</v>
      </c>
      <c r="C19" s="2">
        <v>19</v>
      </c>
      <c r="D19" s="8">
        <v>6</v>
      </c>
      <c r="E19" s="8">
        <v>3</v>
      </c>
      <c r="F19" s="8">
        <v>12</v>
      </c>
      <c r="G19" s="8">
        <v>37</v>
      </c>
      <c r="H19" s="8">
        <v>34</v>
      </c>
      <c r="I19" s="8">
        <v>43</v>
      </c>
      <c r="J19" s="9">
        <v>28</v>
      </c>
      <c r="K19" s="5">
        <v>1173</v>
      </c>
      <c r="L19" t="str">
        <f t="shared" si="8"/>
        <v>20150222019</v>
      </c>
      <c r="M19" t="str">
        <f t="shared" si="9"/>
        <v>20150222</v>
      </c>
      <c r="O19" s="4">
        <v>2015</v>
      </c>
      <c r="P19" s="7">
        <v>42057</v>
      </c>
      <c r="Q19" s="2">
        <v>19</v>
      </c>
      <c r="R19" s="8">
        <v>3</v>
      </c>
      <c r="S19" s="8">
        <v>6</v>
      </c>
      <c r="T19" s="8">
        <v>12</v>
      </c>
      <c r="U19" s="8">
        <v>34</v>
      </c>
      <c r="V19" s="8">
        <v>37</v>
      </c>
      <c r="W19" s="8">
        <v>43</v>
      </c>
      <c r="X19" s="9">
        <v>28</v>
      </c>
      <c r="Y19" s="5">
        <v>1173</v>
      </c>
    </row>
    <row r="20" spans="1:25" x14ac:dyDescent="0.25">
      <c r="A20" s="4">
        <v>2015</v>
      </c>
      <c r="B20" s="7">
        <v>42058</v>
      </c>
      <c r="C20" s="2">
        <v>20</v>
      </c>
      <c r="D20" s="8">
        <v>21</v>
      </c>
      <c r="E20" s="8">
        <v>20</v>
      </c>
      <c r="F20" s="8">
        <v>43</v>
      </c>
      <c r="G20" s="8">
        <v>38</v>
      </c>
      <c r="H20" s="8">
        <v>32</v>
      </c>
      <c r="I20" s="8">
        <v>14</v>
      </c>
      <c r="J20" s="9">
        <v>23</v>
      </c>
      <c r="K20" s="5">
        <v>1174</v>
      </c>
      <c r="L20" t="str">
        <f t="shared" si="8"/>
        <v>20150223020</v>
      </c>
      <c r="M20" t="str">
        <f t="shared" si="9"/>
        <v>20150223</v>
      </c>
      <c r="O20" s="4">
        <v>2015</v>
      </c>
      <c r="P20" s="7">
        <v>42058</v>
      </c>
      <c r="Q20" s="2">
        <v>20</v>
      </c>
      <c r="R20" s="8">
        <v>14</v>
      </c>
      <c r="S20" s="8">
        <v>20</v>
      </c>
      <c r="T20" s="8">
        <v>21</v>
      </c>
      <c r="U20" s="8">
        <v>32</v>
      </c>
      <c r="V20" s="8">
        <v>38</v>
      </c>
      <c r="W20" s="8">
        <v>43</v>
      </c>
      <c r="X20" s="9">
        <v>23</v>
      </c>
      <c r="Y20" s="5">
        <v>1174</v>
      </c>
    </row>
    <row r="21" spans="1:25" x14ac:dyDescent="0.25">
      <c r="A21" s="4">
        <v>2015</v>
      </c>
      <c r="B21" s="7">
        <v>42059</v>
      </c>
      <c r="C21" s="2">
        <v>21</v>
      </c>
      <c r="D21" s="3">
        <v>46</v>
      </c>
      <c r="E21" s="3">
        <v>39</v>
      </c>
      <c r="F21" s="3">
        <v>28</v>
      </c>
      <c r="G21" s="3">
        <v>3</v>
      </c>
      <c r="H21" s="3">
        <v>48</v>
      </c>
      <c r="I21" s="3">
        <v>41</v>
      </c>
      <c r="J21" s="4">
        <v>9</v>
      </c>
      <c r="K21" s="5">
        <v>1175</v>
      </c>
      <c r="L21" t="str">
        <f t="shared" si="8"/>
        <v>20150224021</v>
      </c>
      <c r="M21" t="str">
        <f t="shared" si="9"/>
        <v>20150224</v>
      </c>
      <c r="O21" s="4">
        <v>2015</v>
      </c>
      <c r="P21" s="7">
        <v>42059</v>
      </c>
      <c r="Q21" s="2">
        <v>21</v>
      </c>
      <c r="R21" s="3">
        <v>3</v>
      </c>
      <c r="S21" s="3">
        <v>28</v>
      </c>
      <c r="T21" s="3">
        <v>39</v>
      </c>
      <c r="U21" s="3">
        <v>41</v>
      </c>
      <c r="V21" s="3">
        <v>46</v>
      </c>
      <c r="W21" s="3">
        <v>48</v>
      </c>
      <c r="X21" s="4">
        <v>9</v>
      </c>
      <c r="Y21" s="5">
        <v>1175</v>
      </c>
    </row>
    <row r="22" spans="1:25" x14ac:dyDescent="0.25">
      <c r="A22" s="4">
        <v>2015</v>
      </c>
      <c r="B22" s="7">
        <v>42062</v>
      </c>
      <c r="C22" s="2">
        <v>22</v>
      </c>
      <c r="D22" s="3">
        <v>2</v>
      </c>
      <c r="E22" s="3">
        <v>6</v>
      </c>
      <c r="F22" s="3">
        <v>43</v>
      </c>
      <c r="G22" s="3">
        <v>38</v>
      </c>
      <c r="H22" s="3">
        <v>27</v>
      </c>
      <c r="I22" s="3">
        <v>34</v>
      </c>
      <c r="J22" s="4">
        <v>45</v>
      </c>
      <c r="K22" s="5">
        <v>1176</v>
      </c>
      <c r="L22" t="str">
        <f t="shared" ref="L22:L31" si="10">CONCATENATE(TEXT(A22,"0000"),TEXT(B22,"mmdd"),TEXT(C22,"000"))</f>
        <v>20150227022</v>
      </c>
      <c r="M22" t="str">
        <f t="shared" ref="M22:M31" si="11">CONCATENATE(TEXT(A22,"0000"),TEXT(B22,"mmdd"))</f>
        <v>20150227</v>
      </c>
      <c r="O22" s="4">
        <v>2015</v>
      </c>
      <c r="P22" s="7">
        <v>42062</v>
      </c>
      <c r="Q22" s="2">
        <v>22</v>
      </c>
      <c r="R22" s="3">
        <v>2</v>
      </c>
      <c r="S22" s="3">
        <v>6</v>
      </c>
      <c r="T22" s="3">
        <v>27</v>
      </c>
      <c r="U22" s="3">
        <v>34</v>
      </c>
      <c r="V22" s="3">
        <v>38</v>
      </c>
      <c r="W22" s="3">
        <v>43</v>
      </c>
      <c r="X22" s="4">
        <v>45</v>
      </c>
      <c r="Y22" s="5">
        <v>1176</v>
      </c>
    </row>
    <row r="23" spans="1:25" x14ac:dyDescent="0.25">
      <c r="A23" s="4">
        <v>2015</v>
      </c>
      <c r="B23" s="7">
        <v>42066</v>
      </c>
      <c r="C23" s="2">
        <v>23</v>
      </c>
      <c r="D23" s="3">
        <v>43</v>
      </c>
      <c r="E23" s="3">
        <v>46</v>
      </c>
      <c r="F23" s="3">
        <v>41</v>
      </c>
      <c r="G23" s="3">
        <v>6</v>
      </c>
      <c r="H23" s="3">
        <v>11</v>
      </c>
      <c r="I23" s="3">
        <v>4</v>
      </c>
      <c r="J23" s="4">
        <v>21</v>
      </c>
      <c r="K23" s="5">
        <v>1177</v>
      </c>
      <c r="L23" t="str">
        <f t="shared" si="10"/>
        <v>20150303023</v>
      </c>
      <c r="M23" t="str">
        <f t="shared" si="11"/>
        <v>20150303</v>
      </c>
      <c r="O23" s="4">
        <v>2015</v>
      </c>
      <c r="P23" s="7">
        <v>42066</v>
      </c>
      <c r="Q23" s="2">
        <v>23</v>
      </c>
      <c r="R23" s="3">
        <v>4</v>
      </c>
      <c r="S23" s="3">
        <v>6</v>
      </c>
      <c r="T23" s="3">
        <v>11</v>
      </c>
      <c r="U23" s="3">
        <v>41</v>
      </c>
      <c r="V23" s="3">
        <v>43</v>
      </c>
      <c r="W23" s="3">
        <v>46</v>
      </c>
      <c r="X23" s="4">
        <v>21</v>
      </c>
      <c r="Y23" s="5">
        <v>1177</v>
      </c>
    </row>
    <row r="24" spans="1:25" x14ac:dyDescent="0.25">
      <c r="A24" s="4">
        <v>2015</v>
      </c>
      <c r="B24" s="7">
        <v>42069</v>
      </c>
      <c r="C24" s="2">
        <v>24</v>
      </c>
      <c r="D24" s="3">
        <v>44</v>
      </c>
      <c r="E24" s="3">
        <v>22</v>
      </c>
      <c r="F24" s="3">
        <v>21</v>
      </c>
      <c r="G24" s="3">
        <v>6</v>
      </c>
      <c r="H24" s="3">
        <v>37</v>
      </c>
      <c r="I24" s="3">
        <v>35</v>
      </c>
      <c r="J24" s="4">
        <v>29</v>
      </c>
      <c r="K24" s="5">
        <v>1178</v>
      </c>
      <c r="L24" t="str">
        <f t="shared" si="10"/>
        <v>20150306024</v>
      </c>
      <c r="M24" t="str">
        <f t="shared" si="11"/>
        <v>20150306</v>
      </c>
      <c r="O24" s="4">
        <v>2015</v>
      </c>
      <c r="P24" s="7">
        <v>42069</v>
      </c>
      <c r="Q24" s="2">
        <v>24</v>
      </c>
      <c r="R24" s="3">
        <v>6</v>
      </c>
      <c r="S24" s="3">
        <v>21</v>
      </c>
      <c r="T24" s="3">
        <v>22</v>
      </c>
      <c r="U24" s="3">
        <v>35</v>
      </c>
      <c r="V24" s="3">
        <v>37</v>
      </c>
      <c r="W24" s="3">
        <v>44</v>
      </c>
      <c r="X24" s="4">
        <v>29</v>
      </c>
      <c r="Y24" s="5">
        <v>1178</v>
      </c>
    </row>
    <row r="25" spans="1:25" x14ac:dyDescent="0.25">
      <c r="A25" s="4">
        <v>2015</v>
      </c>
      <c r="B25" s="7">
        <v>42073</v>
      </c>
      <c r="C25" s="2">
        <v>25</v>
      </c>
      <c r="D25" s="3">
        <v>11</v>
      </c>
      <c r="E25" s="3">
        <v>25</v>
      </c>
      <c r="F25" s="3">
        <v>46</v>
      </c>
      <c r="G25" s="3">
        <v>47</v>
      </c>
      <c r="H25" s="3">
        <v>3</v>
      </c>
      <c r="I25" s="3">
        <v>34</v>
      </c>
      <c r="J25" s="4">
        <v>42</v>
      </c>
      <c r="K25" s="5">
        <v>1179</v>
      </c>
      <c r="L25" t="str">
        <f t="shared" si="10"/>
        <v>20150310025</v>
      </c>
      <c r="M25" t="str">
        <f t="shared" si="11"/>
        <v>20150310</v>
      </c>
      <c r="O25" s="4">
        <v>2015</v>
      </c>
      <c r="P25" s="7">
        <v>42073</v>
      </c>
      <c r="Q25" s="2">
        <v>25</v>
      </c>
      <c r="R25" s="3">
        <v>3</v>
      </c>
      <c r="S25" s="3">
        <v>11</v>
      </c>
      <c r="T25" s="3">
        <v>25</v>
      </c>
      <c r="U25" s="3">
        <v>34</v>
      </c>
      <c r="V25" s="3">
        <v>46</v>
      </c>
      <c r="W25" s="3">
        <v>47</v>
      </c>
      <c r="X25" s="4">
        <v>42</v>
      </c>
      <c r="Y25" s="5">
        <v>1179</v>
      </c>
    </row>
    <row r="26" spans="1:25" x14ac:dyDescent="0.25">
      <c r="A26" s="4">
        <v>2015</v>
      </c>
      <c r="B26" s="7">
        <v>42076</v>
      </c>
      <c r="C26" s="2">
        <v>26</v>
      </c>
      <c r="D26" s="3">
        <v>6</v>
      </c>
      <c r="E26" s="3">
        <v>22</v>
      </c>
      <c r="F26" s="3">
        <v>9</v>
      </c>
      <c r="G26" s="3">
        <v>14</v>
      </c>
      <c r="H26" s="3">
        <v>33</v>
      </c>
      <c r="I26" s="3">
        <v>16</v>
      </c>
      <c r="J26" s="4">
        <v>11</v>
      </c>
      <c r="K26" s="5">
        <v>1180</v>
      </c>
      <c r="L26" t="str">
        <f t="shared" si="10"/>
        <v>20150313026</v>
      </c>
      <c r="M26" t="str">
        <f t="shared" si="11"/>
        <v>20150313</v>
      </c>
      <c r="O26" s="4">
        <v>2015</v>
      </c>
      <c r="P26" s="7">
        <v>42076</v>
      </c>
      <c r="Q26" s="2">
        <v>26</v>
      </c>
      <c r="R26" s="3">
        <v>6</v>
      </c>
      <c r="S26" s="3">
        <v>9</v>
      </c>
      <c r="T26" s="3">
        <v>14</v>
      </c>
      <c r="U26" s="3">
        <v>16</v>
      </c>
      <c r="V26" s="3">
        <v>22</v>
      </c>
      <c r="W26" s="3">
        <v>33</v>
      </c>
      <c r="X26" s="4">
        <v>11</v>
      </c>
      <c r="Y26" s="5">
        <v>1180</v>
      </c>
    </row>
    <row r="27" spans="1:25" x14ac:dyDescent="0.25">
      <c r="A27" s="4">
        <v>2015</v>
      </c>
      <c r="B27" s="7">
        <v>42080</v>
      </c>
      <c r="C27" s="2">
        <v>27</v>
      </c>
      <c r="D27" s="3">
        <v>36</v>
      </c>
      <c r="E27" s="3">
        <v>42</v>
      </c>
      <c r="F27" s="3">
        <v>49</v>
      </c>
      <c r="G27" s="3">
        <v>5</v>
      </c>
      <c r="H27" s="3">
        <v>32</v>
      </c>
      <c r="I27" s="3">
        <v>40</v>
      </c>
      <c r="J27" s="4">
        <v>1</v>
      </c>
      <c r="K27" s="5">
        <v>1181</v>
      </c>
      <c r="L27" t="str">
        <f t="shared" si="10"/>
        <v>20150317027</v>
      </c>
      <c r="M27" t="str">
        <f t="shared" si="11"/>
        <v>20150317</v>
      </c>
      <c r="O27" s="4">
        <v>2015</v>
      </c>
      <c r="P27" s="7">
        <v>42080</v>
      </c>
      <c r="Q27" s="2">
        <v>27</v>
      </c>
      <c r="R27" s="3">
        <v>5</v>
      </c>
      <c r="S27" s="3">
        <v>32</v>
      </c>
      <c r="T27" s="3">
        <v>36</v>
      </c>
      <c r="U27" s="3">
        <v>40</v>
      </c>
      <c r="V27" s="3">
        <v>42</v>
      </c>
      <c r="W27" s="3">
        <v>49</v>
      </c>
      <c r="X27" s="4">
        <v>1</v>
      </c>
      <c r="Y27" s="5">
        <v>1181</v>
      </c>
    </row>
    <row r="28" spans="1:25" x14ac:dyDescent="0.25">
      <c r="A28" s="4">
        <v>2015</v>
      </c>
      <c r="B28" s="7">
        <v>42083</v>
      </c>
      <c r="C28" s="2">
        <v>28</v>
      </c>
      <c r="D28" s="3">
        <v>4</v>
      </c>
      <c r="E28" s="3">
        <v>13</v>
      </c>
      <c r="F28" s="3">
        <v>7</v>
      </c>
      <c r="G28" s="3">
        <v>29</v>
      </c>
      <c r="H28" s="3">
        <v>9</v>
      </c>
      <c r="I28" s="3">
        <v>46</v>
      </c>
      <c r="J28" s="4">
        <v>8</v>
      </c>
      <c r="K28" s="5">
        <v>1182</v>
      </c>
      <c r="L28" t="str">
        <f t="shared" si="10"/>
        <v>20150320028</v>
      </c>
      <c r="M28" t="str">
        <f t="shared" si="11"/>
        <v>20150320</v>
      </c>
      <c r="O28" s="4">
        <v>2015</v>
      </c>
      <c r="P28" s="7">
        <v>42083</v>
      </c>
      <c r="Q28" s="2">
        <v>28</v>
      </c>
      <c r="R28" s="3">
        <v>4</v>
      </c>
      <c r="S28" s="3">
        <v>7</v>
      </c>
      <c r="T28" s="3">
        <v>9</v>
      </c>
      <c r="U28" s="3">
        <v>13</v>
      </c>
      <c r="V28" s="3">
        <v>29</v>
      </c>
      <c r="W28" s="3">
        <v>46</v>
      </c>
      <c r="X28" s="4">
        <v>8</v>
      </c>
      <c r="Y28" s="5">
        <v>1182</v>
      </c>
    </row>
    <row r="29" spans="1:25" x14ac:dyDescent="0.25">
      <c r="A29" s="4">
        <v>2015</v>
      </c>
      <c r="B29" s="7">
        <v>42087</v>
      </c>
      <c r="C29" s="2">
        <v>29</v>
      </c>
      <c r="D29" s="3">
        <v>9</v>
      </c>
      <c r="E29" s="3">
        <v>4</v>
      </c>
      <c r="F29" s="3">
        <v>6</v>
      </c>
      <c r="G29" s="3">
        <v>17</v>
      </c>
      <c r="H29" s="3">
        <v>3</v>
      </c>
      <c r="I29" s="3">
        <v>24</v>
      </c>
      <c r="J29" s="4">
        <v>28</v>
      </c>
      <c r="K29" s="5">
        <v>1183</v>
      </c>
      <c r="L29" t="str">
        <f t="shared" si="10"/>
        <v>20150324029</v>
      </c>
      <c r="M29" t="str">
        <f t="shared" si="11"/>
        <v>20150324</v>
      </c>
      <c r="O29" s="4">
        <v>2015</v>
      </c>
      <c r="P29" s="7">
        <v>42087</v>
      </c>
      <c r="Q29" s="2">
        <v>29</v>
      </c>
      <c r="R29" s="3">
        <v>3</v>
      </c>
      <c r="S29" s="3">
        <v>4</v>
      </c>
      <c r="T29" s="3">
        <v>6</v>
      </c>
      <c r="U29" s="3">
        <v>9</v>
      </c>
      <c r="V29" s="3">
        <v>17</v>
      </c>
      <c r="W29" s="3">
        <v>24</v>
      </c>
      <c r="X29" s="4">
        <v>28</v>
      </c>
      <c r="Y29" s="5">
        <v>1183</v>
      </c>
    </row>
    <row r="30" spans="1:25" x14ac:dyDescent="0.25">
      <c r="A30" s="4">
        <v>2015</v>
      </c>
      <c r="B30" s="7">
        <v>42090</v>
      </c>
      <c r="C30" s="2">
        <v>30</v>
      </c>
      <c r="D30" s="3">
        <v>12</v>
      </c>
      <c r="E30" s="3">
        <v>36</v>
      </c>
      <c r="F30" s="3">
        <v>24</v>
      </c>
      <c r="G30" s="3">
        <v>13</v>
      </c>
      <c r="H30" s="3">
        <v>18</v>
      </c>
      <c r="I30" s="3">
        <v>15</v>
      </c>
      <c r="J30" s="4">
        <v>39</v>
      </c>
      <c r="K30" s="5">
        <v>1184</v>
      </c>
      <c r="L30" t="str">
        <f t="shared" si="10"/>
        <v>20150327030</v>
      </c>
      <c r="M30" t="str">
        <f t="shared" si="11"/>
        <v>20150327</v>
      </c>
      <c r="O30" s="4">
        <v>2015</v>
      </c>
      <c r="P30" s="7">
        <v>42090</v>
      </c>
      <c r="Q30" s="2">
        <v>30</v>
      </c>
      <c r="R30" s="3">
        <v>12</v>
      </c>
      <c r="S30" s="3">
        <v>13</v>
      </c>
      <c r="T30" s="3">
        <v>15</v>
      </c>
      <c r="U30" s="3">
        <v>18</v>
      </c>
      <c r="V30" s="3">
        <v>24</v>
      </c>
      <c r="W30" s="3">
        <v>36</v>
      </c>
      <c r="X30" s="4">
        <v>39</v>
      </c>
      <c r="Y30" s="5">
        <v>1184</v>
      </c>
    </row>
    <row r="31" spans="1:25" x14ac:dyDescent="0.25">
      <c r="A31" s="4">
        <v>2015</v>
      </c>
      <c r="B31" s="7">
        <v>42094</v>
      </c>
      <c r="C31" s="2">
        <v>31</v>
      </c>
      <c r="D31" s="3">
        <v>2</v>
      </c>
      <c r="E31" s="3">
        <v>32</v>
      </c>
      <c r="F31" s="3">
        <v>43</v>
      </c>
      <c r="G31" s="3">
        <v>13</v>
      </c>
      <c r="H31" s="3">
        <v>25</v>
      </c>
      <c r="I31" s="3">
        <v>4</v>
      </c>
      <c r="J31" s="4">
        <v>15</v>
      </c>
      <c r="K31" s="5">
        <v>1185</v>
      </c>
      <c r="L31" t="str">
        <f t="shared" si="10"/>
        <v>20150331031</v>
      </c>
      <c r="M31" t="str">
        <f t="shared" si="11"/>
        <v>20150331</v>
      </c>
      <c r="O31" s="4">
        <v>2015</v>
      </c>
      <c r="P31" s="7">
        <v>42094</v>
      </c>
      <c r="Q31" s="2">
        <v>31</v>
      </c>
      <c r="R31" s="3">
        <v>2</v>
      </c>
      <c r="S31" s="3">
        <v>4</v>
      </c>
      <c r="T31" s="3">
        <v>13</v>
      </c>
      <c r="U31" s="3">
        <v>25</v>
      </c>
      <c r="V31" s="3">
        <v>32</v>
      </c>
      <c r="W31" s="3">
        <v>43</v>
      </c>
      <c r="X31" s="4">
        <v>15</v>
      </c>
      <c r="Y31" s="5">
        <v>1185</v>
      </c>
    </row>
    <row r="32" spans="1:25" x14ac:dyDescent="0.25">
      <c r="A32" s="4">
        <v>2015</v>
      </c>
      <c r="B32" s="7">
        <v>42097</v>
      </c>
      <c r="C32" s="2">
        <v>32</v>
      </c>
      <c r="D32" s="3">
        <v>36</v>
      </c>
      <c r="E32" s="3">
        <v>13</v>
      </c>
      <c r="F32" s="3">
        <v>43</v>
      </c>
      <c r="G32" s="3">
        <v>32</v>
      </c>
      <c r="H32" s="3">
        <v>42</v>
      </c>
      <c r="I32" s="3">
        <v>40</v>
      </c>
      <c r="J32" s="4">
        <v>41</v>
      </c>
      <c r="K32" s="5">
        <v>1186</v>
      </c>
      <c r="L32" t="str">
        <f t="shared" ref="L32:L43" si="12">CONCATENATE(TEXT(A32,"0000"),TEXT(B32,"mmdd"),TEXT(C32,"000"))</f>
        <v>20150403032</v>
      </c>
      <c r="M32" t="str">
        <f t="shared" ref="M32:M43" si="13">CONCATENATE(TEXT(A32,"0000"),TEXT(B32,"mmdd"))</f>
        <v>20150403</v>
      </c>
      <c r="O32" s="4">
        <v>2015</v>
      </c>
      <c r="P32" s="7">
        <v>42097</v>
      </c>
      <c r="Q32" s="2">
        <v>32</v>
      </c>
      <c r="R32" s="3">
        <v>13</v>
      </c>
      <c r="S32" s="3">
        <v>32</v>
      </c>
      <c r="T32" s="3">
        <v>36</v>
      </c>
      <c r="U32" s="3">
        <v>40</v>
      </c>
      <c r="V32" s="3">
        <v>42</v>
      </c>
      <c r="W32" s="3">
        <v>43</v>
      </c>
      <c r="X32" s="4">
        <v>41</v>
      </c>
      <c r="Y32" s="5">
        <v>1186</v>
      </c>
    </row>
    <row r="33" spans="1:25" x14ac:dyDescent="0.25">
      <c r="A33" s="4">
        <v>2015</v>
      </c>
      <c r="B33" s="7">
        <v>42101</v>
      </c>
      <c r="C33" s="2">
        <v>33</v>
      </c>
      <c r="D33" s="3">
        <v>17</v>
      </c>
      <c r="E33" s="3">
        <v>47</v>
      </c>
      <c r="F33" s="3">
        <v>11</v>
      </c>
      <c r="G33" s="3">
        <v>45</v>
      </c>
      <c r="H33" s="3">
        <v>19</v>
      </c>
      <c r="I33" s="3">
        <v>33</v>
      </c>
      <c r="J33" s="4">
        <v>4</v>
      </c>
      <c r="K33" s="5">
        <v>1187</v>
      </c>
      <c r="L33" t="str">
        <f t="shared" si="12"/>
        <v>20150407033</v>
      </c>
      <c r="M33" t="str">
        <f t="shared" si="13"/>
        <v>20150407</v>
      </c>
      <c r="O33" s="4">
        <v>2015</v>
      </c>
      <c r="P33" s="7">
        <v>42101</v>
      </c>
      <c r="Q33" s="2">
        <v>33</v>
      </c>
      <c r="R33" s="3">
        <v>11</v>
      </c>
      <c r="S33" s="3">
        <v>17</v>
      </c>
      <c r="T33" s="3">
        <v>19</v>
      </c>
      <c r="U33" s="3">
        <v>33</v>
      </c>
      <c r="V33" s="3">
        <v>45</v>
      </c>
      <c r="W33" s="3">
        <v>47</v>
      </c>
      <c r="X33" s="4">
        <v>4</v>
      </c>
      <c r="Y33" s="5">
        <v>1187</v>
      </c>
    </row>
    <row r="34" spans="1:25" x14ac:dyDescent="0.25">
      <c r="A34" s="4">
        <v>2015</v>
      </c>
      <c r="B34" s="7">
        <v>42104</v>
      </c>
      <c r="C34" s="2">
        <v>34</v>
      </c>
      <c r="D34" s="3">
        <v>44</v>
      </c>
      <c r="E34" s="3">
        <v>17</v>
      </c>
      <c r="F34" s="3">
        <v>10</v>
      </c>
      <c r="G34" s="3">
        <v>11</v>
      </c>
      <c r="H34" s="3">
        <v>42</v>
      </c>
      <c r="I34" s="3">
        <v>20</v>
      </c>
      <c r="J34" s="4">
        <v>13</v>
      </c>
      <c r="K34" s="5">
        <v>1188</v>
      </c>
      <c r="L34" t="str">
        <f t="shared" si="12"/>
        <v>20150410034</v>
      </c>
      <c r="M34" t="str">
        <f t="shared" si="13"/>
        <v>20150410</v>
      </c>
      <c r="O34" s="4">
        <v>2015</v>
      </c>
      <c r="P34" s="7">
        <v>42104</v>
      </c>
      <c r="Q34" s="2">
        <v>34</v>
      </c>
      <c r="R34" s="3">
        <v>10</v>
      </c>
      <c r="S34" s="3">
        <v>11</v>
      </c>
      <c r="T34" s="3">
        <v>17</v>
      </c>
      <c r="U34" s="3">
        <v>20</v>
      </c>
      <c r="V34" s="3">
        <v>42</v>
      </c>
      <c r="W34" s="3">
        <v>44</v>
      </c>
      <c r="X34" s="4">
        <v>13</v>
      </c>
      <c r="Y34" s="5">
        <v>1188</v>
      </c>
    </row>
    <row r="35" spans="1:25" x14ac:dyDescent="0.25">
      <c r="A35" s="4">
        <v>2015</v>
      </c>
      <c r="B35" s="7">
        <v>42108</v>
      </c>
      <c r="C35" s="2">
        <v>35</v>
      </c>
      <c r="D35" s="3">
        <v>38</v>
      </c>
      <c r="E35" s="3">
        <v>1</v>
      </c>
      <c r="F35" s="3">
        <v>48</v>
      </c>
      <c r="G35" s="3">
        <v>49</v>
      </c>
      <c r="H35" s="3">
        <v>23</v>
      </c>
      <c r="I35" s="3">
        <v>22</v>
      </c>
      <c r="J35" s="4">
        <v>11</v>
      </c>
      <c r="K35" s="5">
        <v>1189</v>
      </c>
      <c r="L35" t="str">
        <f t="shared" si="12"/>
        <v>20150414035</v>
      </c>
      <c r="M35" t="str">
        <f t="shared" si="13"/>
        <v>20150414</v>
      </c>
      <c r="O35" s="4">
        <v>2015</v>
      </c>
      <c r="P35" s="7">
        <v>42108</v>
      </c>
      <c r="Q35" s="2">
        <v>35</v>
      </c>
      <c r="R35" s="3">
        <v>1</v>
      </c>
      <c r="S35" s="3">
        <v>22</v>
      </c>
      <c r="T35" s="3">
        <v>23</v>
      </c>
      <c r="U35" s="3">
        <v>38</v>
      </c>
      <c r="V35" s="3">
        <v>48</v>
      </c>
      <c r="W35" s="3">
        <v>49</v>
      </c>
      <c r="X35" s="4">
        <v>11</v>
      </c>
      <c r="Y35" s="5">
        <v>1189</v>
      </c>
    </row>
    <row r="36" spans="1:25" x14ac:dyDescent="0.25">
      <c r="A36" s="4">
        <v>2015</v>
      </c>
      <c r="B36" s="7">
        <v>42111</v>
      </c>
      <c r="C36" s="2">
        <v>36</v>
      </c>
      <c r="D36" s="3">
        <v>47</v>
      </c>
      <c r="E36" s="3">
        <v>45</v>
      </c>
      <c r="F36" s="3">
        <v>26</v>
      </c>
      <c r="G36" s="3">
        <v>36</v>
      </c>
      <c r="H36" s="3">
        <v>33</v>
      </c>
      <c r="I36" s="3">
        <v>32</v>
      </c>
      <c r="J36" s="4">
        <v>39</v>
      </c>
      <c r="K36" s="5">
        <v>1190</v>
      </c>
      <c r="L36" t="str">
        <f t="shared" si="12"/>
        <v>20150417036</v>
      </c>
      <c r="M36" t="str">
        <f t="shared" si="13"/>
        <v>20150417</v>
      </c>
      <c r="O36" s="4">
        <v>2015</v>
      </c>
      <c r="P36" s="7">
        <v>42111</v>
      </c>
      <c r="Q36" s="2">
        <v>36</v>
      </c>
      <c r="R36" s="3">
        <v>26</v>
      </c>
      <c r="S36" s="3">
        <v>32</v>
      </c>
      <c r="T36" s="3">
        <v>33</v>
      </c>
      <c r="U36" s="3">
        <v>36</v>
      </c>
      <c r="V36" s="3">
        <v>45</v>
      </c>
      <c r="W36" s="3">
        <v>47</v>
      </c>
      <c r="X36" s="4">
        <v>39</v>
      </c>
      <c r="Y36" s="5">
        <v>1190</v>
      </c>
    </row>
    <row r="37" spans="1:25" x14ac:dyDescent="0.25">
      <c r="A37" s="4">
        <v>2015</v>
      </c>
      <c r="B37" s="7">
        <v>42115</v>
      </c>
      <c r="C37" s="2">
        <v>37</v>
      </c>
      <c r="D37" s="3">
        <v>1</v>
      </c>
      <c r="E37" s="3">
        <v>22</v>
      </c>
      <c r="F37" s="3">
        <v>3</v>
      </c>
      <c r="G37" s="3">
        <v>33</v>
      </c>
      <c r="H37" s="3">
        <v>29</v>
      </c>
      <c r="I37" s="3">
        <v>11</v>
      </c>
      <c r="J37" s="4">
        <v>30</v>
      </c>
      <c r="K37" s="5">
        <v>1191</v>
      </c>
      <c r="L37" t="str">
        <f t="shared" si="12"/>
        <v>20150421037</v>
      </c>
      <c r="M37" t="str">
        <f t="shared" si="13"/>
        <v>20150421</v>
      </c>
      <c r="O37" s="4">
        <v>2015</v>
      </c>
      <c r="P37" s="7">
        <v>42115</v>
      </c>
      <c r="Q37" s="2">
        <v>37</v>
      </c>
      <c r="R37" s="3">
        <v>1</v>
      </c>
      <c r="S37" s="3">
        <v>3</v>
      </c>
      <c r="T37" s="3">
        <v>11</v>
      </c>
      <c r="U37" s="3">
        <v>22</v>
      </c>
      <c r="V37" s="3">
        <v>29</v>
      </c>
      <c r="W37" s="3">
        <v>33</v>
      </c>
      <c r="X37" s="4">
        <v>30</v>
      </c>
      <c r="Y37" s="5">
        <v>1191</v>
      </c>
    </row>
    <row r="38" spans="1:25" x14ac:dyDescent="0.25">
      <c r="A38" s="4">
        <v>2015</v>
      </c>
      <c r="B38" s="7">
        <v>42118</v>
      </c>
      <c r="C38" s="2">
        <v>38</v>
      </c>
      <c r="D38" s="3">
        <v>13</v>
      </c>
      <c r="E38" s="3">
        <v>25</v>
      </c>
      <c r="F38" s="3">
        <v>41</v>
      </c>
      <c r="G38" s="3">
        <v>46</v>
      </c>
      <c r="H38" s="3">
        <v>35</v>
      </c>
      <c r="I38" s="3">
        <v>31</v>
      </c>
      <c r="J38" s="4">
        <v>49</v>
      </c>
      <c r="K38" s="5">
        <v>1192</v>
      </c>
      <c r="L38" t="str">
        <f t="shared" si="12"/>
        <v>20150424038</v>
      </c>
      <c r="M38" t="str">
        <f t="shared" si="13"/>
        <v>20150424</v>
      </c>
      <c r="O38" s="4">
        <v>2015</v>
      </c>
      <c r="P38" s="7">
        <v>42118</v>
      </c>
      <c r="Q38" s="2">
        <v>38</v>
      </c>
      <c r="R38" s="3">
        <v>13</v>
      </c>
      <c r="S38" s="3">
        <v>25</v>
      </c>
      <c r="T38" s="3">
        <v>31</v>
      </c>
      <c r="U38" s="3">
        <v>35</v>
      </c>
      <c r="V38" s="3">
        <v>41</v>
      </c>
      <c r="W38" s="3">
        <v>46</v>
      </c>
      <c r="X38" s="4">
        <v>49</v>
      </c>
      <c r="Y38" s="5">
        <v>1192</v>
      </c>
    </row>
    <row r="39" spans="1:25" x14ac:dyDescent="0.25">
      <c r="A39" s="4">
        <v>2015</v>
      </c>
      <c r="B39" s="7">
        <v>42122</v>
      </c>
      <c r="C39" s="2">
        <v>39</v>
      </c>
      <c r="D39" s="3">
        <v>3</v>
      </c>
      <c r="E39" s="3">
        <v>44</v>
      </c>
      <c r="F39" s="3">
        <v>36</v>
      </c>
      <c r="G39" s="3">
        <v>26</v>
      </c>
      <c r="H39" s="3">
        <v>12</v>
      </c>
      <c r="I39" s="3">
        <v>5</v>
      </c>
      <c r="J39" s="4">
        <v>23</v>
      </c>
      <c r="K39" s="5">
        <v>1193</v>
      </c>
      <c r="L39" t="str">
        <f t="shared" si="12"/>
        <v>20150428039</v>
      </c>
      <c r="M39" t="str">
        <f t="shared" si="13"/>
        <v>20150428</v>
      </c>
      <c r="O39" s="4">
        <v>2015</v>
      </c>
      <c r="P39" s="7">
        <v>42122</v>
      </c>
      <c r="Q39" s="2">
        <v>39</v>
      </c>
      <c r="R39" s="3">
        <v>3</v>
      </c>
      <c r="S39" s="3">
        <v>5</v>
      </c>
      <c r="T39" s="3">
        <v>12</v>
      </c>
      <c r="U39" s="3">
        <v>26</v>
      </c>
      <c r="V39" s="3">
        <v>36</v>
      </c>
      <c r="W39" s="3">
        <v>44</v>
      </c>
      <c r="X39" s="4">
        <v>23</v>
      </c>
      <c r="Y39" s="5">
        <v>1193</v>
      </c>
    </row>
    <row r="40" spans="1:25" x14ac:dyDescent="0.25">
      <c r="A40" s="4">
        <v>2015</v>
      </c>
      <c r="B40" s="7">
        <v>42125</v>
      </c>
      <c r="C40" s="2">
        <v>40</v>
      </c>
      <c r="D40" s="3">
        <v>15</v>
      </c>
      <c r="E40" s="3">
        <v>49</v>
      </c>
      <c r="F40" s="3">
        <v>25</v>
      </c>
      <c r="G40" s="3">
        <v>29</v>
      </c>
      <c r="H40" s="3">
        <v>47</v>
      </c>
      <c r="I40" s="3">
        <v>8</v>
      </c>
      <c r="J40" s="4">
        <v>9</v>
      </c>
      <c r="K40" s="5">
        <v>1194</v>
      </c>
      <c r="L40" t="str">
        <f t="shared" si="12"/>
        <v>20150501040</v>
      </c>
      <c r="M40" t="str">
        <f t="shared" si="13"/>
        <v>20150501</v>
      </c>
      <c r="O40" s="4">
        <v>2015</v>
      </c>
      <c r="P40" s="7">
        <v>42125</v>
      </c>
      <c r="Q40" s="2">
        <v>40</v>
      </c>
      <c r="R40" s="3">
        <v>8</v>
      </c>
      <c r="S40" s="3">
        <v>15</v>
      </c>
      <c r="T40" s="3">
        <v>25</v>
      </c>
      <c r="U40" s="3">
        <v>29</v>
      </c>
      <c r="V40" s="3">
        <v>47</v>
      </c>
      <c r="W40" s="3">
        <v>49</v>
      </c>
      <c r="X40" s="4">
        <v>9</v>
      </c>
      <c r="Y40" s="5">
        <v>1194</v>
      </c>
    </row>
    <row r="41" spans="1:25" x14ac:dyDescent="0.25">
      <c r="A41" s="4">
        <v>2015</v>
      </c>
      <c r="B41" s="7">
        <v>42129</v>
      </c>
      <c r="C41" s="2">
        <v>41</v>
      </c>
      <c r="D41" s="3">
        <v>44</v>
      </c>
      <c r="E41" s="3">
        <v>41</v>
      </c>
      <c r="F41" s="3">
        <v>28</v>
      </c>
      <c r="G41" s="3">
        <v>42</v>
      </c>
      <c r="H41" s="3">
        <v>49</v>
      </c>
      <c r="I41" s="3">
        <v>8</v>
      </c>
      <c r="J41" s="4">
        <v>30</v>
      </c>
      <c r="K41" s="5">
        <v>1195</v>
      </c>
      <c r="L41" t="str">
        <f t="shared" si="12"/>
        <v>20150505041</v>
      </c>
      <c r="M41" t="str">
        <f t="shared" si="13"/>
        <v>20150505</v>
      </c>
      <c r="O41" s="4">
        <v>2015</v>
      </c>
      <c r="P41" s="7">
        <v>42129</v>
      </c>
      <c r="Q41" s="2">
        <v>41</v>
      </c>
      <c r="R41" s="3">
        <v>8</v>
      </c>
      <c r="S41" s="3">
        <v>28</v>
      </c>
      <c r="T41" s="3">
        <v>41</v>
      </c>
      <c r="U41" s="3">
        <v>42</v>
      </c>
      <c r="V41" s="3">
        <v>44</v>
      </c>
      <c r="W41" s="3">
        <v>49</v>
      </c>
      <c r="X41" s="4">
        <v>30</v>
      </c>
      <c r="Y41" s="5">
        <v>1195</v>
      </c>
    </row>
    <row r="42" spans="1:25" x14ac:dyDescent="0.25">
      <c r="A42" s="4">
        <v>2015</v>
      </c>
      <c r="B42" s="7">
        <v>42132</v>
      </c>
      <c r="C42" s="2">
        <v>42</v>
      </c>
      <c r="D42" s="3">
        <v>44</v>
      </c>
      <c r="E42" s="3">
        <v>15</v>
      </c>
      <c r="F42" s="3">
        <v>2</v>
      </c>
      <c r="G42" s="3">
        <v>28</v>
      </c>
      <c r="H42" s="3">
        <v>10</v>
      </c>
      <c r="I42" s="3">
        <v>49</v>
      </c>
      <c r="J42" s="4">
        <v>39</v>
      </c>
      <c r="K42" s="5">
        <v>1196</v>
      </c>
      <c r="L42" t="str">
        <f t="shared" si="12"/>
        <v>20150508042</v>
      </c>
      <c r="M42" t="str">
        <f t="shared" si="13"/>
        <v>20150508</v>
      </c>
      <c r="O42" s="4">
        <v>2015</v>
      </c>
      <c r="P42" s="7">
        <v>42132</v>
      </c>
      <c r="Q42" s="2">
        <v>42</v>
      </c>
      <c r="R42" s="3">
        <v>2</v>
      </c>
      <c r="S42" s="3">
        <v>10</v>
      </c>
      <c r="T42" s="3">
        <v>15</v>
      </c>
      <c r="U42" s="3">
        <v>28</v>
      </c>
      <c r="V42" s="3">
        <v>44</v>
      </c>
      <c r="W42" s="3">
        <v>49</v>
      </c>
      <c r="X42" s="4">
        <v>39</v>
      </c>
      <c r="Y42" s="5">
        <v>1196</v>
      </c>
    </row>
    <row r="43" spans="1:25" x14ac:dyDescent="0.25">
      <c r="A43" s="4">
        <v>2015</v>
      </c>
      <c r="B43" s="7">
        <v>42136</v>
      </c>
      <c r="C43" s="2">
        <v>43</v>
      </c>
      <c r="D43" s="3">
        <v>1</v>
      </c>
      <c r="E43" s="3">
        <v>23</v>
      </c>
      <c r="F43" s="3">
        <v>29</v>
      </c>
      <c r="G43" s="3">
        <v>31</v>
      </c>
      <c r="H43" s="3">
        <v>13</v>
      </c>
      <c r="I43" s="3">
        <v>33</v>
      </c>
      <c r="J43" s="4">
        <v>17</v>
      </c>
      <c r="K43" s="5">
        <v>1197</v>
      </c>
      <c r="L43" t="str">
        <f t="shared" si="12"/>
        <v>20150512043</v>
      </c>
      <c r="M43" t="str">
        <f t="shared" si="13"/>
        <v>20150512</v>
      </c>
      <c r="O43" s="4">
        <v>2015</v>
      </c>
      <c r="P43" s="7">
        <v>42136</v>
      </c>
      <c r="Q43" s="2">
        <v>43</v>
      </c>
      <c r="R43" s="3">
        <v>1</v>
      </c>
      <c r="S43" s="3">
        <v>13</v>
      </c>
      <c r="T43" s="3">
        <v>23</v>
      </c>
      <c r="U43" s="3">
        <v>29</v>
      </c>
      <c r="V43" s="3">
        <v>31</v>
      </c>
      <c r="W43" s="3">
        <v>33</v>
      </c>
      <c r="X43" s="4">
        <v>17</v>
      </c>
      <c r="Y43" s="5">
        <v>1197</v>
      </c>
    </row>
    <row r="44" spans="1:25" x14ac:dyDescent="0.25">
      <c r="A44" s="4">
        <v>2015</v>
      </c>
      <c r="B44" s="7">
        <v>42139</v>
      </c>
      <c r="C44" s="2">
        <v>44</v>
      </c>
      <c r="D44" s="3">
        <v>27</v>
      </c>
      <c r="E44" s="3">
        <v>32</v>
      </c>
      <c r="F44" s="3">
        <v>18</v>
      </c>
      <c r="G44" s="3">
        <v>6</v>
      </c>
      <c r="H44" s="3">
        <v>29</v>
      </c>
      <c r="I44" s="3">
        <v>3</v>
      </c>
      <c r="J44" s="4">
        <v>40</v>
      </c>
      <c r="K44" s="5">
        <v>1198</v>
      </c>
      <c r="L44" t="str">
        <f t="shared" ref="L44:L48" si="14">CONCATENATE(TEXT(A44,"0000"),TEXT(B44,"mmdd"),TEXT(C44,"000"))</f>
        <v>20150515044</v>
      </c>
      <c r="M44" t="str">
        <f t="shared" ref="M44:M48" si="15">CONCATENATE(TEXT(A44,"0000"),TEXT(B44,"mmdd"))</f>
        <v>20150515</v>
      </c>
      <c r="O44" s="4">
        <v>2015</v>
      </c>
      <c r="P44" s="7">
        <v>42139</v>
      </c>
      <c r="Q44" s="2">
        <v>44</v>
      </c>
      <c r="R44" s="3">
        <v>3</v>
      </c>
      <c r="S44" s="3">
        <v>6</v>
      </c>
      <c r="T44" s="3">
        <v>18</v>
      </c>
      <c r="U44" s="3">
        <v>27</v>
      </c>
      <c r="V44" s="3">
        <v>29</v>
      </c>
      <c r="W44" s="3">
        <v>32</v>
      </c>
      <c r="X44" s="4">
        <v>40</v>
      </c>
      <c r="Y44" s="5">
        <v>1198</v>
      </c>
    </row>
    <row r="45" spans="1:25" x14ac:dyDescent="0.25">
      <c r="A45" s="4">
        <v>2015</v>
      </c>
      <c r="B45" s="7">
        <v>42143</v>
      </c>
      <c r="C45" s="2">
        <v>45</v>
      </c>
      <c r="D45" s="3">
        <v>15</v>
      </c>
      <c r="E45" s="3">
        <v>16</v>
      </c>
      <c r="F45" s="3">
        <v>29</v>
      </c>
      <c r="G45" s="3">
        <v>39</v>
      </c>
      <c r="H45" s="3">
        <v>42</v>
      </c>
      <c r="I45" s="3">
        <v>46</v>
      </c>
      <c r="J45" s="4">
        <v>14</v>
      </c>
      <c r="K45" s="5">
        <v>1199</v>
      </c>
      <c r="L45" t="str">
        <f t="shared" si="14"/>
        <v>20150519045</v>
      </c>
      <c r="M45" t="str">
        <f t="shared" si="15"/>
        <v>20150519</v>
      </c>
      <c r="O45" s="4">
        <v>2015</v>
      </c>
      <c r="P45" s="7">
        <v>42143</v>
      </c>
      <c r="Q45" s="2">
        <v>45</v>
      </c>
      <c r="R45" s="3">
        <v>15</v>
      </c>
      <c r="S45" s="3">
        <v>16</v>
      </c>
      <c r="T45" s="3">
        <v>29</v>
      </c>
      <c r="U45" s="3">
        <v>39</v>
      </c>
      <c r="V45" s="3">
        <v>42</v>
      </c>
      <c r="W45" s="3">
        <v>46</v>
      </c>
      <c r="X45" s="4">
        <v>14</v>
      </c>
      <c r="Y45" s="5">
        <v>1199</v>
      </c>
    </row>
    <row r="46" spans="1:25" x14ac:dyDescent="0.25">
      <c r="A46" s="4">
        <v>2015</v>
      </c>
      <c r="B46" s="7">
        <v>42146</v>
      </c>
      <c r="C46" s="2">
        <v>46</v>
      </c>
      <c r="D46" s="3">
        <v>23</v>
      </c>
      <c r="E46" s="3">
        <v>3</v>
      </c>
      <c r="F46" s="3">
        <v>43</v>
      </c>
      <c r="G46" s="3">
        <v>28</v>
      </c>
      <c r="H46" s="3">
        <v>37</v>
      </c>
      <c r="I46" s="3">
        <v>21</v>
      </c>
      <c r="J46" s="4">
        <v>5</v>
      </c>
      <c r="K46" s="5">
        <v>1200</v>
      </c>
      <c r="L46" t="str">
        <f t="shared" si="14"/>
        <v>20150522046</v>
      </c>
      <c r="M46" t="str">
        <f t="shared" si="15"/>
        <v>20150522</v>
      </c>
      <c r="O46" s="4">
        <v>2015</v>
      </c>
      <c r="P46" s="7">
        <v>42146</v>
      </c>
      <c r="Q46" s="2">
        <v>46</v>
      </c>
      <c r="R46" s="3">
        <v>3</v>
      </c>
      <c r="S46" s="3">
        <v>21</v>
      </c>
      <c r="T46" s="3">
        <v>23</v>
      </c>
      <c r="U46" s="3">
        <v>28</v>
      </c>
      <c r="V46" s="3">
        <v>37</v>
      </c>
      <c r="W46" s="3">
        <v>43</v>
      </c>
      <c r="X46" s="4">
        <v>5</v>
      </c>
      <c r="Y46" s="5">
        <v>1200</v>
      </c>
    </row>
    <row r="47" spans="1:25" x14ac:dyDescent="0.25">
      <c r="A47" s="4">
        <v>2015</v>
      </c>
      <c r="B47" s="7">
        <v>42150</v>
      </c>
      <c r="C47" s="2">
        <v>47</v>
      </c>
      <c r="D47" s="3">
        <v>10</v>
      </c>
      <c r="E47" s="3">
        <v>26</v>
      </c>
      <c r="F47" s="3">
        <v>45</v>
      </c>
      <c r="G47" s="3">
        <v>11</v>
      </c>
      <c r="H47" s="3">
        <v>2</v>
      </c>
      <c r="I47" s="3">
        <v>20</v>
      </c>
      <c r="J47" s="4">
        <v>30</v>
      </c>
      <c r="K47" s="5">
        <v>1201</v>
      </c>
      <c r="L47" t="str">
        <f t="shared" si="14"/>
        <v>20150526047</v>
      </c>
      <c r="M47" t="str">
        <f t="shared" si="15"/>
        <v>20150526</v>
      </c>
      <c r="O47" s="4">
        <v>2015</v>
      </c>
      <c r="P47" s="7">
        <v>42150</v>
      </c>
      <c r="Q47" s="2">
        <v>47</v>
      </c>
      <c r="R47" s="3">
        <v>2</v>
      </c>
      <c r="S47" s="3">
        <v>10</v>
      </c>
      <c r="T47" s="3">
        <v>11</v>
      </c>
      <c r="U47" s="3">
        <v>20</v>
      </c>
      <c r="V47" s="3">
        <v>26</v>
      </c>
      <c r="W47" s="3">
        <v>45</v>
      </c>
      <c r="X47" s="4">
        <v>30</v>
      </c>
      <c r="Y47" s="5">
        <v>1201</v>
      </c>
    </row>
    <row r="48" spans="1:25" x14ac:dyDescent="0.25">
      <c r="A48" s="4">
        <v>2015</v>
      </c>
      <c r="B48" s="7">
        <v>42153</v>
      </c>
      <c r="C48" s="2">
        <v>48</v>
      </c>
      <c r="D48" s="3">
        <v>2</v>
      </c>
      <c r="E48" s="3">
        <v>34</v>
      </c>
      <c r="F48" s="3">
        <v>32</v>
      </c>
      <c r="G48" s="3">
        <v>11</v>
      </c>
      <c r="H48" s="3">
        <v>28</v>
      </c>
      <c r="I48" s="3">
        <v>5</v>
      </c>
      <c r="J48" s="4">
        <v>24</v>
      </c>
      <c r="K48" s="5">
        <v>1202</v>
      </c>
      <c r="L48" t="str">
        <f t="shared" si="14"/>
        <v>20150529048</v>
      </c>
      <c r="M48" t="str">
        <f t="shared" si="15"/>
        <v>20150529</v>
      </c>
      <c r="O48" s="4">
        <v>2015</v>
      </c>
      <c r="P48" s="7">
        <v>42153</v>
      </c>
      <c r="Q48" s="2">
        <v>48</v>
      </c>
      <c r="R48" s="3">
        <v>2</v>
      </c>
      <c r="S48" s="3">
        <v>5</v>
      </c>
      <c r="T48" s="3">
        <v>11</v>
      </c>
      <c r="U48" s="3">
        <v>28</v>
      </c>
      <c r="V48" s="3">
        <v>32</v>
      </c>
      <c r="W48" s="3">
        <v>34</v>
      </c>
      <c r="X48" s="4">
        <v>24</v>
      </c>
      <c r="Y48" s="5">
        <v>1202</v>
      </c>
    </row>
    <row r="49" spans="1:25" x14ac:dyDescent="0.25">
      <c r="A49" s="4">
        <v>2015</v>
      </c>
      <c r="B49" s="7">
        <v>42157</v>
      </c>
      <c r="C49" s="2">
        <v>49</v>
      </c>
      <c r="D49" s="3">
        <v>7</v>
      </c>
      <c r="E49" s="3">
        <v>1</v>
      </c>
      <c r="F49" s="3">
        <v>20</v>
      </c>
      <c r="G49" s="3">
        <v>19</v>
      </c>
      <c r="H49" s="3">
        <v>46</v>
      </c>
      <c r="I49" s="3">
        <v>47</v>
      </c>
      <c r="J49" s="4">
        <v>13</v>
      </c>
      <c r="K49" s="5">
        <v>1203</v>
      </c>
      <c r="L49" t="str">
        <f t="shared" ref="L49:L50" si="16">CONCATENATE(TEXT(A49,"0000"),TEXT(B49,"mmdd"),TEXT(C49,"000"))</f>
        <v>20150602049</v>
      </c>
      <c r="M49" t="str">
        <f t="shared" ref="M49:M50" si="17">CONCATENATE(TEXT(A49,"0000"),TEXT(B49,"mmdd"))</f>
        <v>20150602</v>
      </c>
      <c r="O49" s="4">
        <v>2015</v>
      </c>
      <c r="P49" s="7">
        <v>42157</v>
      </c>
      <c r="Q49" s="2">
        <v>49</v>
      </c>
      <c r="R49" s="3">
        <v>1</v>
      </c>
      <c r="S49" s="3">
        <v>7</v>
      </c>
      <c r="T49" s="3">
        <v>19</v>
      </c>
      <c r="U49" s="3">
        <v>20</v>
      </c>
      <c r="V49" s="3">
        <v>46</v>
      </c>
      <c r="W49" s="3">
        <v>47</v>
      </c>
      <c r="X49" s="4">
        <v>13</v>
      </c>
      <c r="Y49" s="5">
        <v>1203</v>
      </c>
    </row>
    <row r="50" spans="1:25" x14ac:dyDescent="0.25">
      <c r="A50" s="4">
        <v>2015</v>
      </c>
      <c r="B50" s="7">
        <v>42160</v>
      </c>
      <c r="C50" s="2">
        <v>50</v>
      </c>
      <c r="D50" s="3">
        <v>41</v>
      </c>
      <c r="E50" s="3">
        <v>8</v>
      </c>
      <c r="F50" s="3">
        <v>48</v>
      </c>
      <c r="G50" s="3">
        <v>32</v>
      </c>
      <c r="H50" s="3">
        <v>21</v>
      </c>
      <c r="I50" s="3">
        <v>35</v>
      </c>
      <c r="J50" s="4">
        <v>34</v>
      </c>
      <c r="K50" s="5">
        <v>1204</v>
      </c>
      <c r="L50" t="str">
        <f t="shared" si="16"/>
        <v>20150605050</v>
      </c>
      <c r="M50" t="str">
        <f t="shared" si="17"/>
        <v>20150605</v>
      </c>
      <c r="O50" s="4">
        <v>2015</v>
      </c>
      <c r="P50" s="7">
        <v>42160</v>
      </c>
      <c r="Q50" s="2">
        <v>50</v>
      </c>
      <c r="R50" s="3">
        <v>8</v>
      </c>
      <c r="S50" s="3">
        <v>21</v>
      </c>
      <c r="T50" s="3">
        <v>32</v>
      </c>
      <c r="U50" s="3">
        <v>35</v>
      </c>
      <c r="V50" s="3">
        <v>41</v>
      </c>
      <c r="W50" s="3">
        <v>48</v>
      </c>
      <c r="X50" s="4">
        <v>34</v>
      </c>
      <c r="Y50" s="5">
        <v>1204</v>
      </c>
    </row>
    <row r="51" spans="1:25" x14ac:dyDescent="0.25">
      <c r="A51" s="4">
        <v>2015</v>
      </c>
      <c r="B51" s="7">
        <v>42164</v>
      </c>
      <c r="C51" s="2">
        <v>51</v>
      </c>
      <c r="D51" s="3">
        <v>37</v>
      </c>
      <c r="E51" s="3">
        <v>3</v>
      </c>
      <c r="F51" s="3">
        <v>20</v>
      </c>
      <c r="G51" s="3">
        <v>27</v>
      </c>
      <c r="H51" s="3">
        <v>44</v>
      </c>
      <c r="I51" s="3">
        <v>34</v>
      </c>
      <c r="J51" s="4">
        <v>12</v>
      </c>
      <c r="K51" s="5">
        <v>1205</v>
      </c>
      <c r="L51" t="str">
        <f t="shared" ref="L51:L69" si="18">CONCATENATE(TEXT(A51,"0000"),TEXT(B51,"mmdd"),TEXT(C51,"000"))</f>
        <v>20150609051</v>
      </c>
      <c r="M51" t="str">
        <f t="shared" ref="M51:M69" si="19">CONCATENATE(TEXT(A51,"0000"),TEXT(B51,"mmdd"))</f>
        <v>20150609</v>
      </c>
      <c r="O51" s="4">
        <v>2015</v>
      </c>
      <c r="P51" s="7">
        <v>42164</v>
      </c>
      <c r="Q51" s="2">
        <v>51</v>
      </c>
      <c r="R51" s="3">
        <v>3</v>
      </c>
      <c r="S51" s="3">
        <v>20</v>
      </c>
      <c r="T51" s="3">
        <v>27</v>
      </c>
      <c r="U51" s="3">
        <v>34</v>
      </c>
      <c r="V51" s="3">
        <v>37</v>
      </c>
      <c r="W51" s="3">
        <v>44</v>
      </c>
      <c r="X51" s="4">
        <v>12</v>
      </c>
      <c r="Y51" s="5">
        <v>1205</v>
      </c>
    </row>
    <row r="52" spans="1:25" x14ac:dyDescent="0.25">
      <c r="A52" s="4">
        <v>2015</v>
      </c>
      <c r="B52" s="7">
        <v>42167</v>
      </c>
      <c r="C52" s="2">
        <v>52</v>
      </c>
      <c r="D52" s="3">
        <v>28</v>
      </c>
      <c r="E52" s="3">
        <v>8</v>
      </c>
      <c r="F52" s="3">
        <v>24</v>
      </c>
      <c r="G52" s="3">
        <v>22</v>
      </c>
      <c r="H52" s="3">
        <v>19</v>
      </c>
      <c r="I52" s="3">
        <v>26</v>
      </c>
      <c r="J52" s="4">
        <v>18</v>
      </c>
      <c r="K52" s="5">
        <v>1206</v>
      </c>
      <c r="L52" t="str">
        <f t="shared" si="18"/>
        <v>20150612052</v>
      </c>
      <c r="M52" t="str">
        <f t="shared" si="19"/>
        <v>20150612</v>
      </c>
      <c r="O52" s="4">
        <v>2015</v>
      </c>
      <c r="P52" s="7">
        <v>42167</v>
      </c>
      <c r="Q52" s="2">
        <v>52</v>
      </c>
      <c r="R52" s="3">
        <v>8</v>
      </c>
      <c r="S52" s="3">
        <v>19</v>
      </c>
      <c r="T52" s="3">
        <v>22</v>
      </c>
      <c r="U52" s="3">
        <v>24</v>
      </c>
      <c r="V52" s="3">
        <v>26</v>
      </c>
      <c r="W52" s="3">
        <v>28</v>
      </c>
      <c r="X52" s="4">
        <v>18</v>
      </c>
      <c r="Y52" s="5">
        <v>1206</v>
      </c>
    </row>
    <row r="53" spans="1:25" x14ac:dyDescent="0.25">
      <c r="A53" s="4">
        <v>2015</v>
      </c>
      <c r="B53" s="7">
        <v>42171</v>
      </c>
      <c r="C53" s="2">
        <v>53</v>
      </c>
      <c r="D53" s="3">
        <v>35</v>
      </c>
      <c r="E53" s="3">
        <v>41</v>
      </c>
      <c r="F53" s="3">
        <v>4</v>
      </c>
      <c r="G53" s="3">
        <v>25</v>
      </c>
      <c r="H53" s="3">
        <v>3</v>
      </c>
      <c r="I53" s="3">
        <v>45</v>
      </c>
      <c r="J53" s="4">
        <v>7</v>
      </c>
      <c r="K53" s="5">
        <v>1207</v>
      </c>
      <c r="L53" t="str">
        <f t="shared" si="18"/>
        <v>20150616053</v>
      </c>
      <c r="M53" t="str">
        <f t="shared" si="19"/>
        <v>20150616</v>
      </c>
      <c r="O53" s="4">
        <v>2015</v>
      </c>
      <c r="P53" s="7">
        <v>42171</v>
      </c>
      <c r="Q53" s="2">
        <v>53</v>
      </c>
      <c r="R53" s="3">
        <v>3</v>
      </c>
      <c r="S53" s="3">
        <v>4</v>
      </c>
      <c r="T53" s="3">
        <v>25</v>
      </c>
      <c r="U53" s="3">
        <v>35</v>
      </c>
      <c r="V53" s="3">
        <v>41</v>
      </c>
      <c r="W53" s="3">
        <v>45</v>
      </c>
      <c r="X53" s="4">
        <v>7</v>
      </c>
      <c r="Y53" s="5">
        <v>1207</v>
      </c>
    </row>
    <row r="54" spans="1:25" x14ac:dyDescent="0.25">
      <c r="A54" s="4">
        <v>2015</v>
      </c>
      <c r="B54" s="7">
        <v>42174</v>
      </c>
      <c r="C54" s="2">
        <v>54</v>
      </c>
      <c r="D54" s="3">
        <v>18</v>
      </c>
      <c r="E54" s="3">
        <v>11</v>
      </c>
      <c r="F54" s="3">
        <v>5</v>
      </c>
      <c r="G54" s="3">
        <v>25</v>
      </c>
      <c r="H54" s="3">
        <v>38</v>
      </c>
      <c r="I54" s="3">
        <v>3</v>
      </c>
      <c r="J54" s="4">
        <v>15</v>
      </c>
      <c r="K54" s="5">
        <v>1208</v>
      </c>
      <c r="L54" t="str">
        <f t="shared" si="18"/>
        <v>20150619054</v>
      </c>
      <c r="M54" t="str">
        <f t="shared" si="19"/>
        <v>20150619</v>
      </c>
      <c r="O54" s="4">
        <v>2015</v>
      </c>
      <c r="P54" s="7">
        <v>42174</v>
      </c>
      <c r="Q54" s="2">
        <v>54</v>
      </c>
      <c r="R54" s="3">
        <v>3</v>
      </c>
      <c r="S54" s="3">
        <v>5</v>
      </c>
      <c r="T54" s="3">
        <v>11</v>
      </c>
      <c r="U54" s="3">
        <v>18</v>
      </c>
      <c r="V54" s="3">
        <v>25</v>
      </c>
      <c r="W54" s="3">
        <v>38</v>
      </c>
      <c r="X54" s="4">
        <v>15</v>
      </c>
      <c r="Y54" s="5">
        <v>1208</v>
      </c>
    </row>
    <row r="55" spans="1:25" x14ac:dyDescent="0.25">
      <c r="A55" s="4">
        <v>2015</v>
      </c>
      <c r="B55" s="7">
        <v>42178</v>
      </c>
      <c r="C55" s="2">
        <v>55</v>
      </c>
      <c r="D55" s="3">
        <v>45</v>
      </c>
      <c r="E55" s="3">
        <v>2</v>
      </c>
      <c r="F55" s="3">
        <v>13</v>
      </c>
      <c r="G55" s="3">
        <v>35</v>
      </c>
      <c r="H55" s="3">
        <v>33</v>
      </c>
      <c r="I55" s="3">
        <v>43</v>
      </c>
      <c r="J55" s="4">
        <v>5</v>
      </c>
      <c r="K55" s="5">
        <v>1209</v>
      </c>
      <c r="L55" t="str">
        <f t="shared" si="18"/>
        <v>20150623055</v>
      </c>
      <c r="M55" t="str">
        <f t="shared" si="19"/>
        <v>20150623</v>
      </c>
      <c r="O55" s="4">
        <v>2015</v>
      </c>
      <c r="P55" s="7">
        <v>42178</v>
      </c>
      <c r="Q55" s="2">
        <v>55</v>
      </c>
      <c r="R55" s="3">
        <v>2</v>
      </c>
      <c r="S55" s="3">
        <v>13</v>
      </c>
      <c r="T55" s="3">
        <v>33</v>
      </c>
      <c r="U55" s="3">
        <v>35</v>
      </c>
      <c r="V55" s="3">
        <v>43</v>
      </c>
      <c r="W55" s="3">
        <v>45</v>
      </c>
      <c r="X55" s="4">
        <v>5</v>
      </c>
      <c r="Y55" s="5">
        <v>1209</v>
      </c>
    </row>
    <row r="56" spans="1:25" x14ac:dyDescent="0.25">
      <c r="A56" s="4">
        <v>2015</v>
      </c>
      <c r="B56" s="7">
        <v>42181</v>
      </c>
      <c r="C56" s="2">
        <v>56</v>
      </c>
      <c r="D56" s="3">
        <v>6</v>
      </c>
      <c r="E56" s="3">
        <v>12</v>
      </c>
      <c r="F56" s="3">
        <v>5</v>
      </c>
      <c r="G56" s="3">
        <v>41</v>
      </c>
      <c r="H56" s="3">
        <v>29</v>
      </c>
      <c r="I56" s="3">
        <v>28</v>
      </c>
      <c r="J56" s="4">
        <v>7</v>
      </c>
      <c r="K56" s="5">
        <v>1210</v>
      </c>
      <c r="L56" t="str">
        <f t="shared" si="18"/>
        <v>20150626056</v>
      </c>
      <c r="M56" t="str">
        <f t="shared" si="19"/>
        <v>20150626</v>
      </c>
      <c r="O56" s="4">
        <v>2015</v>
      </c>
      <c r="P56" s="7">
        <v>42181</v>
      </c>
      <c r="Q56" s="2">
        <v>56</v>
      </c>
      <c r="R56" s="3">
        <v>5</v>
      </c>
      <c r="S56" s="3">
        <v>6</v>
      </c>
      <c r="T56" s="3">
        <v>12</v>
      </c>
      <c r="U56" s="3">
        <v>28</v>
      </c>
      <c r="V56" s="3">
        <v>29</v>
      </c>
      <c r="W56" s="3">
        <v>41</v>
      </c>
      <c r="X56" s="4">
        <v>7</v>
      </c>
      <c r="Y56" s="5">
        <v>1210</v>
      </c>
    </row>
    <row r="57" spans="1:25" x14ac:dyDescent="0.25">
      <c r="A57" s="4">
        <v>2015</v>
      </c>
      <c r="B57" s="7">
        <v>42185</v>
      </c>
      <c r="C57" s="2">
        <v>57</v>
      </c>
      <c r="D57" s="3">
        <v>18</v>
      </c>
      <c r="E57" s="3">
        <v>35</v>
      </c>
      <c r="F57" s="3">
        <v>19</v>
      </c>
      <c r="G57" s="3">
        <v>48</v>
      </c>
      <c r="H57" s="3">
        <v>46</v>
      </c>
      <c r="I57" s="3">
        <v>32</v>
      </c>
      <c r="J57" s="4">
        <v>47</v>
      </c>
      <c r="K57" s="5">
        <v>1211</v>
      </c>
      <c r="L57" t="str">
        <f t="shared" si="18"/>
        <v>20150630057</v>
      </c>
      <c r="M57" t="str">
        <f t="shared" si="19"/>
        <v>20150630</v>
      </c>
      <c r="O57" s="4">
        <v>2015</v>
      </c>
      <c r="P57" s="7">
        <v>42185</v>
      </c>
      <c r="Q57" s="2">
        <v>57</v>
      </c>
      <c r="R57" s="3">
        <v>18</v>
      </c>
      <c r="S57" s="3">
        <v>19</v>
      </c>
      <c r="T57" s="3">
        <v>32</v>
      </c>
      <c r="U57" s="3">
        <v>35</v>
      </c>
      <c r="V57" s="3">
        <v>46</v>
      </c>
      <c r="W57" s="3">
        <v>48</v>
      </c>
      <c r="X57" s="4">
        <v>47</v>
      </c>
      <c r="Y57" s="5">
        <v>1211</v>
      </c>
    </row>
    <row r="58" spans="1:25" x14ac:dyDescent="0.25">
      <c r="A58" s="4">
        <v>2015</v>
      </c>
      <c r="B58" s="7">
        <v>42188</v>
      </c>
      <c r="C58" s="2">
        <v>58</v>
      </c>
      <c r="D58" s="3">
        <v>21</v>
      </c>
      <c r="E58" s="3">
        <v>23</v>
      </c>
      <c r="F58" s="3">
        <v>29</v>
      </c>
      <c r="G58" s="3">
        <v>41</v>
      </c>
      <c r="H58" s="3">
        <v>46</v>
      </c>
      <c r="I58" s="3">
        <v>28</v>
      </c>
      <c r="J58" s="4">
        <v>24</v>
      </c>
      <c r="K58" s="5">
        <v>1212</v>
      </c>
      <c r="L58" t="str">
        <f t="shared" si="18"/>
        <v>20150703058</v>
      </c>
      <c r="M58" t="str">
        <f t="shared" si="19"/>
        <v>20150703</v>
      </c>
      <c r="O58" s="4">
        <v>2015</v>
      </c>
      <c r="P58" s="7">
        <v>42188</v>
      </c>
      <c r="Q58" s="2">
        <v>58</v>
      </c>
      <c r="R58" s="3">
        <v>21</v>
      </c>
      <c r="S58" s="3">
        <v>23</v>
      </c>
      <c r="T58" s="3">
        <v>28</v>
      </c>
      <c r="U58" s="3">
        <v>29</v>
      </c>
      <c r="V58" s="3">
        <v>41</v>
      </c>
      <c r="W58" s="3">
        <v>46</v>
      </c>
      <c r="X58" s="4">
        <v>24</v>
      </c>
      <c r="Y58" s="5">
        <v>1212</v>
      </c>
    </row>
    <row r="59" spans="1:25" x14ac:dyDescent="0.25">
      <c r="A59" s="4">
        <v>2015</v>
      </c>
      <c r="B59" s="7">
        <v>42192</v>
      </c>
      <c r="C59" s="2">
        <v>59</v>
      </c>
      <c r="D59" s="3">
        <v>46</v>
      </c>
      <c r="E59" s="3">
        <v>33</v>
      </c>
      <c r="F59" s="3">
        <v>1</v>
      </c>
      <c r="G59" s="3">
        <v>27</v>
      </c>
      <c r="H59" s="3">
        <v>14</v>
      </c>
      <c r="I59" s="3">
        <v>42</v>
      </c>
      <c r="J59" s="4">
        <v>41</v>
      </c>
      <c r="K59" s="5">
        <v>1213</v>
      </c>
      <c r="L59" t="str">
        <f t="shared" si="18"/>
        <v>20150707059</v>
      </c>
      <c r="M59" t="str">
        <f t="shared" si="19"/>
        <v>20150707</v>
      </c>
      <c r="O59" s="4">
        <v>2015</v>
      </c>
      <c r="P59" s="7">
        <v>42192</v>
      </c>
      <c r="Q59" s="2">
        <v>59</v>
      </c>
      <c r="R59" s="3">
        <v>1</v>
      </c>
      <c r="S59" s="3">
        <v>14</v>
      </c>
      <c r="T59" s="3">
        <v>27</v>
      </c>
      <c r="U59" s="3">
        <v>33</v>
      </c>
      <c r="V59" s="3">
        <v>42</v>
      </c>
      <c r="W59" s="3">
        <v>46</v>
      </c>
      <c r="X59" s="4">
        <v>41</v>
      </c>
      <c r="Y59" s="5">
        <v>1213</v>
      </c>
    </row>
    <row r="60" spans="1:25" x14ac:dyDescent="0.25">
      <c r="A60" s="4">
        <v>2015</v>
      </c>
      <c r="B60" s="7">
        <v>42195</v>
      </c>
      <c r="C60" s="2">
        <v>60</v>
      </c>
      <c r="D60" s="3">
        <v>6</v>
      </c>
      <c r="E60" s="3">
        <v>5</v>
      </c>
      <c r="F60" s="3">
        <v>26</v>
      </c>
      <c r="G60" s="3">
        <v>13</v>
      </c>
      <c r="H60" s="3">
        <v>47</v>
      </c>
      <c r="I60" s="3">
        <v>29</v>
      </c>
      <c r="J60" s="4">
        <v>33</v>
      </c>
      <c r="K60" s="5">
        <v>1214</v>
      </c>
      <c r="L60" t="str">
        <f t="shared" si="18"/>
        <v>20150710060</v>
      </c>
      <c r="M60" t="str">
        <f t="shared" si="19"/>
        <v>20150710</v>
      </c>
      <c r="O60" s="4">
        <v>2015</v>
      </c>
      <c r="P60" s="7">
        <v>42195</v>
      </c>
      <c r="Q60" s="2">
        <v>60</v>
      </c>
      <c r="R60" s="3">
        <v>5</v>
      </c>
      <c r="S60" s="3">
        <v>6</v>
      </c>
      <c r="T60" s="3">
        <v>13</v>
      </c>
      <c r="U60" s="3">
        <v>26</v>
      </c>
      <c r="V60" s="3">
        <v>29</v>
      </c>
      <c r="W60" s="3">
        <v>47</v>
      </c>
      <c r="X60" s="4">
        <v>33</v>
      </c>
      <c r="Y60" s="5">
        <v>1214</v>
      </c>
    </row>
    <row r="61" spans="1:25" x14ac:dyDescent="0.25">
      <c r="A61" s="4">
        <v>2015</v>
      </c>
      <c r="B61" s="7">
        <v>42199</v>
      </c>
      <c r="C61" s="2">
        <v>61</v>
      </c>
      <c r="D61" s="3">
        <v>45</v>
      </c>
      <c r="E61" s="3">
        <v>30</v>
      </c>
      <c r="F61" s="3">
        <v>10</v>
      </c>
      <c r="G61" s="3">
        <v>12</v>
      </c>
      <c r="H61" s="3">
        <v>14</v>
      </c>
      <c r="I61" s="3">
        <v>19</v>
      </c>
      <c r="J61" s="4">
        <v>41</v>
      </c>
      <c r="K61" s="5">
        <v>1215</v>
      </c>
      <c r="L61" t="str">
        <f t="shared" si="18"/>
        <v>20150714061</v>
      </c>
      <c r="M61" t="str">
        <f t="shared" si="19"/>
        <v>20150714</v>
      </c>
      <c r="O61" s="4">
        <v>2015</v>
      </c>
      <c r="P61" s="7">
        <v>42199</v>
      </c>
      <c r="Q61" s="2">
        <v>61</v>
      </c>
      <c r="R61" s="3">
        <v>10</v>
      </c>
      <c r="S61" s="3">
        <v>12</v>
      </c>
      <c r="T61" s="3">
        <v>14</v>
      </c>
      <c r="U61" s="3">
        <v>19</v>
      </c>
      <c r="V61" s="3">
        <v>30</v>
      </c>
      <c r="W61" s="3">
        <v>45</v>
      </c>
      <c r="X61" s="4">
        <v>41</v>
      </c>
      <c r="Y61" s="5">
        <v>1215</v>
      </c>
    </row>
    <row r="62" spans="1:25" x14ac:dyDescent="0.25">
      <c r="A62" s="4">
        <v>2015</v>
      </c>
      <c r="B62" s="7">
        <v>42202</v>
      </c>
      <c r="C62" s="2">
        <v>62</v>
      </c>
      <c r="D62" s="3">
        <v>33</v>
      </c>
      <c r="E62" s="3">
        <v>4</v>
      </c>
      <c r="F62" s="3">
        <v>27</v>
      </c>
      <c r="G62" s="3">
        <v>7</v>
      </c>
      <c r="H62" s="3">
        <v>20</v>
      </c>
      <c r="I62" s="3">
        <v>40</v>
      </c>
      <c r="J62" s="4">
        <v>38</v>
      </c>
      <c r="K62" s="5">
        <v>1216</v>
      </c>
      <c r="L62" t="str">
        <f t="shared" si="18"/>
        <v>20150717062</v>
      </c>
      <c r="M62" t="str">
        <f t="shared" si="19"/>
        <v>20150717</v>
      </c>
      <c r="O62" s="4">
        <v>2015</v>
      </c>
      <c r="P62" s="7">
        <v>42202</v>
      </c>
      <c r="Q62" s="2">
        <v>62</v>
      </c>
      <c r="R62" s="3">
        <v>4</v>
      </c>
      <c r="S62" s="3">
        <v>7</v>
      </c>
      <c r="T62" s="3">
        <v>20</v>
      </c>
      <c r="U62" s="3">
        <v>27</v>
      </c>
      <c r="V62" s="3">
        <v>33</v>
      </c>
      <c r="W62" s="3">
        <v>40</v>
      </c>
      <c r="X62" s="4">
        <v>38</v>
      </c>
      <c r="Y62" s="5">
        <v>1216</v>
      </c>
    </row>
    <row r="63" spans="1:25" x14ac:dyDescent="0.25">
      <c r="A63" s="4">
        <v>2015</v>
      </c>
      <c r="B63" s="7">
        <v>42206</v>
      </c>
      <c r="C63" s="2">
        <v>63</v>
      </c>
      <c r="D63" s="3">
        <v>16</v>
      </c>
      <c r="E63" s="3">
        <v>44</v>
      </c>
      <c r="F63" s="3">
        <v>40</v>
      </c>
      <c r="G63" s="3">
        <v>9</v>
      </c>
      <c r="H63" s="3">
        <v>8</v>
      </c>
      <c r="I63" s="3">
        <v>39</v>
      </c>
      <c r="J63" s="4">
        <v>28</v>
      </c>
      <c r="K63" s="5">
        <v>1217</v>
      </c>
      <c r="L63" t="str">
        <f t="shared" si="18"/>
        <v>20150721063</v>
      </c>
      <c r="M63" t="str">
        <f t="shared" si="19"/>
        <v>20150721</v>
      </c>
      <c r="O63" s="4">
        <v>2015</v>
      </c>
      <c r="P63" s="7">
        <v>42206</v>
      </c>
      <c r="Q63" s="2">
        <v>63</v>
      </c>
      <c r="R63" s="3">
        <v>8</v>
      </c>
      <c r="S63" s="3">
        <v>9</v>
      </c>
      <c r="T63" s="3">
        <v>16</v>
      </c>
      <c r="U63" s="3">
        <v>39</v>
      </c>
      <c r="V63" s="3">
        <v>40</v>
      </c>
      <c r="W63" s="3">
        <v>44</v>
      </c>
      <c r="X63" s="4">
        <v>28</v>
      </c>
      <c r="Y63" s="5">
        <v>1217</v>
      </c>
    </row>
    <row r="64" spans="1:25" x14ac:dyDescent="0.25">
      <c r="A64" s="4">
        <v>2015</v>
      </c>
      <c r="B64" s="7">
        <v>42209</v>
      </c>
      <c r="C64" s="2">
        <v>64</v>
      </c>
      <c r="D64" s="3">
        <v>25</v>
      </c>
      <c r="E64" s="3">
        <v>10</v>
      </c>
      <c r="F64" s="3">
        <v>12</v>
      </c>
      <c r="G64" s="3">
        <v>42</v>
      </c>
      <c r="H64" s="3">
        <v>33</v>
      </c>
      <c r="I64" s="3">
        <v>39</v>
      </c>
      <c r="J64" s="4">
        <v>29</v>
      </c>
      <c r="K64" s="5">
        <v>1218</v>
      </c>
      <c r="L64" t="str">
        <f t="shared" si="18"/>
        <v>20150724064</v>
      </c>
      <c r="M64" t="str">
        <f t="shared" si="19"/>
        <v>20150724</v>
      </c>
      <c r="O64" s="4">
        <v>2015</v>
      </c>
      <c r="P64" s="7">
        <v>42209</v>
      </c>
      <c r="Q64" s="2">
        <v>64</v>
      </c>
      <c r="R64" s="3">
        <v>10</v>
      </c>
      <c r="S64" s="3">
        <v>12</v>
      </c>
      <c r="T64" s="3">
        <v>25</v>
      </c>
      <c r="U64" s="3">
        <v>33</v>
      </c>
      <c r="V64" s="3">
        <v>39</v>
      </c>
      <c r="W64" s="3">
        <v>42</v>
      </c>
      <c r="X64" s="4">
        <v>29</v>
      </c>
      <c r="Y64" s="5">
        <v>1218</v>
      </c>
    </row>
    <row r="65" spans="1:25" x14ac:dyDescent="0.25">
      <c r="A65" s="4">
        <v>2015</v>
      </c>
      <c r="B65" s="7">
        <v>42213</v>
      </c>
      <c r="C65" s="2">
        <v>65</v>
      </c>
      <c r="D65" s="3">
        <v>49</v>
      </c>
      <c r="E65" s="3">
        <v>32</v>
      </c>
      <c r="F65" s="3">
        <v>6</v>
      </c>
      <c r="G65" s="3">
        <v>27</v>
      </c>
      <c r="H65" s="3">
        <v>15</v>
      </c>
      <c r="I65" s="3">
        <v>44</v>
      </c>
      <c r="J65" s="4">
        <v>16</v>
      </c>
      <c r="K65" s="5">
        <v>1219</v>
      </c>
      <c r="L65" t="str">
        <f t="shared" si="18"/>
        <v>20150728065</v>
      </c>
      <c r="M65" t="str">
        <f t="shared" si="19"/>
        <v>20150728</v>
      </c>
      <c r="O65" s="4">
        <v>2015</v>
      </c>
      <c r="P65" s="7">
        <v>42213</v>
      </c>
      <c r="Q65" s="2">
        <v>65</v>
      </c>
      <c r="R65" s="3">
        <v>6</v>
      </c>
      <c r="S65" s="3">
        <v>15</v>
      </c>
      <c r="T65" s="3">
        <v>27</v>
      </c>
      <c r="U65" s="3">
        <v>32</v>
      </c>
      <c r="V65" s="3">
        <v>44</v>
      </c>
      <c r="W65" s="3">
        <v>49</v>
      </c>
      <c r="X65" s="4">
        <v>16</v>
      </c>
      <c r="Y65" s="5">
        <v>1219</v>
      </c>
    </row>
    <row r="66" spans="1:25" x14ac:dyDescent="0.25">
      <c r="A66" s="4">
        <v>2015</v>
      </c>
      <c r="B66" s="7">
        <v>42216</v>
      </c>
      <c r="C66" s="2">
        <v>66</v>
      </c>
      <c r="D66" s="3">
        <v>30</v>
      </c>
      <c r="E66" s="3">
        <v>40</v>
      </c>
      <c r="F66" s="3">
        <v>13</v>
      </c>
      <c r="G66" s="3">
        <v>16</v>
      </c>
      <c r="H66" s="3">
        <v>32</v>
      </c>
      <c r="I66" s="3">
        <v>18</v>
      </c>
      <c r="J66" s="4">
        <v>29</v>
      </c>
      <c r="K66" s="5">
        <v>1220</v>
      </c>
      <c r="L66" t="str">
        <f t="shared" si="18"/>
        <v>20150731066</v>
      </c>
      <c r="M66" t="str">
        <f t="shared" si="19"/>
        <v>20150731</v>
      </c>
      <c r="O66" s="4">
        <v>2015</v>
      </c>
      <c r="P66" s="7">
        <v>42216</v>
      </c>
      <c r="Q66" s="2">
        <v>66</v>
      </c>
      <c r="R66" s="3">
        <v>13</v>
      </c>
      <c r="S66" s="3">
        <v>16</v>
      </c>
      <c r="T66" s="3">
        <v>18</v>
      </c>
      <c r="U66" s="3">
        <v>30</v>
      </c>
      <c r="V66" s="3">
        <v>32</v>
      </c>
      <c r="W66" s="3">
        <v>40</v>
      </c>
      <c r="X66" s="4">
        <v>29</v>
      </c>
      <c r="Y66" s="5">
        <v>1220</v>
      </c>
    </row>
    <row r="67" spans="1:25" x14ac:dyDescent="0.25">
      <c r="A67" s="4">
        <v>2015</v>
      </c>
      <c r="B67" s="7">
        <v>42220</v>
      </c>
      <c r="C67" s="2">
        <v>67</v>
      </c>
      <c r="D67" s="3">
        <v>48</v>
      </c>
      <c r="E67" s="3">
        <v>12</v>
      </c>
      <c r="F67" s="3">
        <v>3</v>
      </c>
      <c r="G67" s="3">
        <v>19</v>
      </c>
      <c r="H67" s="3">
        <v>17</v>
      </c>
      <c r="I67" s="3">
        <v>38</v>
      </c>
      <c r="J67" s="4">
        <v>43</v>
      </c>
      <c r="K67" s="5">
        <v>1221</v>
      </c>
      <c r="L67" t="str">
        <f t="shared" si="18"/>
        <v>20150804067</v>
      </c>
      <c r="M67" t="str">
        <f t="shared" si="19"/>
        <v>20150804</v>
      </c>
      <c r="O67" s="4">
        <v>2015</v>
      </c>
      <c r="P67" s="7">
        <v>42220</v>
      </c>
      <c r="Q67" s="2">
        <v>67</v>
      </c>
      <c r="R67" s="3">
        <v>3</v>
      </c>
      <c r="S67" s="3">
        <v>12</v>
      </c>
      <c r="T67" s="3">
        <v>17</v>
      </c>
      <c r="U67" s="3">
        <v>19</v>
      </c>
      <c r="V67" s="3">
        <v>38</v>
      </c>
      <c r="W67" s="3">
        <v>48</v>
      </c>
      <c r="X67" s="4">
        <v>43</v>
      </c>
      <c r="Y67" s="5">
        <v>1221</v>
      </c>
    </row>
    <row r="68" spans="1:25" x14ac:dyDescent="0.25">
      <c r="A68" s="4">
        <v>2015</v>
      </c>
      <c r="B68" s="7">
        <v>42223</v>
      </c>
      <c r="C68" s="2">
        <v>68</v>
      </c>
      <c r="D68" s="3">
        <v>25</v>
      </c>
      <c r="E68" s="3">
        <v>36</v>
      </c>
      <c r="F68" s="3">
        <v>28</v>
      </c>
      <c r="G68" s="3">
        <v>27</v>
      </c>
      <c r="H68" s="3">
        <v>37</v>
      </c>
      <c r="I68" s="3">
        <v>26</v>
      </c>
      <c r="J68" s="4">
        <v>38</v>
      </c>
      <c r="K68" s="5">
        <v>1222</v>
      </c>
      <c r="L68" t="str">
        <f t="shared" si="18"/>
        <v>20150807068</v>
      </c>
      <c r="M68" t="str">
        <f t="shared" si="19"/>
        <v>20150807</v>
      </c>
      <c r="O68" s="4">
        <v>2015</v>
      </c>
      <c r="P68" s="7">
        <v>42223</v>
      </c>
      <c r="Q68" s="2">
        <v>68</v>
      </c>
      <c r="R68" s="3">
        <v>25</v>
      </c>
      <c r="S68" s="3">
        <v>26</v>
      </c>
      <c r="T68" s="3">
        <v>27</v>
      </c>
      <c r="U68" s="3">
        <v>28</v>
      </c>
      <c r="V68" s="3">
        <v>36</v>
      </c>
      <c r="W68" s="3">
        <v>37</v>
      </c>
      <c r="X68" s="4">
        <v>38</v>
      </c>
      <c r="Y68" s="5">
        <v>1222</v>
      </c>
    </row>
    <row r="69" spans="1:25" x14ac:dyDescent="0.25">
      <c r="A69" s="4">
        <v>2015</v>
      </c>
      <c r="B69" s="7">
        <v>42227</v>
      </c>
      <c r="C69" s="2">
        <v>69</v>
      </c>
      <c r="D69" s="3">
        <v>45</v>
      </c>
      <c r="E69" s="3">
        <v>43</v>
      </c>
      <c r="F69" s="3">
        <v>46</v>
      </c>
      <c r="G69" s="3">
        <v>2</v>
      </c>
      <c r="H69" s="3">
        <v>35</v>
      </c>
      <c r="I69" s="3">
        <v>1</v>
      </c>
      <c r="J69" s="4">
        <v>14</v>
      </c>
      <c r="K69" s="5">
        <v>1223</v>
      </c>
      <c r="L69" t="str">
        <f t="shared" si="18"/>
        <v>20150811069</v>
      </c>
      <c r="M69" t="str">
        <f t="shared" si="19"/>
        <v>20150811</v>
      </c>
      <c r="O69" s="4">
        <v>2015</v>
      </c>
      <c r="P69" s="7">
        <v>42227</v>
      </c>
      <c r="Q69" s="2">
        <v>69</v>
      </c>
      <c r="R69" s="3">
        <v>1</v>
      </c>
      <c r="S69" s="3">
        <v>2</v>
      </c>
      <c r="T69" s="3">
        <v>35</v>
      </c>
      <c r="U69" s="3">
        <v>43</v>
      </c>
      <c r="V69" s="3">
        <v>45</v>
      </c>
      <c r="W69" s="3">
        <v>46</v>
      </c>
      <c r="X69" s="4">
        <v>14</v>
      </c>
      <c r="Y69" s="5">
        <v>1223</v>
      </c>
    </row>
    <row r="70" spans="1:25" x14ac:dyDescent="0.25">
      <c r="A70" s="4">
        <v>2015</v>
      </c>
      <c r="B70" s="7">
        <v>42230</v>
      </c>
      <c r="C70" s="2">
        <v>70</v>
      </c>
      <c r="D70" s="3">
        <v>13</v>
      </c>
      <c r="E70" s="3">
        <v>23</v>
      </c>
      <c r="F70" s="3">
        <v>42</v>
      </c>
      <c r="G70" s="3">
        <v>5</v>
      </c>
      <c r="H70" s="3">
        <v>24</v>
      </c>
      <c r="I70" s="3">
        <v>14</v>
      </c>
      <c r="J70" s="4">
        <v>35</v>
      </c>
      <c r="K70" s="5">
        <v>1224</v>
      </c>
      <c r="L70" t="str">
        <f t="shared" ref="L70:L77" si="20">CONCATENATE(TEXT(A70,"0000"),TEXT(B70,"mmdd"),TEXT(C70,"000"))</f>
        <v>20150814070</v>
      </c>
      <c r="M70" t="str">
        <f t="shared" ref="M70:M77" si="21">CONCATENATE(TEXT(A70,"0000"),TEXT(B70,"mmdd"))</f>
        <v>20150814</v>
      </c>
    </row>
    <row r="71" spans="1:25" x14ac:dyDescent="0.25">
      <c r="A71" s="4">
        <v>2015</v>
      </c>
      <c r="B71" s="7">
        <v>42234</v>
      </c>
      <c r="C71" s="2">
        <v>71</v>
      </c>
      <c r="D71" s="3">
        <v>29</v>
      </c>
      <c r="E71" s="3">
        <v>49</v>
      </c>
      <c r="F71" s="3">
        <v>30</v>
      </c>
      <c r="G71" s="3">
        <v>8</v>
      </c>
      <c r="H71" s="3">
        <v>20</v>
      </c>
      <c r="I71" s="3">
        <v>42</v>
      </c>
      <c r="J71" s="4">
        <v>21</v>
      </c>
      <c r="K71" s="5">
        <v>1225</v>
      </c>
      <c r="L71" t="str">
        <f t="shared" si="20"/>
        <v>20150818071</v>
      </c>
      <c r="M71" t="str">
        <f t="shared" si="21"/>
        <v>20150818</v>
      </c>
    </row>
    <row r="72" spans="1:25" x14ac:dyDescent="0.25">
      <c r="A72" s="4">
        <v>2015</v>
      </c>
      <c r="B72" s="7">
        <v>42237</v>
      </c>
      <c r="C72" s="2">
        <v>72</v>
      </c>
      <c r="D72" s="3">
        <v>20</v>
      </c>
      <c r="E72" s="3">
        <v>10</v>
      </c>
      <c r="F72" s="3">
        <v>15</v>
      </c>
      <c r="G72" s="3">
        <v>21</v>
      </c>
      <c r="H72" s="3">
        <v>36</v>
      </c>
      <c r="I72" s="3">
        <v>27</v>
      </c>
      <c r="J72" s="4">
        <v>45</v>
      </c>
      <c r="K72" s="5">
        <v>1226</v>
      </c>
      <c r="L72" t="str">
        <f t="shared" si="20"/>
        <v>20150821072</v>
      </c>
      <c r="M72" t="str">
        <f t="shared" si="21"/>
        <v>20150821</v>
      </c>
    </row>
    <row r="73" spans="1:25" x14ac:dyDescent="0.25">
      <c r="A73" s="4">
        <v>2015</v>
      </c>
      <c r="B73" s="7">
        <v>42241</v>
      </c>
      <c r="C73" s="2">
        <v>73</v>
      </c>
      <c r="D73" s="3">
        <v>45</v>
      </c>
      <c r="E73" s="3">
        <v>22</v>
      </c>
      <c r="F73" s="3">
        <v>13</v>
      </c>
      <c r="G73" s="3">
        <v>26</v>
      </c>
      <c r="H73" s="3">
        <v>47</v>
      </c>
      <c r="I73" s="3">
        <v>15</v>
      </c>
      <c r="J73" s="4">
        <v>49</v>
      </c>
      <c r="K73" s="5">
        <v>1227</v>
      </c>
      <c r="L73" t="str">
        <f t="shared" si="20"/>
        <v>20150825073</v>
      </c>
      <c r="M73" t="str">
        <f t="shared" si="21"/>
        <v>20150825</v>
      </c>
    </row>
    <row r="74" spans="1:25" x14ac:dyDescent="0.25">
      <c r="A74" s="4">
        <v>2015</v>
      </c>
      <c r="B74" s="7">
        <v>42244</v>
      </c>
      <c r="C74" s="2">
        <v>74</v>
      </c>
      <c r="D74" s="3">
        <v>15</v>
      </c>
      <c r="E74" s="3">
        <v>11</v>
      </c>
      <c r="F74" s="3">
        <v>46</v>
      </c>
      <c r="G74" s="3">
        <v>40</v>
      </c>
      <c r="H74" s="3">
        <v>8</v>
      </c>
      <c r="I74" s="3">
        <v>12</v>
      </c>
      <c r="J74" s="4">
        <v>16</v>
      </c>
      <c r="K74" s="5">
        <v>1228</v>
      </c>
      <c r="L74" t="str">
        <f t="shared" si="20"/>
        <v>20150828074</v>
      </c>
      <c r="M74" t="str">
        <f t="shared" si="21"/>
        <v>20150828</v>
      </c>
    </row>
    <row r="75" spans="1:25" x14ac:dyDescent="0.25">
      <c r="A75" s="4">
        <v>2015</v>
      </c>
      <c r="B75" s="7">
        <v>42248</v>
      </c>
      <c r="C75" s="2">
        <v>75</v>
      </c>
      <c r="D75" s="3">
        <v>20</v>
      </c>
      <c r="E75" s="3">
        <v>48</v>
      </c>
      <c r="F75" s="3">
        <v>40</v>
      </c>
      <c r="G75" s="3">
        <v>18</v>
      </c>
      <c r="H75" s="3">
        <v>19</v>
      </c>
      <c r="I75" s="3">
        <v>9</v>
      </c>
      <c r="J75" s="4">
        <v>3</v>
      </c>
      <c r="K75" s="5">
        <v>1229</v>
      </c>
      <c r="L75" t="str">
        <f t="shared" si="20"/>
        <v>20150901075</v>
      </c>
      <c r="M75" t="str">
        <f t="shared" si="21"/>
        <v>20150901</v>
      </c>
    </row>
    <row r="76" spans="1:25" x14ac:dyDescent="0.25">
      <c r="A76" s="4">
        <v>2015</v>
      </c>
      <c r="B76" s="7">
        <v>42251</v>
      </c>
      <c r="C76" s="2">
        <v>76</v>
      </c>
      <c r="D76" s="3">
        <v>20</v>
      </c>
      <c r="E76" s="3">
        <v>49</v>
      </c>
      <c r="F76" s="3">
        <v>46</v>
      </c>
      <c r="G76" s="3">
        <v>19</v>
      </c>
      <c r="H76" s="3">
        <v>44</v>
      </c>
      <c r="I76" s="3">
        <v>47</v>
      </c>
      <c r="J76" s="4">
        <v>9</v>
      </c>
      <c r="K76" s="5">
        <v>1230</v>
      </c>
      <c r="L76" t="str">
        <f t="shared" si="20"/>
        <v>20150904076</v>
      </c>
      <c r="M76" t="str">
        <f t="shared" si="21"/>
        <v>20150904</v>
      </c>
    </row>
    <row r="77" spans="1:25" x14ac:dyDescent="0.25">
      <c r="A77" s="4">
        <v>2015</v>
      </c>
      <c r="B77" s="7">
        <v>42255</v>
      </c>
      <c r="C77" s="2">
        <v>77</v>
      </c>
      <c r="D77" s="3">
        <v>8</v>
      </c>
      <c r="E77" s="3">
        <v>31</v>
      </c>
      <c r="F77" s="3">
        <v>43</v>
      </c>
      <c r="G77" s="3">
        <v>28</v>
      </c>
      <c r="H77" s="3">
        <v>36</v>
      </c>
      <c r="I77" s="3">
        <v>32</v>
      </c>
      <c r="J77" s="4">
        <v>9</v>
      </c>
      <c r="K77" s="5">
        <v>1231</v>
      </c>
      <c r="L77" t="str">
        <f t="shared" si="20"/>
        <v>20150908077</v>
      </c>
      <c r="M77" t="str">
        <f t="shared" si="21"/>
        <v>20150908</v>
      </c>
    </row>
    <row r="78" spans="1:25" x14ac:dyDescent="0.25">
      <c r="A78" s="4">
        <v>2015</v>
      </c>
      <c r="B78" s="7">
        <v>42258</v>
      </c>
      <c r="C78" s="2">
        <v>78</v>
      </c>
      <c r="D78" s="3">
        <v>41</v>
      </c>
      <c r="E78" s="3">
        <v>10</v>
      </c>
      <c r="F78" s="3">
        <v>5</v>
      </c>
      <c r="G78" s="3">
        <v>29</v>
      </c>
      <c r="H78" s="3">
        <v>18</v>
      </c>
      <c r="I78" s="3">
        <v>44</v>
      </c>
      <c r="J78" s="4">
        <v>30</v>
      </c>
      <c r="K78" s="5">
        <v>1232</v>
      </c>
      <c r="L78" t="str">
        <f t="shared" ref="L78:L79" si="22">CONCATENATE(TEXT(A78,"0000"),TEXT(B78,"mmdd"),TEXT(C78,"000"))</f>
        <v>20150911078</v>
      </c>
      <c r="M78" t="str">
        <f t="shared" ref="M78:M79" si="23">CONCATENATE(TEXT(A78,"0000"),TEXT(B78,"mmdd"))</f>
        <v>20150911</v>
      </c>
    </row>
    <row r="79" spans="1:25" x14ac:dyDescent="0.25">
      <c r="A79" s="4">
        <v>2015</v>
      </c>
      <c r="B79" s="7">
        <v>42262</v>
      </c>
      <c r="C79" s="2">
        <v>79</v>
      </c>
      <c r="D79" s="3">
        <v>44</v>
      </c>
      <c r="E79" s="3">
        <v>13</v>
      </c>
      <c r="F79" s="3">
        <v>30</v>
      </c>
      <c r="G79" s="3">
        <v>34</v>
      </c>
      <c r="H79" s="3">
        <v>31</v>
      </c>
      <c r="I79" s="3">
        <v>2</v>
      </c>
      <c r="J79" s="4">
        <v>39</v>
      </c>
      <c r="K79" s="5">
        <v>1233</v>
      </c>
      <c r="L79" t="str">
        <f t="shared" si="22"/>
        <v>20150915079</v>
      </c>
      <c r="M79" t="str">
        <f t="shared" si="23"/>
        <v>20150915</v>
      </c>
    </row>
    <row r="80" spans="1:25" x14ac:dyDescent="0.25">
      <c r="A80" s="4">
        <v>2015</v>
      </c>
      <c r="B80" s="7">
        <v>42265</v>
      </c>
      <c r="C80" s="2">
        <v>80</v>
      </c>
      <c r="D80" s="3">
        <v>16</v>
      </c>
      <c r="E80" s="3">
        <v>6</v>
      </c>
      <c r="F80" s="3">
        <v>17</v>
      </c>
      <c r="G80" s="3">
        <v>41</v>
      </c>
      <c r="H80" s="3">
        <v>37</v>
      </c>
      <c r="I80" s="3">
        <v>36</v>
      </c>
      <c r="J80" s="4">
        <v>28</v>
      </c>
      <c r="K80" s="5">
        <v>1234</v>
      </c>
      <c r="L80" t="str">
        <f t="shared" ref="L80:L86" si="24">CONCATENATE(TEXT(A80,"0000"),TEXT(B80,"mmdd"),TEXT(C80,"000"))</f>
        <v>20150918080</v>
      </c>
      <c r="M80" t="str">
        <f t="shared" ref="M80:M86" si="25">CONCATENATE(TEXT(A80,"0000"),TEXT(B80,"mmdd"))</f>
        <v>20150918</v>
      </c>
    </row>
    <row r="81" spans="1:13" x14ac:dyDescent="0.25">
      <c r="A81" s="4">
        <v>2015</v>
      </c>
      <c r="B81" s="7">
        <v>42269</v>
      </c>
      <c r="C81" s="2">
        <v>81</v>
      </c>
      <c r="D81" s="3">
        <v>47</v>
      </c>
      <c r="E81" s="3">
        <v>46</v>
      </c>
      <c r="F81" s="3">
        <v>6</v>
      </c>
      <c r="G81" s="3">
        <v>10</v>
      </c>
      <c r="H81" s="3">
        <v>39</v>
      </c>
      <c r="I81" s="3">
        <v>44</v>
      </c>
      <c r="J81" s="4">
        <v>30</v>
      </c>
      <c r="K81" s="5">
        <v>1235</v>
      </c>
      <c r="L81" t="str">
        <f t="shared" si="24"/>
        <v>20150922081</v>
      </c>
      <c r="M81" t="str">
        <f t="shared" si="25"/>
        <v>20150922</v>
      </c>
    </row>
    <row r="82" spans="1:13" x14ac:dyDescent="0.25">
      <c r="A82" s="4">
        <v>2015</v>
      </c>
      <c r="B82" s="7">
        <v>42272</v>
      </c>
      <c r="C82" s="2">
        <v>82</v>
      </c>
      <c r="D82" s="3">
        <v>13</v>
      </c>
      <c r="E82" s="3">
        <v>38</v>
      </c>
      <c r="F82" s="3">
        <v>25</v>
      </c>
      <c r="G82" s="3">
        <v>21</v>
      </c>
      <c r="H82" s="3">
        <v>9</v>
      </c>
      <c r="I82" s="3">
        <v>39</v>
      </c>
      <c r="J82" s="4">
        <v>2</v>
      </c>
      <c r="K82" s="5">
        <v>1236</v>
      </c>
      <c r="L82" t="str">
        <f t="shared" si="24"/>
        <v>20150925082</v>
      </c>
      <c r="M82" t="str">
        <f t="shared" si="25"/>
        <v>20150925</v>
      </c>
    </row>
    <row r="83" spans="1:13" x14ac:dyDescent="0.25">
      <c r="A83" s="4">
        <v>2015</v>
      </c>
      <c r="B83" s="7">
        <v>42276</v>
      </c>
      <c r="C83" s="2">
        <v>83</v>
      </c>
      <c r="D83" s="3">
        <v>1</v>
      </c>
      <c r="E83" s="3">
        <v>35</v>
      </c>
      <c r="F83" s="3">
        <v>3</v>
      </c>
      <c r="G83" s="3">
        <v>25</v>
      </c>
      <c r="H83" s="3">
        <v>44</v>
      </c>
      <c r="I83" s="3">
        <v>31</v>
      </c>
      <c r="J83" s="4">
        <v>15</v>
      </c>
      <c r="K83" s="5">
        <v>1237</v>
      </c>
      <c r="L83" t="str">
        <f t="shared" si="24"/>
        <v>20150929083</v>
      </c>
      <c r="M83" t="str">
        <f t="shared" si="25"/>
        <v>20150929</v>
      </c>
    </row>
    <row r="84" spans="1:13" x14ac:dyDescent="0.25">
      <c r="A84" s="4">
        <v>2015</v>
      </c>
      <c r="B84" s="7">
        <v>42279</v>
      </c>
      <c r="C84" s="2">
        <v>84</v>
      </c>
      <c r="D84" s="3">
        <v>44</v>
      </c>
      <c r="E84" s="3">
        <v>11</v>
      </c>
      <c r="F84" s="3">
        <v>45</v>
      </c>
      <c r="G84" s="3">
        <v>36</v>
      </c>
      <c r="H84" s="3">
        <v>41</v>
      </c>
      <c r="I84" s="3">
        <v>15</v>
      </c>
      <c r="J84" s="4">
        <v>35</v>
      </c>
      <c r="K84" s="5">
        <v>1238</v>
      </c>
      <c r="L84" t="str">
        <f t="shared" si="24"/>
        <v>20151002084</v>
      </c>
      <c r="M84" t="str">
        <f t="shared" si="25"/>
        <v>20151002</v>
      </c>
    </row>
    <row r="85" spans="1:13" x14ac:dyDescent="0.25">
      <c r="A85" s="4">
        <v>2015</v>
      </c>
      <c r="B85" s="7">
        <v>42283</v>
      </c>
      <c r="C85" s="2">
        <v>85</v>
      </c>
      <c r="D85" s="3">
        <v>8</v>
      </c>
      <c r="E85" s="3">
        <v>10</v>
      </c>
      <c r="F85" s="3">
        <v>28</v>
      </c>
      <c r="G85" s="3">
        <v>3</v>
      </c>
      <c r="H85" s="3">
        <v>38</v>
      </c>
      <c r="I85" s="3">
        <v>47</v>
      </c>
      <c r="J85" s="4">
        <v>13</v>
      </c>
      <c r="K85" s="5">
        <v>1239</v>
      </c>
      <c r="L85" t="str">
        <f t="shared" si="24"/>
        <v>20151006085</v>
      </c>
      <c r="M85" t="str">
        <f t="shared" si="25"/>
        <v>20151006</v>
      </c>
    </row>
    <row r="86" spans="1:13" x14ac:dyDescent="0.25">
      <c r="A86" s="4">
        <v>2015</v>
      </c>
      <c r="B86" s="7">
        <v>42286</v>
      </c>
      <c r="C86" s="2">
        <v>86</v>
      </c>
      <c r="D86" s="3">
        <v>35</v>
      </c>
      <c r="E86" s="3">
        <v>2</v>
      </c>
      <c r="F86" s="3">
        <v>8</v>
      </c>
      <c r="G86" s="3">
        <v>27</v>
      </c>
      <c r="H86" s="3">
        <v>22</v>
      </c>
      <c r="I86" s="3">
        <v>43</v>
      </c>
      <c r="J86" s="4">
        <v>24</v>
      </c>
      <c r="K86" s="5">
        <v>1240</v>
      </c>
      <c r="L86" t="str">
        <f t="shared" si="24"/>
        <v>20151009086</v>
      </c>
      <c r="M86" t="str">
        <f t="shared" si="25"/>
        <v>20151009</v>
      </c>
    </row>
    <row r="87" spans="1:13" x14ac:dyDescent="0.25">
      <c r="A87" s="4">
        <v>2015</v>
      </c>
      <c r="B87" s="7">
        <v>42290</v>
      </c>
      <c r="C87" s="2">
        <v>87</v>
      </c>
      <c r="D87" s="3">
        <v>24</v>
      </c>
      <c r="E87" s="3">
        <v>29</v>
      </c>
      <c r="F87" s="3">
        <v>32</v>
      </c>
      <c r="G87" s="3">
        <v>44</v>
      </c>
      <c r="H87" s="3">
        <v>49</v>
      </c>
      <c r="I87" s="3">
        <v>31</v>
      </c>
      <c r="J87" s="4">
        <v>39</v>
      </c>
      <c r="K87" s="5">
        <v>1241</v>
      </c>
      <c r="L87" t="str">
        <f t="shared" ref="L87:L91" si="26">CONCATENATE(TEXT(A87,"0000"),TEXT(B87,"mmdd"),TEXT(C87,"000"))</f>
        <v>20151013087</v>
      </c>
      <c r="M87" t="str">
        <f t="shared" ref="M87:M91" si="27">CONCATENATE(TEXT(A87,"0000"),TEXT(B87,"mmdd"))</f>
        <v>20151013</v>
      </c>
    </row>
    <row r="88" spans="1:13" x14ac:dyDescent="0.25">
      <c r="A88" s="4">
        <v>2015</v>
      </c>
      <c r="B88" s="7">
        <v>42293</v>
      </c>
      <c r="C88" s="2">
        <v>88</v>
      </c>
      <c r="D88" s="3">
        <v>31</v>
      </c>
      <c r="E88" s="3">
        <v>20</v>
      </c>
      <c r="F88" s="3">
        <v>29</v>
      </c>
      <c r="G88" s="3">
        <v>44</v>
      </c>
      <c r="H88" s="3">
        <v>25</v>
      </c>
      <c r="I88" s="3">
        <v>40</v>
      </c>
      <c r="J88" s="4">
        <v>21</v>
      </c>
      <c r="K88" s="5">
        <v>1242</v>
      </c>
      <c r="L88" t="str">
        <f t="shared" si="26"/>
        <v>20151016088</v>
      </c>
      <c r="M88" t="str">
        <f t="shared" si="27"/>
        <v>20151016</v>
      </c>
    </row>
    <row r="89" spans="1:13" x14ac:dyDescent="0.25">
      <c r="A89" s="4">
        <v>2015</v>
      </c>
      <c r="B89" s="7">
        <v>42297</v>
      </c>
      <c r="C89" s="2">
        <v>89</v>
      </c>
      <c r="D89" s="3">
        <v>32</v>
      </c>
      <c r="E89" s="3">
        <v>12</v>
      </c>
      <c r="F89" s="3">
        <v>37</v>
      </c>
      <c r="G89" s="3">
        <v>17</v>
      </c>
      <c r="H89" s="3">
        <v>39</v>
      </c>
      <c r="I89" s="3">
        <v>38</v>
      </c>
      <c r="J89" s="4">
        <v>27</v>
      </c>
      <c r="K89" s="5">
        <v>1243</v>
      </c>
      <c r="L89" t="str">
        <f t="shared" si="26"/>
        <v>20151020089</v>
      </c>
      <c r="M89" t="str">
        <f t="shared" si="27"/>
        <v>20151020</v>
      </c>
    </row>
    <row r="90" spans="1:13" x14ac:dyDescent="0.25">
      <c r="A90" s="4">
        <v>2015</v>
      </c>
      <c r="B90" s="7">
        <v>42300</v>
      </c>
      <c r="C90" s="2">
        <v>90</v>
      </c>
      <c r="D90" s="3">
        <v>1</v>
      </c>
      <c r="E90" s="3">
        <v>41</v>
      </c>
      <c r="F90" s="3">
        <v>16</v>
      </c>
      <c r="G90" s="3">
        <v>43</v>
      </c>
      <c r="H90" s="3">
        <v>47</v>
      </c>
      <c r="I90" s="3">
        <v>46</v>
      </c>
      <c r="J90" s="4">
        <v>25</v>
      </c>
      <c r="K90" s="5">
        <v>1244</v>
      </c>
      <c r="L90" t="str">
        <f t="shared" si="26"/>
        <v>20151023090</v>
      </c>
      <c r="M90" t="str">
        <f t="shared" si="27"/>
        <v>20151023</v>
      </c>
    </row>
    <row r="91" spans="1:13" x14ac:dyDescent="0.25">
      <c r="A91" s="4">
        <v>2015</v>
      </c>
      <c r="B91" s="7">
        <v>42304</v>
      </c>
      <c r="C91" s="2">
        <v>91</v>
      </c>
      <c r="D91" s="3">
        <v>7</v>
      </c>
      <c r="E91" s="3">
        <v>17</v>
      </c>
      <c r="F91" s="3">
        <v>34</v>
      </c>
      <c r="G91" s="3">
        <v>8</v>
      </c>
      <c r="H91" s="3">
        <v>10</v>
      </c>
      <c r="I91" s="3">
        <v>36</v>
      </c>
      <c r="J91" s="4">
        <v>43</v>
      </c>
      <c r="K91" s="5">
        <v>1245</v>
      </c>
      <c r="L91" t="str">
        <f t="shared" si="26"/>
        <v>20151027091</v>
      </c>
      <c r="M91" t="str">
        <f t="shared" si="27"/>
        <v>20151027</v>
      </c>
    </row>
    <row r="92" spans="1:13" x14ac:dyDescent="0.25">
      <c r="A92" s="4">
        <v>2015</v>
      </c>
      <c r="B92" s="7">
        <v>42307</v>
      </c>
      <c r="C92" s="2">
        <v>92</v>
      </c>
      <c r="D92" s="3">
        <v>15</v>
      </c>
      <c r="E92" s="3">
        <v>8</v>
      </c>
      <c r="F92" s="3">
        <v>20</v>
      </c>
      <c r="G92" s="3">
        <v>3</v>
      </c>
      <c r="H92" s="3">
        <v>6</v>
      </c>
      <c r="I92" s="3">
        <v>30</v>
      </c>
      <c r="J92" s="4">
        <v>40</v>
      </c>
      <c r="K92" s="5">
        <v>1246</v>
      </c>
      <c r="L92" t="str">
        <f t="shared" ref="L92:L95" si="28">CONCATENATE(TEXT(A92,"0000"),TEXT(B92,"mmdd"),TEXT(C92,"000"))</f>
        <v>20151030092</v>
      </c>
      <c r="M92" t="str">
        <f t="shared" ref="M92:M95" si="29">CONCATENATE(TEXT(A92,"0000"),TEXT(B92,"mmdd"))</f>
        <v>20151030</v>
      </c>
    </row>
    <row r="93" spans="1:13" x14ac:dyDescent="0.25">
      <c r="A93" s="4">
        <v>2015</v>
      </c>
      <c r="B93" s="7">
        <v>42311</v>
      </c>
      <c r="C93" s="2">
        <v>93</v>
      </c>
      <c r="D93" s="3">
        <v>28</v>
      </c>
      <c r="E93" s="3">
        <v>45</v>
      </c>
      <c r="F93" s="3">
        <v>8</v>
      </c>
      <c r="G93" s="3">
        <v>16</v>
      </c>
      <c r="H93" s="3">
        <v>48</v>
      </c>
      <c r="I93" s="3">
        <v>22</v>
      </c>
      <c r="J93" s="4">
        <v>13</v>
      </c>
      <c r="K93" s="5">
        <v>1247</v>
      </c>
      <c r="L93" t="str">
        <f t="shared" si="28"/>
        <v>20151103093</v>
      </c>
      <c r="M93" t="str">
        <f t="shared" si="29"/>
        <v>20151103</v>
      </c>
    </row>
    <row r="94" spans="1:13" x14ac:dyDescent="0.25">
      <c r="A94" s="4">
        <v>2015</v>
      </c>
      <c r="B94" s="7">
        <v>42314</v>
      </c>
      <c r="C94" s="2">
        <v>94</v>
      </c>
      <c r="D94" s="3">
        <v>30</v>
      </c>
      <c r="E94" s="3">
        <v>45</v>
      </c>
      <c r="F94" s="3">
        <v>27</v>
      </c>
      <c r="G94" s="3">
        <v>49</v>
      </c>
      <c r="H94" s="3">
        <v>8</v>
      </c>
      <c r="I94" s="3">
        <v>24</v>
      </c>
      <c r="J94" s="4">
        <v>42</v>
      </c>
      <c r="K94" s="5">
        <v>1248</v>
      </c>
      <c r="L94" t="str">
        <f t="shared" si="28"/>
        <v>20151106094</v>
      </c>
      <c r="M94" t="str">
        <f t="shared" si="29"/>
        <v>20151106</v>
      </c>
    </row>
    <row r="95" spans="1:13" x14ac:dyDescent="0.25">
      <c r="A95" s="4">
        <v>2015</v>
      </c>
      <c r="B95" s="7">
        <v>42318</v>
      </c>
      <c r="C95" s="2">
        <v>95</v>
      </c>
      <c r="D95" s="3">
        <v>7</v>
      </c>
      <c r="E95" s="3">
        <v>27</v>
      </c>
      <c r="F95" s="3">
        <v>45</v>
      </c>
      <c r="G95" s="3">
        <v>11</v>
      </c>
      <c r="H95" s="3">
        <v>10</v>
      </c>
      <c r="I95" s="3">
        <v>28</v>
      </c>
      <c r="J95" s="4">
        <v>21</v>
      </c>
      <c r="K95" s="5">
        <v>1249</v>
      </c>
      <c r="L95" t="str">
        <f t="shared" si="28"/>
        <v>20151110095</v>
      </c>
      <c r="M95" t="str">
        <f t="shared" si="29"/>
        <v>20151110</v>
      </c>
    </row>
    <row r="96" spans="1:13" x14ac:dyDescent="0.25">
      <c r="A96" s="4">
        <v>2015</v>
      </c>
      <c r="B96" s="7">
        <v>42321</v>
      </c>
      <c r="C96" s="2">
        <v>96</v>
      </c>
      <c r="D96" s="3">
        <v>33</v>
      </c>
      <c r="E96" s="3">
        <v>18</v>
      </c>
      <c r="F96" s="3">
        <v>16</v>
      </c>
      <c r="G96" s="3">
        <v>11</v>
      </c>
      <c r="H96" s="3">
        <v>31</v>
      </c>
      <c r="I96" s="3">
        <v>1</v>
      </c>
      <c r="J96" s="4">
        <v>19</v>
      </c>
      <c r="K96" s="5">
        <v>1250</v>
      </c>
      <c r="L96" t="str">
        <f t="shared" ref="L96:L97" si="30">CONCATENATE(TEXT(A96,"0000"),TEXT(B96,"mmdd"),TEXT(C96,"000"))</f>
        <v>20151113096</v>
      </c>
      <c r="M96" t="str">
        <f t="shared" ref="M96:M97" si="31">CONCATENATE(TEXT(A96,"0000"),TEXT(B96,"mmdd"))</f>
        <v>20151113</v>
      </c>
    </row>
    <row r="97" spans="1:13" x14ac:dyDescent="0.25">
      <c r="A97" s="4">
        <v>2015</v>
      </c>
      <c r="B97" s="7">
        <v>42325</v>
      </c>
      <c r="C97" s="2">
        <v>97</v>
      </c>
      <c r="D97" s="3">
        <v>2</v>
      </c>
      <c r="E97" s="3">
        <v>44</v>
      </c>
      <c r="F97" s="3">
        <v>7</v>
      </c>
      <c r="G97" s="3">
        <v>47</v>
      </c>
      <c r="H97" s="3">
        <v>31</v>
      </c>
      <c r="I97" s="3">
        <v>26</v>
      </c>
      <c r="J97" s="4">
        <v>36</v>
      </c>
      <c r="K97" s="5">
        <v>1251</v>
      </c>
      <c r="L97" t="str">
        <f t="shared" si="30"/>
        <v>20151117097</v>
      </c>
      <c r="M97" t="str">
        <f t="shared" si="31"/>
        <v>20151117</v>
      </c>
    </row>
    <row r="98" spans="1:13" x14ac:dyDescent="0.25">
      <c r="A98" s="4">
        <v>2015</v>
      </c>
      <c r="B98" s="7">
        <v>42694</v>
      </c>
      <c r="C98" s="2">
        <v>98</v>
      </c>
      <c r="D98" s="3">
        <v>40</v>
      </c>
      <c r="E98" s="3">
        <v>9</v>
      </c>
      <c r="F98" s="3">
        <v>4</v>
      </c>
      <c r="G98" s="3">
        <v>10</v>
      </c>
      <c r="H98" s="3">
        <v>39</v>
      </c>
      <c r="I98" s="3">
        <v>42</v>
      </c>
      <c r="J98" s="4">
        <v>8</v>
      </c>
      <c r="K98" s="5">
        <v>1252</v>
      </c>
      <c r="L98" t="str">
        <f t="shared" ref="L98:L109" si="32">CONCATENATE(TEXT(A98,"0000"),TEXT(B98,"mmdd"),TEXT(C98,"000"))</f>
        <v>20151120098</v>
      </c>
      <c r="M98" t="str">
        <f t="shared" ref="M98:M109" si="33">CONCATENATE(TEXT(A98,"0000"),TEXT(B98,"mmdd"))</f>
        <v>20151120</v>
      </c>
    </row>
    <row r="99" spans="1:13" x14ac:dyDescent="0.25">
      <c r="A99" s="4">
        <v>2015</v>
      </c>
      <c r="B99" s="7">
        <v>42698</v>
      </c>
      <c r="C99" s="2">
        <v>99</v>
      </c>
      <c r="D99" s="3">
        <v>48</v>
      </c>
      <c r="E99" s="3">
        <v>1</v>
      </c>
      <c r="F99" s="3">
        <v>9</v>
      </c>
      <c r="G99" s="3">
        <v>29</v>
      </c>
      <c r="H99" s="3">
        <v>28</v>
      </c>
      <c r="I99" s="3">
        <v>13</v>
      </c>
      <c r="J99" s="4">
        <v>45</v>
      </c>
      <c r="K99" s="5">
        <v>1253</v>
      </c>
      <c r="L99" t="str">
        <f t="shared" si="32"/>
        <v>20151124099</v>
      </c>
      <c r="M99" t="str">
        <f t="shared" si="33"/>
        <v>20151124</v>
      </c>
    </row>
    <row r="100" spans="1:13" x14ac:dyDescent="0.25">
      <c r="A100" s="4">
        <v>2015</v>
      </c>
      <c r="B100" s="7">
        <v>42701</v>
      </c>
      <c r="C100" s="2">
        <v>100</v>
      </c>
      <c r="D100" s="3">
        <v>4</v>
      </c>
      <c r="E100" s="3">
        <v>41</v>
      </c>
      <c r="F100" s="3">
        <v>5</v>
      </c>
      <c r="G100" s="3">
        <v>23</v>
      </c>
      <c r="H100" s="3">
        <v>40</v>
      </c>
      <c r="I100" s="3">
        <v>25</v>
      </c>
      <c r="J100" s="4">
        <v>11</v>
      </c>
      <c r="K100" s="5">
        <v>1254</v>
      </c>
      <c r="L100" t="str">
        <f t="shared" si="32"/>
        <v>20151127100</v>
      </c>
      <c r="M100" t="str">
        <f t="shared" si="33"/>
        <v>20151127</v>
      </c>
    </row>
    <row r="101" spans="1:13" x14ac:dyDescent="0.25">
      <c r="A101" s="4">
        <v>2015</v>
      </c>
      <c r="B101" s="7">
        <v>42705</v>
      </c>
      <c r="C101" s="2">
        <v>101</v>
      </c>
      <c r="D101" s="3">
        <v>41</v>
      </c>
      <c r="E101" s="3">
        <v>37</v>
      </c>
      <c r="F101" s="3">
        <v>13</v>
      </c>
      <c r="G101" s="3">
        <v>6</v>
      </c>
      <c r="H101" s="3">
        <v>19</v>
      </c>
      <c r="I101" s="3">
        <v>15</v>
      </c>
      <c r="J101" s="4">
        <v>22</v>
      </c>
      <c r="K101" s="5">
        <v>1255</v>
      </c>
      <c r="L101" t="str">
        <f t="shared" si="32"/>
        <v>20151201101</v>
      </c>
      <c r="M101" t="str">
        <f t="shared" si="33"/>
        <v>20151201</v>
      </c>
    </row>
    <row r="102" spans="1:13" x14ac:dyDescent="0.25">
      <c r="A102" s="4">
        <v>2015</v>
      </c>
      <c r="B102" s="7">
        <v>42708</v>
      </c>
      <c r="C102" s="2">
        <v>102</v>
      </c>
      <c r="D102" s="3">
        <v>16</v>
      </c>
      <c r="E102" s="3">
        <v>21</v>
      </c>
      <c r="F102" s="3">
        <v>34</v>
      </c>
      <c r="G102" s="3">
        <v>47</v>
      </c>
      <c r="H102" s="3">
        <v>37</v>
      </c>
      <c r="I102" s="3">
        <v>41</v>
      </c>
      <c r="J102" s="4">
        <v>29</v>
      </c>
      <c r="K102" s="5">
        <v>1256</v>
      </c>
      <c r="L102" t="str">
        <f t="shared" si="32"/>
        <v>20151204102</v>
      </c>
      <c r="M102" t="str">
        <f t="shared" si="33"/>
        <v>20151204</v>
      </c>
    </row>
    <row r="103" spans="1:13" x14ac:dyDescent="0.25">
      <c r="A103" s="4">
        <v>2015</v>
      </c>
      <c r="B103" s="7">
        <v>42712</v>
      </c>
      <c r="C103" s="2">
        <v>103</v>
      </c>
      <c r="D103" s="3">
        <v>15</v>
      </c>
      <c r="E103" s="3">
        <v>8</v>
      </c>
      <c r="F103" s="3">
        <v>40</v>
      </c>
      <c r="G103" s="3">
        <v>43</v>
      </c>
      <c r="H103" s="3">
        <v>36</v>
      </c>
      <c r="I103" s="3">
        <v>32</v>
      </c>
      <c r="J103" s="4">
        <v>3</v>
      </c>
      <c r="K103" s="5">
        <v>1257</v>
      </c>
      <c r="L103" t="str">
        <f t="shared" si="32"/>
        <v>20151208103</v>
      </c>
      <c r="M103" t="str">
        <f t="shared" si="33"/>
        <v>20151208</v>
      </c>
    </row>
    <row r="104" spans="1:13" x14ac:dyDescent="0.25">
      <c r="A104" s="4">
        <v>2015</v>
      </c>
      <c r="B104" s="7">
        <v>42715</v>
      </c>
      <c r="C104" s="2">
        <v>104</v>
      </c>
      <c r="D104" s="3">
        <v>42</v>
      </c>
      <c r="E104" s="3">
        <v>25</v>
      </c>
      <c r="F104" s="3">
        <v>1</v>
      </c>
      <c r="G104" s="3">
        <v>43</v>
      </c>
      <c r="H104" s="3">
        <v>4</v>
      </c>
      <c r="I104" s="3">
        <v>29</v>
      </c>
      <c r="J104" s="4">
        <v>11</v>
      </c>
      <c r="K104" s="5">
        <v>1258</v>
      </c>
      <c r="L104" t="str">
        <f t="shared" si="32"/>
        <v>20151211104</v>
      </c>
      <c r="M104" t="str">
        <f t="shared" si="33"/>
        <v>20151211</v>
      </c>
    </row>
    <row r="105" spans="1:13" x14ac:dyDescent="0.25">
      <c r="A105" s="4">
        <v>2015</v>
      </c>
      <c r="B105" s="7">
        <v>42719</v>
      </c>
      <c r="C105" s="2">
        <v>105</v>
      </c>
      <c r="D105" s="3">
        <v>22</v>
      </c>
      <c r="E105" s="3">
        <v>18</v>
      </c>
      <c r="F105" s="3">
        <v>31</v>
      </c>
      <c r="G105" s="3">
        <v>23</v>
      </c>
      <c r="H105" s="3">
        <v>11</v>
      </c>
      <c r="I105" s="3">
        <v>4</v>
      </c>
      <c r="J105" s="4">
        <v>19</v>
      </c>
      <c r="K105" s="5">
        <v>1259</v>
      </c>
      <c r="L105" t="str">
        <f t="shared" si="32"/>
        <v>20151215105</v>
      </c>
      <c r="M105" t="str">
        <f t="shared" si="33"/>
        <v>20151215</v>
      </c>
    </row>
    <row r="106" spans="1:13" x14ac:dyDescent="0.25">
      <c r="A106" s="4">
        <v>2015</v>
      </c>
      <c r="B106" s="7">
        <v>42722</v>
      </c>
      <c r="C106" s="2">
        <v>106</v>
      </c>
      <c r="D106" s="3">
        <v>25</v>
      </c>
      <c r="E106" s="3">
        <v>18</v>
      </c>
      <c r="F106" s="3">
        <v>15</v>
      </c>
      <c r="G106" s="3">
        <v>6</v>
      </c>
      <c r="H106" s="3">
        <v>5</v>
      </c>
      <c r="I106" s="3">
        <v>11</v>
      </c>
      <c r="J106" s="4">
        <v>31</v>
      </c>
      <c r="K106" s="5">
        <v>1260</v>
      </c>
      <c r="L106" t="str">
        <f t="shared" si="32"/>
        <v>20151218106</v>
      </c>
      <c r="M106" t="str">
        <f t="shared" si="33"/>
        <v>20151218</v>
      </c>
    </row>
    <row r="107" spans="1:13" x14ac:dyDescent="0.25">
      <c r="A107" s="4">
        <v>2015</v>
      </c>
      <c r="B107" s="7">
        <v>42726</v>
      </c>
      <c r="C107" s="2">
        <v>107</v>
      </c>
      <c r="D107" s="3">
        <v>29</v>
      </c>
      <c r="E107" s="3">
        <v>49</v>
      </c>
      <c r="F107" s="3">
        <v>37</v>
      </c>
      <c r="G107" s="3">
        <v>12</v>
      </c>
      <c r="H107" s="3">
        <v>13</v>
      </c>
      <c r="I107" s="3">
        <v>8</v>
      </c>
      <c r="J107" s="4">
        <v>43</v>
      </c>
      <c r="K107" s="5">
        <v>1261</v>
      </c>
      <c r="L107" t="str">
        <f t="shared" si="32"/>
        <v>20151222107</v>
      </c>
      <c r="M107" t="str">
        <f t="shared" si="33"/>
        <v>20151222</v>
      </c>
    </row>
    <row r="108" spans="1:13" x14ac:dyDescent="0.25">
      <c r="A108" s="4">
        <v>2015</v>
      </c>
      <c r="B108" s="7">
        <v>42729</v>
      </c>
      <c r="C108" s="2">
        <v>108</v>
      </c>
      <c r="D108" s="3">
        <v>12</v>
      </c>
      <c r="E108" s="3">
        <v>7</v>
      </c>
      <c r="F108" s="3">
        <v>3</v>
      </c>
      <c r="G108" s="3">
        <v>16</v>
      </c>
      <c r="H108" s="3">
        <v>30</v>
      </c>
      <c r="I108" s="3">
        <v>11</v>
      </c>
      <c r="J108" s="4">
        <v>13</v>
      </c>
      <c r="K108" s="5">
        <v>1262</v>
      </c>
      <c r="L108" t="str">
        <f t="shared" si="32"/>
        <v>20151225108</v>
      </c>
      <c r="M108" t="str">
        <f t="shared" si="33"/>
        <v>20151225</v>
      </c>
    </row>
    <row r="109" spans="1:13" x14ac:dyDescent="0.25">
      <c r="A109" s="4">
        <v>2015</v>
      </c>
      <c r="B109" s="7">
        <v>42733</v>
      </c>
      <c r="C109" s="2">
        <v>109</v>
      </c>
      <c r="D109" s="3">
        <v>8</v>
      </c>
      <c r="E109" s="3">
        <v>30</v>
      </c>
      <c r="F109" s="3">
        <v>32</v>
      </c>
      <c r="G109" s="3">
        <v>42</v>
      </c>
      <c r="H109" s="3">
        <v>13</v>
      </c>
      <c r="I109" s="3">
        <v>1</v>
      </c>
      <c r="J109" s="4">
        <v>11</v>
      </c>
      <c r="K109" s="5">
        <v>1263</v>
      </c>
      <c r="L109" t="str">
        <f t="shared" si="32"/>
        <v>20151229109</v>
      </c>
      <c r="M109" t="str">
        <f t="shared" si="33"/>
        <v>20151229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108"/>
  <sheetViews>
    <sheetView topLeftCell="A91" zoomScale="88" zoomScaleNormal="88" workbookViewId="0">
      <selection activeCell="Y108" sqref="A108:Y108"/>
    </sheetView>
  </sheetViews>
  <sheetFormatPr defaultColWidth="6.125" defaultRowHeight="16.5" x14ac:dyDescent="0.25"/>
  <cols>
    <col min="1" max="1" width="6.25" bestFit="1" customWidth="1"/>
    <col min="2" max="2" width="8.875" bestFit="1" customWidth="1"/>
    <col min="3" max="3" width="5.125" bestFit="1" customWidth="1"/>
    <col min="4" max="10" width="4" bestFit="1" customWidth="1"/>
    <col min="11" max="11" width="6.25" bestFit="1" customWidth="1"/>
    <col min="12" max="12" width="12.75" bestFit="1" customWidth="1"/>
    <col min="13" max="13" width="9.5" bestFit="1" customWidth="1"/>
    <col min="15" max="15" width="6.25" style="13" bestFit="1" customWidth="1"/>
    <col min="16" max="16" width="8.875" style="13" bestFit="1" customWidth="1"/>
    <col min="17" max="17" width="5.125" style="13" bestFit="1" customWidth="1"/>
    <col min="18" max="18" width="4.5" style="13" bestFit="1" customWidth="1"/>
    <col min="19" max="20" width="4" style="13" bestFit="1" customWidth="1"/>
    <col min="21" max="24" width="4" bestFit="1" customWidth="1"/>
    <col min="25" max="25" width="6.25" bestFit="1" customWidth="1"/>
  </cols>
  <sheetData>
    <row r="1" spans="1:25" x14ac:dyDescent="0.25">
      <c r="A1" s="4">
        <v>2014</v>
      </c>
      <c r="B1" s="7">
        <v>41642</v>
      </c>
      <c r="C1" s="2">
        <v>1</v>
      </c>
      <c r="D1" s="3">
        <v>11</v>
      </c>
      <c r="E1" s="3">
        <v>35</v>
      </c>
      <c r="F1" s="3">
        <v>21</v>
      </c>
      <c r="G1" s="3">
        <v>18</v>
      </c>
      <c r="H1" s="3">
        <v>37</v>
      </c>
      <c r="I1" s="3">
        <v>20</v>
      </c>
      <c r="J1" s="4">
        <v>8</v>
      </c>
      <c r="K1" s="5">
        <v>1047</v>
      </c>
      <c r="L1" t="str">
        <f>CONCATENATE(TEXT(A1,"0000"),TEXT(B1,"mmdd"),TEXT(C1,"000"))</f>
        <v>20140103001</v>
      </c>
      <c r="M1" t="str">
        <f>CONCATENATE(TEXT(A1,"0000"),TEXT(B1,"mmdd"))</f>
        <v>20140103</v>
      </c>
      <c r="O1" s="4">
        <v>2014</v>
      </c>
      <c r="P1" s="7">
        <v>42007</v>
      </c>
      <c r="Q1" s="2">
        <v>1</v>
      </c>
      <c r="R1" s="3">
        <v>11</v>
      </c>
      <c r="S1" s="3">
        <v>18</v>
      </c>
      <c r="T1" s="3">
        <v>20</v>
      </c>
      <c r="U1" s="3">
        <v>21</v>
      </c>
      <c r="V1" s="3">
        <v>35</v>
      </c>
      <c r="W1" s="3">
        <v>37</v>
      </c>
      <c r="X1" s="4">
        <v>8</v>
      </c>
      <c r="Y1" s="5">
        <v>1047</v>
      </c>
    </row>
    <row r="2" spans="1:25" x14ac:dyDescent="0.25">
      <c r="A2" s="4">
        <v>2014</v>
      </c>
      <c r="B2" s="7">
        <v>41646</v>
      </c>
      <c r="C2" s="2">
        <v>2</v>
      </c>
      <c r="D2" s="3">
        <v>1</v>
      </c>
      <c r="E2" s="3">
        <v>7</v>
      </c>
      <c r="F2" s="3">
        <v>25</v>
      </c>
      <c r="G2" s="3">
        <v>36</v>
      </c>
      <c r="H2" s="3">
        <v>21</v>
      </c>
      <c r="I2" s="3">
        <v>35</v>
      </c>
      <c r="J2" s="4">
        <v>39</v>
      </c>
      <c r="K2" s="5">
        <v>1048</v>
      </c>
      <c r="L2" t="str">
        <f t="shared" ref="L2:L17" si="0">CONCATENATE(TEXT(A2,"0000"),TEXT(B2,"mmdd"),TEXT(C2,"000"))</f>
        <v>20140107002</v>
      </c>
      <c r="M2" t="str">
        <f t="shared" ref="M2:M17" si="1">CONCATENATE(TEXT(A2,"0000"),TEXT(B2,"mmdd"))</f>
        <v>20140107</v>
      </c>
      <c r="O2" s="4">
        <v>2014</v>
      </c>
      <c r="P2" s="7">
        <v>42011</v>
      </c>
      <c r="Q2" s="2">
        <v>2</v>
      </c>
      <c r="R2" s="3" t="s">
        <v>115</v>
      </c>
      <c r="S2" s="3">
        <v>7</v>
      </c>
      <c r="T2" s="3">
        <v>21</v>
      </c>
      <c r="U2" s="3">
        <v>25</v>
      </c>
      <c r="V2" s="3">
        <v>35</v>
      </c>
      <c r="W2" s="3">
        <v>36</v>
      </c>
      <c r="X2" s="4">
        <v>39</v>
      </c>
      <c r="Y2" s="5">
        <v>1048</v>
      </c>
    </row>
    <row r="3" spans="1:25" x14ac:dyDescent="0.25">
      <c r="A3" s="4">
        <v>2014</v>
      </c>
      <c r="B3" s="7">
        <v>41649</v>
      </c>
      <c r="C3" s="2">
        <v>3</v>
      </c>
      <c r="D3" s="3">
        <v>7</v>
      </c>
      <c r="E3" s="3">
        <v>19</v>
      </c>
      <c r="F3" s="3">
        <v>17</v>
      </c>
      <c r="G3" s="3">
        <v>30</v>
      </c>
      <c r="H3" s="3">
        <v>37</v>
      </c>
      <c r="I3" s="3">
        <v>32</v>
      </c>
      <c r="J3" s="4">
        <v>3</v>
      </c>
      <c r="K3" s="5">
        <v>1049</v>
      </c>
      <c r="L3" t="str">
        <f t="shared" si="0"/>
        <v>20140110003</v>
      </c>
      <c r="M3" t="str">
        <f t="shared" si="1"/>
        <v>20140110</v>
      </c>
      <c r="O3" s="4">
        <v>2014</v>
      </c>
      <c r="P3" s="7">
        <v>42014</v>
      </c>
      <c r="Q3" s="2">
        <v>3</v>
      </c>
      <c r="R3" s="3">
        <v>7</v>
      </c>
      <c r="S3" s="3">
        <v>17</v>
      </c>
      <c r="T3" s="3">
        <v>19</v>
      </c>
      <c r="U3" s="3">
        <v>30</v>
      </c>
      <c r="V3" s="3">
        <v>32</v>
      </c>
      <c r="W3" s="3">
        <v>37</v>
      </c>
      <c r="X3" s="4">
        <v>3</v>
      </c>
      <c r="Y3" s="5">
        <v>1049</v>
      </c>
    </row>
    <row r="4" spans="1:25" x14ac:dyDescent="0.25">
      <c r="A4" s="4">
        <v>2014</v>
      </c>
      <c r="B4" s="7">
        <v>41653</v>
      </c>
      <c r="C4" s="2">
        <v>4</v>
      </c>
      <c r="D4" s="3">
        <v>11</v>
      </c>
      <c r="E4" s="3">
        <v>49</v>
      </c>
      <c r="F4" s="3">
        <v>2</v>
      </c>
      <c r="G4" s="3">
        <v>45</v>
      </c>
      <c r="H4" s="3">
        <v>41</v>
      </c>
      <c r="I4" s="3">
        <v>21</v>
      </c>
      <c r="J4" s="4">
        <v>26</v>
      </c>
      <c r="K4" s="5">
        <v>1050</v>
      </c>
      <c r="L4" t="str">
        <f t="shared" si="0"/>
        <v>20140114004</v>
      </c>
      <c r="M4" t="str">
        <f t="shared" si="1"/>
        <v>20140114</v>
      </c>
      <c r="O4" s="4">
        <v>2014</v>
      </c>
      <c r="P4" s="7">
        <v>42018</v>
      </c>
      <c r="Q4" s="2">
        <v>4</v>
      </c>
      <c r="R4" s="3">
        <v>2</v>
      </c>
      <c r="S4" s="3">
        <v>11</v>
      </c>
      <c r="T4" s="3">
        <v>21</v>
      </c>
      <c r="U4" s="3">
        <v>41</v>
      </c>
      <c r="V4" s="3">
        <v>45</v>
      </c>
      <c r="W4" s="3">
        <v>49</v>
      </c>
      <c r="X4" s="4">
        <v>26</v>
      </c>
      <c r="Y4" s="5">
        <v>1050</v>
      </c>
    </row>
    <row r="5" spans="1:25" x14ac:dyDescent="0.25">
      <c r="A5" s="4">
        <v>2014</v>
      </c>
      <c r="B5" s="7">
        <v>41656</v>
      </c>
      <c r="C5" s="2">
        <v>5</v>
      </c>
      <c r="D5" s="3">
        <v>20</v>
      </c>
      <c r="E5" s="3">
        <v>29</v>
      </c>
      <c r="F5" s="3">
        <v>13</v>
      </c>
      <c r="G5" s="3">
        <v>15</v>
      </c>
      <c r="H5" s="3">
        <v>26</v>
      </c>
      <c r="I5" s="3">
        <v>36</v>
      </c>
      <c r="J5" s="4">
        <v>37</v>
      </c>
      <c r="K5" s="5">
        <v>1051</v>
      </c>
      <c r="L5" t="str">
        <f t="shared" si="0"/>
        <v>20140117005</v>
      </c>
      <c r="M5" t="str">
        <f t="shared" si="1"/>
        <v>20140117</v>
      </c>
      <c r="O5" s="4">
        <v>2014</v>
      </c>
      <c r="P5" s="7">
        <v>42021</v>
      </c>
      <c r="Q5" s="2">
        <v>5</v>
      </c>
      <c r="R5" s="3">
        <v>13</v>
      </c>
      <c r="S5" s="3">
        <v>15</v>
      </c>
      <c r="T5" s="3">
        <v>20</v>
      </c>
      <c r="U5" s="3">
        <v>26</v>
      </c>
      <c r="V5" s="3">
        <v>29</v>
      </c>
      <c r="W5" s="3">
        <v>36</v>
      </c>
      <c r="X5" s="4">
        <v>37</v>
      </c>
      <c r="Y5" s="5">
        <v>1051</v>
      </c>
    </row>
    <row r="6" spans="1:25" x14ac:dyDescent="0.25">
      <c r="A6" s="4">
        <v>2014</v>
      </c>
      <c r="B6" s="7">
        <v>41660</v>
      </c>
      <c r="C6" s="2">
        <v>6</v>
      </c>
      <c r="D6" s="3">
        <v>22</v>
      </c>
      <c r="E6" s="3">
        <v>43</v>
      </c>
      <c r="F6" s="3">
        <v>12</v>
      </c>
      <c r="G6" s="3">
        <v>44</v>
      </c>
      <c r="H6" s="3">
        <v>38</v>
      </c>
      <c r="I6" s="3">
        <v>15</v>
      </c>
      <c r="J6" s="4">
        <v>9</v>
      </c>
      <c r="K6" s="5">
        <v>1052</v>
      </c>
      <c r="L6" t="str">
        <f t="shared" si="0"/>
        <v>20140121006</v>
      </c>
      <c r="M6" t="str">
        <f t="shared" si="1"/>
        <v>20140121</v>
      </c>
      <c r="O6" s="4">
        <v>2014</v>
      </c>
      <c r="P6" s="7">
        <v>42025</v>
      </c>
      <c r="Q6" s="2">
        <v>6</v>
      </c>
      <c r="R6" s="3">
        <v>12</v>
      </c>
      <c r="S6" s="3">
        <v>15</v>
      </c>
      <c r="T6" s="3">
        <v>22</v>
      </c>
      <c r="U6" s="3">
        <v>38</v>
      </c>
      <c r="V6" s="3">
        <v>43</v>
      </c>
      <c r="W6" s="3">
        <v>44</v>
      </c>
      <c r="X6" s="4">
        <v>9</v>
      </c>
      <c r="Y6" s="5">
        <v>1052</v>
      </c>
    </row>
    <row r="7" spans="1:25" x14ac:dyDescent="0.25">
      <c r="A7" s="4">
        <v>2014</v>
      </c>
      <c r="B7" s="7">
        <v>41663</v>
      </c>
      <c r="C7" s="2">
        <v>7</v>
      </c>
      <c r="D7" s="3">
        <v>4</v>
      </c>
      <c r="E7" s="3">
        <v>20</v>
      </c>
      <c r="F7" s="3">
        <v>29</v>
      </c>
      <c r="G7" s="3">
        <v>41</v>
      </c>
      <c r="H7" s="3">
        <v>45</v>
      </c>
      <c r="I7" s="3">
        <v>1</v>
      </c>
      <c r="J7" s="4">
        <v>36</v>
      </c>
      <c r="K7" s="5">
        <v>1053</v>
      </c>
      <c r="L7" t="str">
        <f t="shared" si="0"/>
        <v>20140124007</v>
      </c>
      <c r="M7" t="str">
        <f t="shared" si="1"/>
        <v>20140124</v>
      </c>
      <c r="O7" s="4">
        <v>2014</v>
      </c>
      <c r="P7" s="7">
        <v>42028</v>
      </c>
      <c r="Q7" s="2">
        <v>7</v>
      </c>
      <c r="R7" s="3">
        <v>1</v>
      </c>
      <c r="S7" s="3">
        <v>4</v>
      </c>
      <c r="T7" s="3">
        <v>20</v>
      </c>
      <c r="U7" s="3">
        <v>29</v>
      </c>
      <c r="V7" s="3">
        <v>41</v>
      </c>
      <c r="W7" s="3">
        <v>45</v>
      </c>
      <c r="X7" s="4">
        <v>36</v>
      </c>
      <c r="Y7" s="5">
        <v>1053</v>
      </c>
    </row>
    <row r="8" spans="1:25" x14ac:dyDescent="0.25">
      <c r="A8" s="4">
        <v>2014</v>
      </c>
      <c r="B8" s="7">
        <v>41667</v>
      </c>
      <c r="C8" s="2">
        <v>8</v>
      </c>
      <c r="D8" s="3">
        <v>2</v>
      </c>
      <c r="E8" s="3">
        <v>30</v>
      </c>
      <c r="F8" s="3">
        <v>7</v>
      </c>
      <c r="G8" s="3">
        <v>26</v>
      </c>
      <c r="H8" s="3">
        <v>5</v>
      </c>
      <c r="I8" s="3">
        <v>1</v>
      </c>
      <c r="J8" s="4">
        <v>24</v>
      </c>
      <c r="K8" s="5">
        <v>1054</v>
      </c>
      <c r="L8" t="str">
        <f t="shared" si="0"/>
        <v>20140128008</v>
      </c>
      <c r="M8" t="str">
        <f t="shared" si="1"/>
        <v>20140128</v>
      </c>
      <c r="O8" s="4">
        <v>2014</v>
      </c>
      <c r="P8" s="7">
        <v>42032</v>
      </c>
      <c r="Q8" s="2">
        <v>8</v>
      </c>
      <c r="R8" s="3">
        <v>1</v>
      </c>
      <c r="S8" s="3">
        <v>2</v>
      </c>
      <c r="T8" s="3">
        <v>5</v>
      </c>
      <c r="U8" s="3">
        <v>7</v>
      </c>
      <c r="V8" s="3">
        <v>26</v>
      </c>
      <c r="W8" s="3">
        <v>30</v>
      </c>
      <c r="X8" s="4">
        <v>24</v>
      </c>
      <c r="Y8" s="5">
        <v>1054</v>
      </c>
    </row>
    <row r="9" spans="1:25" x14ac:dyDescent="0.25">
      <c r="A9" s="4">
        <v>2014</v>
      </c>
      <c r="B9" s="7">
        <v>41669</v>
      </c>
      <c r="C9" s="2">
        <v>9</v>
      </c>
      <c r="D9" s="8">
        <v>9</v>
      </c>
      <c r="E9" s="8">
        <v>22</v>
      </c>
      <c r="F9" s="8">
        <v>49</v>
      </c>
      <c r="G9" s="8">
        <v>48</v>
      </c>
      <c r="H9" s="8">
        <v>45</v>
      </c>
      <c r="I9" s="8">
        <v>44</v>
      </c>
      <c r="J9" s="9">
        <v>8</v>
      </c>
      <c r="K9" s="5">
        <v>1055</v>
      </c>
      <c r="L9" t="str">
        <f t="shared" si="0"/>
        <v>20140130009</v>
      </c>
      <c r="M9" t="str">
        <f t="shared" si="1"/>
        <v>20140130</v>
      </c>
      <c r="O9" s="4">
        <v>2014</v>
      </c>
      <c r="P9" s="7">
        <v>42034</v>
      </c>
      <c r="Q9" s="2">
        <v>9</v>
      </c>
      <c r="R9" s="8">
        <v>9</v>
      </c>
      <c r="S9" s="8">
        <v>22</v>
      </c>
      <c r="T9" s="8">
        <v>44</v>
      </c>
      <c r="U9" s="8">
        <v>45</v>
      </c>
      <c r="V9" s="8">
        <v>48</v>
      </c>
      <c r="W9" s="8">
        <v>49</v>
      </c>
      <c r="X9" s="9">
        <v>8</v>
      </c>
      <c r="Y9" s="5">
        <v>1055</v>
      </c>
    </row>
    <row r="10" spans="1:25" x14ac:dyDescent="0.25">
      <c r="A10" s="4">
        <v>2014</v>
      </c>
      <c r="B10" s="7">
        <v>41670</v>
      </c>
      <c r="C10" s="2">
        <v>10</v>
      </c>
      <c r="D10" s="3">
        <v>38</v>
      </c>
      <c r="E10" s="3">
        <v>17</v>
      </c>
      <c r="F10" s="3">
        <v>23</v>
      </c>
      <c r="G10" s="3">
        <v>49</v>
      </c>
      <c r="H10" s="3">
        <v>48</v>
      </c>
      <c r="I10" s="3">
        <v>27</v>
      </c>
      <c r="J10" s="4">
        <v>19</v>
      </c>
      <c r="K10" s="5">
        <v>1056</v>
      </c>
      <c r="L10" t="str">
        <f t="shared" si="0"/>
        <v>20140131010</v>
      </c>
      <c r="M10" t="str">
        <f t="shared" si="1"/>
        <v>20140131</v>
      </c>
      <c r="O10" s="4">
        <v>2014</v>
      </c>
      <c r="P10" s="7">
        <v>42035</v>
      </c>
      <c r="Q10" s="2">
        <v>10</v>
      </c>
      <c r="R10" s="3">
        <v>17</v>
      </c>
      <c r="S10" s="3">
        <v>23</v>
      </c>
      <c r="T10" s="3">
        <v>27</v>
      </c>
      <c r="U10" s="3">
        <v>38</v>
      </c>
      <c r="V10" s="3">
        <v>48</v>
      </c>
      <c r="W10" s="3">
        <v>49</v>
      </c>
      <c r="X10" s="4">
        <v>19</v>
      </c>
      <c r="Y10" s="5">
        <v>1056</v>
      </c>
    </row>
    <row r="11" spans="1:25" x14ac:dyDescent="0.25">
      <c r="A11" s="4">
        <v>2014</v>
      </c>
      <c r="B11" s="7">
        <v>41671</v>
      </c>
      <c r="C11" s="2">
        <v>11</v>
      </c>
      <c r="D11" s="8">
        <v>36</v>
      </c>
      <c r="E11" s="8">
        <v>37</v>
      </c>
      <c r="F11" s="8">
        <v>13</v>
      </c>
      <c r="G11" s="8">
        <v>19</v>
      </c>
      <c r="H11" s="8">
        <v>9</v>
      </c>
      <c r="I11" s="8">
        <v>6</v>
      </c>
      <c r="J11" s="9">
        <v>27</v>
      </c>
      <c r="K11" s="5">
        <v>1057</v>
      </c>
      <c r="L11" t="str">
        <f t="shared" si="0"/>
        <v>20140201011</v>
      </c>
      <c r="M11" t="str">
        <f t="shared" si="1"/>
        <v>20140201</v>
      </c>
      <c r="O11" s="4">
        <v>2014</v>
      </c>
      <c r="P11" s="7">
        <v>42036</v>
      </c>
      <c r="Q11" s="2">
        <v>11</v>
      </c>
      <c r="R11" s="8">
        <v>6</v>
      </c>
      <c r="S11" s="8">
        <v>9</v>
      </c>
      <c r="T11" s="8">
        <v>13</v>
      </c>
      <c r="U11" s="8">
        <v>19</v>
      </c>
      <c r="V11" s="8">
        <v>36</v>
      </c>
      <c r="W11" s="8">
        <v>37</v>
      </c>
      <c r="X11" s="9">
        <v>27</v>
      </c>
      <c r="Y11" s="5">
        <v>1057</v>
      </c>
    </row>
    <row r="12" spans="1:25" x14ac:dyDescent="0.25">
      <c r="A12" s="4">
        <v>2014</v>
      </c>
      <c r="B12" s="7">
        <v>41672</v>
      </c>
      <c r="C12" s="2">
        <v>12</v>
      </c>
      <c r="D12" s="8">
        <v>14</v>
      </c>
      <c r="E12" s="8">
        <v>45</v>
      </c>
      <c r="F12" s="8">
        <v>3</v>
      </c>
      <c r="G12" s="8">
        <v>24</v>
      </c>
      <c r="H12" s="8">
        <v>19</v>
      </c>
      <c r="I12" s="8">
        <v>13</v>
      </c>
      <c r="J12" s="9">
        <v>5</v>
      </c>
      <c r="K12" s="5">
        <v>1058</v>
      </c>
      <c r="L12" t="str">
        <f t="shared" si="0"/>
        <v>20140202012</v>
      </c>
      <c r="M12" t="str">
        <f t="shared" si="1"/>
        <v>20140202</v>
      </c>
      <c r="O12" s="4">
        <v>2014</v>
      </c>
      <c r="P12" s="7">
        <v>42037</v>
      </c>
      <c r="Q12" s="2">
        <v>12</v>
      </c>
      <c r="R12" s="8">
        <v>3</v>
      </c>
      <c r="S12" s="8">
        <v>13</v>
      </c>
      <c r="T12" s="8">
        <v>14</v>
      </c>
      <c r="U12" s="8">
        <v>19</v>
      </c>
      <c r="V12" s="8">
        <v>24</v>
      </c>
      <c r="W12" s="8">
        <v>45</v>
      </c>
      <c r="X12" s="9">
        <v>5</v>
      </c>
      <c r="Y12" s="5">
        <v>1058</v>
      </c>
    </row>
    <row r="13" spans="1:25" x14ac:dyDescent="0.25">
      <c r="A13" s="4">
        <v>2014</v>
      </c>
      <c r="B13" s="7">
        <v>41673</v>
      </c>
      <c r="C13" s="2">
        <v>13</v>
      </c>
      <c r="D13" s="8">
        <v>2</v>
      </c>
      <c r="E13" s="8">
        <v>16</v>
      </c>
      <c r="F13" s="8">
        <v>27</v>
      </c>
      <c r="G13" s="8">
        <v>30</v>
      </c>
      <c r="H13" s="8">
        <v>17</v>
      </c>
      <c r="I13" s="8">
        <v>1</v>
      </c>
      <c r="J13" s="9">
        <v>48</v>
      </c>
      <c r="K13" s="5">
        <v>1059</v>
      </c>
      <c r="L13" t="str">
        <f t="shared" si="0"/>
        <v>20140203013</v>
      </c>
      <c r="M13" t="str">
        <f t="shared" si="1"/>
        <v>20140203</v>
      </c>
      <c r="O13" s="4">
        <v>2014</v>
      </c>
      <c r="P13" s="7">
        <v>42038</v>
      </c>
      <c r="Q13" s="2">
        <v>13</v>
      </c>
      <c r="R13" s="8">
        <v>1</v>
      </c>
      <c r="S13" s="8">
        <v>2</v>
      </c>
      <c r="T13" s="8">
        <v>16</v>
      </c>
      <c r="U13" s="8">
        <v>17</v>
      </c>
      <c r="V13" s="8">
        <v>27</v>
      </c>
      <c r="W13" s="8">
        <v>30</v>
      </c>
      <c r="X13" s="9">
        <v>48</v>
      </c>
      <c r="Y13" s="5">
        <v>1059</v>
      </c>
    </row>
    <row r="14" spans="1:25" x14ac:dyDescent="0.25">
      <c r="A14" s="4">
        <v>2014</v>
      </c>
      <c r="B14" s="7">
        <v>41674</v>
      </c>
      <c r="C14" s="2">
        <v>14</v>
      </c>
      <c r="D14" s="3">
        <v>19</v>
      </c>
      <c r="E14" s="3">
        <v>46</v>
      </c>
      <c r="F14" s="3">
        <v>32</v>
      </c>
      <c r="G14" s="3">
        <v>12</v>
      </c>
      <c r="H14" s="3">
        <v>42</v>
      </c>
      <c r="I14" s="3">
        <v>8</v>
      </c>
      <c r="J14" s="4">
        <v>28</v>
      </c>
      <c r="K14" s="5">
        <v>1060</v>
      </c>
      <c r="L14" t="str">
        <f t="shared" si="0"/>
        <v>20140204014</v>
      </c>
      <c r="M14" t="str">
        <f t="shared" si="1"/>
        <v>20140204</v>
      </c>
      <c r="O14" s="4">
        <v>2014</v>
      </c>
      <c r="P14" s="7">
        <v>42039</v>
      </c>
      <c r="Q14" s="2">
        <v>14</v>
      </c>
      <c r="R14" s="3">
        <v>8</v>
      </c>
      <c r="S14" s="3">
        <v>12</v>
      </c>
      <c r="T14" s="3">
        <v>19</v>
      </c>
      <c r="U14" s="3">
        <v>32</v>
      </c>
      <c r="V14" s="3">
        <v>42</v>
      </c>
      <c r="W14" s="3">
        <v>46</v>
      </c>
      <c r="X14" s="4">
        <v>28</v>
      </c>
      <c r="Y14" s="5">
        <v>1060</v>
      </c>
    </row>
    <row r="15" spans="1:25" x14ac:dyDescent="0.25">
      <c r="A15" s="4">
        <v>2014</v>
      </c>
      <c r="B15" s="7">
        <v>41677</v>
      </c>
      <c r="C15" s="2">
        <v>15</v>
      </c>
      <c r="D15" s="3">
        <v>22</v>
      </c>
      <c r="E15" s="3">
        <v>5</v>
      </c>
      <c r="F15" s="3">
        <v>28</v>
      </c>
      <c r="G15" s="3">
        <v>11</v>
      </c>
      <c r="H15" s="3">
        <v>21</v>
      </c>
      <c r="I15" s="3">
        <v>12</v>
      </c>
      <c r="J15" s="4">
        <v>25</v>
      </c>
      <c r="K15" s="5">
        <v>1061</v>
      </c>
      <c r="L15" t="str">
        <f t="shared" si="0"/>
        <v>20140207015</v>
      </c>
      <c r="M15" t="str">
        <f t="shared" si="1"/>
        <v>20140207</v>
      </c>
      <c r="O15" s="4">
        <v>2014</v>
      </c>
      <c r="P15" s="7">
        <v>42042</v>
      </c>
      <c r="Q15" s="2">
        <v>15</v>
      </c>
      <c r="R15" s="3">
        <v>5</v>
      </c>
      <c r="S15" s="3">
        <v>11</v>
      </c>
      <c r="T15" s="3">
        <v>12</v>
      </c>
      <c r="U15" s="3">
        <v>21</v>
      </c>
      <c r="V15" s="3">
        <v>22</v>
      </c>
      <c r="W15" s="3">
        <v>28</v>
      </c>
      <c r="X15" s="4">
        <v>25</v>
      </c>
      <c r="Y15" s="5">
        <v>1061</v>
      </c>
    </row>
    <row r="16" spans="1:25" x14ac:dyDescent="0.25">
      <c r="A16" s="4">
        <v>2014</v>
      </c>
      <c r="B16" s="7">
        <v>41681</v>
      </c>
      <c r="C16" s="2">
        <v>16</v>
      </c>
      <c r="D16" s="3">
        <v>15</v>
      </c>
      <c r="E16" s="3">
        <v>31</v>
      </c>
      <c r="F16" s="3">
        <v>21</v>
      </c>
      <c r="G16" s="3">
        <v>6</v>
      </c>
      <c r="H16" s="3">
        <v>44</v>
      </c>
      <c r="I16" s="3">
        <v>22</v>
      </c>
      <c r="J16" s="4">
        <v>41</v>
      </c>
      <c r="K16" s="5">
        <v>1062</v>
      </c>
      <c r="L16" t="str">
        <f t="shared" si="0"/>
        <v>20140211016</v>
      </c>
      <c r="M16" t="str">
        <f t="shared" si="1"/>
        <v>20140211</v>
      </c>
      <c r="O16" s="4">
        <v>2014</v>
      </c>
      <c r="P16" s="7">
        <v>42046</v>
      </c>
      <c r="Q16" s="2">
        <v>16</v>
      </c>
      <c r="R16" s="3">
        <v>6</v>
      </c>
      <c r="S16" s="3">
        <v>15</v>
      </c>
      <c r="T16" s="3">
        <v>21</v>
      </c>
      <c r="U16" s="3">
        <v>22</v>
      </c>
      <c r="V16" s="3">
        <v>31</v>
      </c>
      <c r="W16" s="3">
        <v>44</v>
      </c>
      <c r="X16" s="4">
        <v>41</v>
      </c>
      <c r="Y16" s="5">
        <v>1062</v>
      </c>
    </row>
    <row r="17" spans="1:25" x14ac:dyDescent="0.25">
      <c r="A17" s="4">
        <v>2014</v>
      </c>
      <c r="B17" s="7">
        <v>41684</v>
      </c>
      <c r="C17" s="2">
        <v>17</v>
      </c>
      <c r="D17" s="3">
        <v>24</v>
      </c>
      <c r="E17" s="3">
        <v>10</v>
      </c>
      <c r="F17" s="3">
        <v>48</v>
      </c>
      <c r="G17" s="3">
        <v>33</v>
      </c>
      <c r="H17" s="3">
        <v>20</v>
      </c>
      <c r="I17" s="3">
        <v>19</v>
      </c>
      <c r="J17" s="4">
        <v>1</v>
      </c>
      <c r="K17" s="5">
        <v>1063</v>
      </c>
      <c r="L17" t="str">
        <f t="shared" si="0"/>
        <v>20140214017</v>
      </c>
      <c r="M17" t="str">
        <f t="shared" si="1"/>
        <v>20140214</v>
      </c>
      <c r="O17" s="4">
        <v>2014</v>
      </c>
      <c r="P17" s="7">
        <v>42049</v>
      </c>
      <c r="Q17" s="2">
        <v>17</v>
      </c>
      <c r="R17" s="3">
        <v>10</v>
      </c>
      <c r="S17" s="3">
        <v>19</v>
      </c>
      <c r="T17" s="3">
        <v>20</v>
      </c>
      <c r="U17" s="3">
        <v>24</v>
      </c>
      <c r="V17" s="3">
        <v>33</v>
      </c>
      <c r="W17" s="3">
        <v>48</v>
      </c>
      <c r="X17" s="4">
        <v>1</v>
      </c>
      <c r="Y17" s="5">
        <v>1063</v>
      </c>
    </row>
    <row r="18" spans="1:25" x14ac:dyDescent="0.25">
      <c r="A18" s="4">
        <v>2014</v>
      </c>
      <c r="B18" s="7">
        <v>41688</v>
      </c>
      <c r="C18" s="2">
        <v>18</v>
      </c>
      <c r="D18" s="3">
        <v>47</v>
      </c>
      <c r="E18" s="3">
        <v>19</v>
      </c>
      <c r="F18" s="3">
        <v>6</v>
      </c>
      <c r="G18" s="3">
        <v>26</v>
      </c>
      <c r="H18" s="3">
        <v>32</v>
      </c>
      <c r="I18" s="3">
        <v>20</v>
      </c>
      <c r="J18" s="4">
        <v>35</v>
      </c>
      <c r="K18" s="5">
        <v>1064</v>
      </c>
      <c r="L18" t="str">
        <f t="shared" ref="L18:L35" si="2">CONCATENATE(TEXT(A18,"0000"),TEXT(B18,"mmdd"),TEXT(C18,"000"))</f>
        <v>20140218018</v>
      </c>
      <c r="M18" t="str">
        <f t="shared" ref="M18:M35" si="3">CONCATENATE(TEXT(A18,"0000"),TEXT(B18,"mmdd"))</f>
        <v>20140218</v>
      </c>
      <c r="O18" s="4">
        <v>2014</v>
      </c>
      <c r="P18" s="7">
        <v>42053</v>
      </c>
      <c r="Q18" s="2">
        <v>18</v>
      </c>
      <c r="R18" s="3">
        <v>6</v>
      </c>
      <c r="S18" s="3">
        <v>19</v>
      </c>
      <c r="T18" s="3">
        <v>20</v>
      </c>
      <c r="U18" s="3">
        <v>26</v>
      </c>
      <c r="V18" s="3">
        <v>32</v>
      </c>
      <c r="W18" s="3">
        <v>47</v>
      </c>
      <c r="X18" s="4">
        <v>35</v>
      </c>
      <c r="Y18" s="5">
        <v>1064</v>
      </c>
    </row>
    <row r="19" spans="1:25" x14ac:dyDescent="0.25">
      <c r="A19" s="4">
        <v>2014</v>
      </c>
      <c r="B19" s="7">
        <v>41691</v>
      </c>
      <c r="C19" s="2">
        <v>19</v>
      </c>
      <c r="D19" s="3">
        <v>11</v>
      </c>
      <c r="E19" s="3">
        <v>12</v>
      </c>
      <c r="F19" s="3">
        <v>23</v>
      </c>
      <c r="G19" s="3">
        <v>40</v>
      </c>
      <c r="H19" s="3">
        <v>28</v>
      </c>
      <c r="I19" s="3">
        <v>48</v>
      </c>
      <c r="J19" s="4">
        <v>9</v>
      </c>
      <c r="K19" s="5">
        <v>1065</v>
      </c>
      <c r="L19" t="str">
        <f t="shared" si="2"/>
        <v>20140221019</v>
      </c>
      <c r="M19" t="str">
        <f t="shared" si="3"/>
        <v>20140221</v>
      </c>
      <c r="O19" s="4">
        <v>2014</v>
      </c>
      <c r="P19" s="7">
        <v>42056</v>
      </c>
      <c r="Q19" s="2">
        <v>19</v>
      </c>
      <c r="R19" s="3">
        <v>11</v>
      </c>
      <c r="S19" s="3">
        <v>12</v>
      </c>
      <c r="T19" s="3">
        <v>23</v>
      </c>
      <c r="U19" s="3">
        <v>28</v>
      </c>
      <c r="V19" s="3">
        <v>40</v>
      </c>
      <c r="W19" s="3">
        <v>48</v>
      </c>
      <c r="X19" s="4">
        <v>9</v>
      </c>
      <c r="Y19" s="5">
        <v>1065</v>
      </c>
    </row>
    <row r="20" spans="1:25" x14ac:dyDescent="0.25">
      <c r="A20" s="4">
        <v>2014</v>
      </c>
      <c r="B20" s="7">
        <v>41695</v>
      </c>
      <c r="C20" s="2">
        <v>20</v>
      </c>
      <c r="D20" s="3">
        <v>13</v>
      </c>
      <c r="E20" s="3">
        <v>9</v>
      </c>
      <c r="F20" s="3">
        <v>5</v>
      </c>
      <c r="G20" s="3">
        <v>3</v>
      </c>
      <c r="H20" s="3">
        <v>46</v>
      </c>
      <c r="I20" s="3">
        <v>12</v>
      </c>
      <c r="J20" s="4">
        <v>4</v>
      </c>
      <c r="K20" s="5">
        <v>1066</v>
      </c>
      <c r="L20" t="str">
        <f t="shared" si="2"/>
        <v>20140225020</v>
      </c>
      <c r="M20" t="str">
        <f t="shared" si="3"/>
        <v>20140225</v>
      </c>
      <c r="O20" s="4">
        <v>2014</v>
      </c>
      <c r="P20" s="7">
        <v>42060</v>
      </c>
      <c r="Q20" s="2">
        <v>20</v>
      </c>
      <c r="R20" s="3">
        <v>3</v>
      </c>
      <c r="S20" s="3">
        <v>5</v>
      </c>
      <c r="T20" s="3">
        <v>9</v>
      </c>
      <c r="U20" s="3">
        <v>12</v>
      </c>
      <c r="V20" s="3">
        <v>13</v>
      </c>
      <c r="W20" s="3">
        <v>46</v>
      </c>
      <c r="X20" s="4">
        <v>4</v>
      </c>
      <c r="Y20" s="5">
        <v>1066</v>
      </c>
    </row>
    <row r="21" spans="1:25" x14ac:dyDescent="0.25">
      <c r="A21" s="4">
        <v>2014</v>
      </c>
      <c r="B21" s="7">
        <v>41698</v>
      </c>
      <c r="C21" s="2">
        <v>21</v>
      </c>
      <c r="D21" s="3">
        <v>17</v>
      </c>
      <c r="E21" s="3">
        <v>24</v>
      </c>
      <c r="F21" s="3">
        <v>13</v>
      </c>
      <c r="G21" s="3">
        <v>18</v>
      </c>
      <c r="H21" s="3">
        <v>32</v>
      </c>
      <c r="I21" s="3">
        <v>28</v>
      </c>
      <c r="J21" s="4">
        <v>37</v>
      </c>
      <c r="K21" s="5">
        <v>1067</v>
      </c>
      <c r="L21" t="str">
        <f t="shared" si="2"/>
        <v>20140228021</v>
      </c>
      <c r="M21" t="str">
        <f t="shared" si="3"/>
        <v>20140228</v>
      </c>
      <c r="O21" s="4">
        <v>2014</v>
      </c>
      <c r="P21" s="7">
        <v>42063</v>
      </c>
      <c r="Q21" s="2">
        <v>21</v>
      </c>
      <c r="R21" s="3">
        <v>13</v>
      </c>
      <c r="S21" s="3">
        <v>17</v>
      </c>
      <c r="T21" s="3">
        <v>18</v>
      </c>
      <c r="U21" s="3">
        <v>24</v>
      </c>
      <c r="V21" s="3">
        <v>28</v>
      </c>
      <c r="W21" s="3">
        <v>32</v>
      </c>
      <c r="X21" s="4">
        <v>37</v>
      </c>
      <c r="Y21" s="5">
        <v>1067</v>
      </c>
    </row>
    <row r="22" spans="1:25" x14ac:dyDescent="0.25">
      <c r="A22" s="4">
        <v>2014</v>
      </c>
      <c r="B22" s="7">
        <v>41702</v>
      </c>
      <c r="C22" s="2">
        <v>22</v>
      </c>
      <c r="D22" s="3">
        <v>43</v>
      </c>
      <c r="E22" s="3">
        <v>8</v>
      </c>
      <c r="F22" s="3">
        <v>40</v>
      </c>
      <c r="G22" s="3">
        <v>35</v>
      </c>
      <c r="H22" s="3">
        <v>37</v>
      </c>
      <c r="I22" s="3">
        <v>26</v>
      </c>
      <c r="J22" s="4">
        <v>6</v>
      </c>
      <c r="K22" s="5">
        <v>1068</v>
      </c>
      <c r="L22" t="str">
        <f t="shared" si="2"/>
        <v>20140304022</v>
      </c>
      <c r="M22" t="str">
        <f t="shared" si="3"/>
        <v>20140304</v>
      </c>
      <c r="O22" s="4">
        <v>2014</v>
      </c>
      <c r="P22" s="7">
        <v>42067</v>
      </c>
      <c r="Q22" s="2">
        <v>22</v>
      </c>
      <c r="R22" s="3">
        <v>8</v>
      </c>
      <c r="S22" s="3">
        <v>26</v>
      </c>
      <c r="T22" s="3">
        <v>35</v>
      </c>
      <c r="U22" s="3">
        <v>37</v>
      </c>
      <c r="V22" s="3">
        <v>40</v>
      </c>
      <c r="W22" s="3">
        <v>43</v>
      </c>
      <c r="X22" s="4">
        <v>6</v>
      </c>
      <c r="Y22" s="5">
        <v>1068</v>
      </c>
    </row>
    <row r="23" spans="1:25" x14ac:dyDescent="0.25">
      <c r="A23" s="4">
        <v>2014</v>
      </c>
      <c r="B23" s="7">
        <v>41705</v>
      </c>
      <c r="C23" s="2">
        <v>23</v>
      </c>
      <c r="D23" s="3">
        <v>38</v>
      </c>
      <c r="E23" s="3">
        <v>26</v>
      </c>
      <c r="F23" s="3">
        <v>6</v>
      </c>
      <c r="G23" s="3">
        <v>37</v>
      </c>
      <c r="H23" s="3">
        <v>18</v>
      </c>
      <c r="I23" s="3">
        <v>30</v>
      </c>
      <c r="J23" s="4">
        <v>16</v>
      </c>
      <c r="K23" s="5">
        <v>1069</v>
      </c>
      <c r="L23" t="str">
        <f t="shared" si="2"/>
        <v>20140307023</v>
      </c>
      <c r="M23" t="str">
        <f t="shared" si="3"/>
        <v>20140307</v>
      </c>
      <c r="O23" s="4">
        <v>2014</v>
      </c>
      <c r="P23" s="7">
        <v>42070</v>
      </c>
      <c r="Q23" s="2">
        <v>23</v>
      </c>
      <c r="R23" s="3">
        <v>6</v>
      </c>
      <c r="S23" s="3">
        <v>18</v>
      </c>
      <c r="T23" s="3">
        <v>26</v>
      </c>
      <c r="U23" s="3">
        <v>30</v>
      </c>
      <c r="V23" s="3">
        <v>37</v>
      </c>
      <c r="W23" s="3">
        <v>38</v>
      </c>
      <c r="X23" s="4">
        <v>16</v>
      </c>
      <c r="Y23" s="5">
        <v>1069</v>
      </c>
    </row>
    <row r="24" spans="1:25" x14ac:dyDescent="0.25">
      <c r="A24" s="4">
        <v>2014</v>
      </c>
      <c r="B24" s="7">
        <v>41709</v>
      </c>
      <c r="C24" s="2">
        <v>24</v>
      </c>
      <c r="D24" s="3">
        <v>40</v>
      </c>
      <c r="E24" s="3">
        <v>20</v>
      </c>
      <c r="F24" s="3">
        <v>15</v>
      </c>
      <c r="G24" s="3">
        <v>16</v>
      </c>
      <c r="H24" s="3">
        <v>13</v>
      </c>
      <c r="I24" s="3">
        <v>43</v>
      </c>
      <c r="J24" s="4">
        <v>14</v>
      </c>
      <c r="K24" s="5">
        <v>1070</v>
      </c>
      <c r="L24" t="str">
        <f t="shared" si="2"/>
        <v>20140311024</v>
      </c>
      <c r="M24" t="str">
        <f t="shared" si="3"/>
        <v>20140311</v>
      </c>
      <c r="O24" s="4">
        <v>2014</v>
      </c>
      <c r="P24" s="7">
        <v>42074</v>
      </c>
      <c r="Q24" s="2">
        <v>24</v>
      </c>
      <c r="R24" s="3">
        <v>13</v>
      </c>
      <c r="S24" s="3">
        <v>15</v>
      </c>
      <c r="T24" s="3">
        <v>16</v>
      </c>
      <c r="U24" s="3">
        <v>20</v>
      </c>
      <c r="V24" s="3">
        <v>40</v>
      </c>
      <c r="W24" s="3">
        <v>43</v>
      </c>
      <c r="X24" s="4">
        <v>14</v>
      </c>
      <c r="Y24" s="5">
        <v>1070</v>
      </c>
    </row>
    <row r="25" spans="1:25" x14ac:dyDescent="0.25">
      <c r="A25" s="4">
        <v>2014</v>
      </c>
      <c r="B25" s="7">
        <v>41712</v>
      </c>
      <c r="C25" s="2">
        <v>25</v>
      </c>
      <c r="D25" s="3">
        <v>47</v>
      </c>
      <c r="E25" s="3">
        <v>8</v>
      </c>
      <c r="F25" s="3">
        <v>40</v>
      </c>
      <c r="G25" s="3">
        <v>41</v>
      </c>
      <c r="H25" s="3">
        <v>27</v>
      </c>
      <c r="I25" s="3">
        <v>2</v>
      </c>
      <c r="J25" s="4">
        <v>28</v>
      </c>
      <c r="K25" s="5">
        <v>1071</v>
      </c>
      <c r="L25" t="str">
        <f t="shared" si="2"/>
        <v>20140314025</v>
      </c>
      <c r="M25" t="str">
        <f t="shared" si="3"/>
        <v>20140314</v>
      </c>
      <c r="O25" s="4">
        <v>2014</v>
      </c>
      <c r="P25" s="7">
        <v>42077</v>
      </c>
      <c r="Q25" s="2">
        <v>25</v>
      </c>
      <c r="R25" s="3">
        <v>2</v>
      </c>
      <c r="S25" s="3">
        <v>8</v>
      </c>
      <c r="T25" s="3">
        <v>27</v>
      </c>
      <c r="U25" s="3">
        <v>40</v>
      </c>
      <c r="V25" s="3">
        <v>41</v>
      </c>
      <c r="W25" s="3">
        <v>47</v>
      </c>
      <c r="X25" s="4">
        <v>28</v>
      </c>
      <c r="Y25" s="5">
        <v>1071</v>
      </c>
    </row>
    <row r="26" spans="1:25" x14ac:dyDescent="0.25">
      <c r="A26" s="4">
        <v>2014</v>
      </c>
      <c r="B26" s="7">
        <v>41716</v>
      </c>
      <c r="C26" s="2">
        <v>26</v>
      </c>
      <c r="D26" s="3">
        <v>26</v>
      </c>
      <c r="E26" s="3">
        <v>40</v>
      </c>
      <c r="F26" s="3">
        <v>35</v>
      </c>
      <c r="G26" s="3">
        <v>39</v>
      </c>
      <c r="H26" s="3">
        <v>12</v>
      </c>
      <c r="I26" s="3">
        <v>28</v>
      </c>
      <c r="J26" s="4">
        <v>16</v>
      </c>
      <c r="K26" s="5">
        <v>1072</v>
      </c>
      <c r="L26" t="str">
        <f t="shared" si="2"/>
        <v>20140318026</v>
      </c>
      <c r="M26" t="str">
        <f t="shared" si="3"/>
        <v>20140318</v>
      </c>
      <c r="O26" s="4">
        <v>2014</v>
      </c>
      <c r="P26" s="7">
        <v>42081</v>
      </c>
      <c r="Q26" s="2">
        <v>26</v>
      </c>
      <c r="R26" s="3">
        <v>12</v>
      </c>
      <c r="S26" s="3">
        <v>26</v>
      </c>
      <c r="T26" s="3">
        <v>28</v>
      </c>
      <c r="U26" s="3">
        <v>35</v>
      </c>
      <c r="V26" s="3">
        <v>39</v>
      </c>
      <c r="W26" s="3">
        <v>40</v>
      </c>
      <c r="X26" s="4">
        <v>16</v>
      </c>
      <c r="Y26" s="5">
        <v>1072</v>
      </c>
    </row>
    <row r="27" spans="1:25" x14ac:dyDescent="0.25">
      <c r="A27" s="4">
        <v>2014</v>
      </c>
      <c r="B27" s="7">
        <v>41719</v>
      </c>
      <c r="C27" s="2">
        <v>27</v>
      </c>
      <c r="D27" s="3">
        <v>47</v>
      </c>
      <c r="E27" s="3">
        <v>26</v>
      </c>
      <c r="F27" s="3">
        <v>46</v>
      </c>
      <c r="G27" s="3">
        <v>8</v>
      </c>
      <c r="H27" s="3">
        <v>31</v>
      </c>
      <c r="I27" s="3">
        <v>18</v>
      </c>
      <c r="J27" s="4">
        <v>20</v>
      </c>
      <c r="K27" s="5">
        <v>1073</v>
      </c>
      <c r="L27" t="str">
        <f t="shared" si="2"/>
        <v>20140321027</v>
      </c>
      <c r="M27" t="str">
        <f t="shared" si="3"/>
        <v>20140321</v>
      </c>
      <c r="O27" s="4">
        <v>2014</v>
      </c>
      <c r="P27" s="7">
        <v>42084</v>
      </c>
      <c r="Q27" s="2">
        <v>27</v>
      </c>
      <c r="R27" s="3">
        <v>8</v>
      </c>
      <c r="S27" s="3">
        <v>18</v>
      </c>
      <c r="T27" s="3">
        <v>26</v>
      </c>
      <c r="U27" s="3">
        <v>31</v>
      </c>
      <c r="V27" s="3">
        <v>46</v>
      </c>
      <c r="W27" s="3">
        <v>47</v>
      </c>
      <c r="X27" s="4">
        <v>20</v>
      </c>
      <c r="Y27" s="5">
        <v>1073</v>
      </c>
    </row>
    <row r="28" spans="1:25" x14ac:dyDescent="0.25">
      <c r="A28" s="4">
        <v>2014</v>
      </c>
      <c r="B28" s="7">
        <v>41723</v>
      </c>
      <c r="C28" s="2">
        <v>28</v>
      </c>
      <c r="D28" s="3">
        <v>19</v>
      </c>
      <c r="E28" s="3">
        <v>25</v>
      </c>
      <c r="F28" s="3">
        <v>47</v>
      </c>
      <c r="G28" s="3">
        <v>42</v>
      </c>
      <c r="H28" s="3">
        <v>30</v>
      </c>
      <c r="I28" s="3">
        <v>23</v>
      </c>
      <c r="J28" s="4">
        <v>16</v>
      </c>
      <c r="K28" s="5">
        <v>1074</v>
      </c>
      <c r="L28" t="str">
        <f t="shared" si="2"/>
        <v>20140325028</v>
      </c>
      <c r="M28" t="str">
        <f t="shared" si="3"/>
        <v>20140325</v>
      </c>
      <c r="O28" s="4">
        <v>2014</v>
      </c>
      <c r="P28" s="7">
        <v>42088</v>
      </c>
      <c r="Q28" s="2">
        <v>28</v>
      </c>
      <c r="R28" s="3">
        <v>19</v>
      </c>
      <c r="S28" s="3">
        <v>23</v>
      </c>
      <c r="T28" s="3">
        <v>25</v>
      </c>
      <c r="U28" s="3">
        <v>30</v>
      </c>
      <c r="V28" s="3">
        <v>42</v>
      </c>
      <c r="W28" s="3">
        <v>47</v>
      </c>
      <c r="X28" s="4">
        <v>16</v>
      </c>
      <c r="Y28" s="5">
        <v>1074</v>
      </c>
    </row>
    <row r="29" spans="1:25" x14ac:dyDescent="0.25">
      <c r="A29" s="4">
        <v>2014</v>
      </c>
      <c r="B29" s="7">
        <v>41726</v>
      </c>
      <c r="C29" s="2">
        <v>29</v>
      </c>
      <c r="D29" s="3">
        <v>9</v>
      </c>
      <c r="E29" s="3">
        <v>18</v>
      </c>
      <c r="F29" s="3">
        <v>23</v>
      </c>
      <c r="G29" s="3">
        <v>36</v>
      </c>
      <c r="H29" s="3">
        <v>47</v>
      </c>
      <c r="I29" s="3">
        <v>35</v>
      </c>
      <c r="J29" s="4">
        <v>41</v>
      </c>
      <c r="K29" s="5">
        <v>1075</v>
      </c>
      <c r="L29" t="str">
        <f t="shared" si="2"/>
        <v>20140328029</v>
      </c>
      <c r="M29" t="str">
        <f t="shared" si="3"/>
        <v>20140328</v>
      </c>
      <c r="O29" s="4">
        <v>2014</v>
      </c>
      <c r="P29" s="7">
        <v>42091</v>
      </c>
      <c r="Q29" s="2">
        <v>29</v>
      </c>
      <c r="R29" s="3">
        <v>9</v>
      </c>
      <c r="S29" s="3">
        <v>18</v>
      </c>
      <c r="T29" s="3">
        <v>23</v>
      </c>
      <c r="U29" s="3">
        <v>35</v>
      </c>
      <c r="V29" s="3">
        <v>36</v>
      </c>
      <c r="W29" s="3">
        <v>47</v>
      </c>
      <c r="X29" s="4">
        <v>41</v>
      </c>
      <c r="Y29" s="5">
        <v>1075</v>
      </c>
    </row>
    <row r="30" spans="1:25" x14ac:dyDescent="0.25">
      <c r="A30" s="4">
        <v>2014</v>
      </c>
      <c r="B30" s="7">
        <v>41730</v>
      </c>
      <c r="C30" s="2">
        <v>30</v>
      </c>
      <c r="D30" s="3">
        <v>46</v>
      </c>
      <c r="E30" s="3">
        <v>18</v>
      </c>
      <c r="F30" s="3">
        <v>29</v>
      </c>
      <c r="G30" s="3">
        <v>30</v>
      </c>
      <c r="H30" s="3">
        <v>47</v>
      </c>
      <c r="I30" s="3">
        <v>22</v>
      </c>
      <c r="J30" s="4">
        <v>6</v>
      </c>
      <c r="K30" s="5">
        <v>1076</v>
      </c>
      <c r="L30" t="str">
        <f t="shared" si="2"/>
        <v>20140401030</v>
      </c>
      <c r="M30" t="str">
        <f t="shared" si="3"/>
        <v>20140401</v>
      </c>
      <c r="O30" s="4">
        <v>2014</v>
      </c>
      <c r="P30" s="7">
        <v>42095</v>
      </c>
      <c r="Q30" s="2">
        <v>30</v>
      </c>
      <c r="R30" s="3">
        <v>18</v>
      </c>
      <c r="S30" s="3">
        <v>22</v>
      </c>
      <c r="T30" s="3">
        <v>29</v>
      </c>
      <c r="U30" s="3">
        <v>30</v>
      </c>
      <c r="V30" s="3">
        <v>46</v>
      </c>
      <c r="W30" s="3">
        <v>47</v>
      </c>
      <c r="X30" s="4">
        <v>6</v>
      </c>
      <c r="Y30" s="5">
        <v>1076</v>
      </c>
    </row>
    <row r="31" spans="1:25" x14ac:dyDescent="0.25">
      <c r="A31" s="4">
        <v>2014</v>
      </c>
      <c r="B31" s="7">
        <v>41733</v>
      </c>
      <c r="C31" s="2">
        <v>31</v>
      </c>
      <c r="D31" s="3">
        <v>8</v>
      </c>
      <c r="E31" s="3">
        <v>24</v>
      </c>
      <c r="F31" s="3">
        <v>35</v>
      </c>
      <c r="G31" s="3">
        <v>37</v>
      </c>
      <c r="H31" s="3">
        <v>41</v>
      </c>
      <c r="I31" s="3">
        <v>47</v>
      </c>
      <c r="J31" s="4">
        <v>23</v>
      </c>
      <c r="K31" s="5">
        <v>1077</v>
      </c>
      <c r="L31" t="str">
        <f t="shared" si="2"/>
        <v>20140404031</v>
      </c>
      <c r="M31" t="str">
        <f t="shared" si="3"/>
        <v>20140404</v>
      </c>
      <c r="O31" s="4">
        <v>2014</v>
      </c>
      <c r="P31" s="7">
        <v>42098</v>
      </c>
      <c r="Q31" s="2">
        <v>31</v>
      </c>
      <c r="R31" s="3">
        <v>8</v>
      </c>
      <c r="S31" s="3">
        <v>24</v>
      </c>
      <c r="T31" s="3">
        <v>35</v>
      </c>
      <c r="U31" s="3">
        <v>37</v>
      </c>
      <c r="V31" s="3">
        <v>41</v>
      </c>
      <c r="W31" s="3">
        <v>47</v>
      </c>
      <c r="X31" s="4">
        <v>23</v>
      </c>
      <c r="Y31" s="5">
        <v>1077</v>
      </c>
    </row>
    <row r="32" spans="1:25" x14ac:dyDescent="0.25">
      <c r="A32" s="4">
        <v>2014</v>
      </c>
      <c r="B32" s="7">
        <v>41737</v>
      </c>
      <c r="C32" s="2">
        <v>32</v>
      </c>
      <c r="D32" s="3">
        <v>28</v>
      </c>
      <c r="E32" s="3">
        <v>27</v>
      </c>
      <c r="F32" s="3">
        <v>17</v>
      </c>
      <c r="G32" s="3">
        <v>1</v>
      </c>
      <c r="H32" s="3">
        <v>45</v>
      </c>
      <c r="I32" s="3">
        <v>14</v>
      </c>
      <c r="J32" s="4">
        <v>11</v>
      </c>
      <c r="K32" s="5">
        <v>1078</v>
      </c>
      <c r="L32" t="str">
        <f t="shared" si="2"/>
        <v>20140408032</v>
      </c>
      <c r="M32" t="str">
        <f t="shared" si="3"/>
        <v>20140408</v>
      </c>
      <c r="O32" s="4">
        <v>2014</v>
      </c>
      <c r="P32" s="7">
        <v>42102</v>
      </c>
      <c r="Q32" s="2">
        <v>32</v>
      </c>
      <c r="R32" s="3">
        <v>1</v>
      </c>
      <c r="S32" s="3">
        <v>14</v>
      </c>
      <c r="T32" s="3">
        <v>17</v>
      </c>
      <c r="U32" s="3">
        <v>27</v>
      </c>
      <c r="V32" s="3">
        <v>28</v>
      </c>
      <c r="W32" s="3">
        <v>45</v>
      </c>
      <c r="X32" s="4">
        <v>11</v>
      </c>
      <c r="Y32" s="5">
        <v>1078</v>
      </c>
    </row>
    <row r="33" spans="1:25" x14ac:dyDescent="0.25">
      <c r="A33" s="4">
        <v>2014</v>
      </c>
      <c r="B33" s="7">
        <v>41740</v>
      </c>
      <c r="C33" s="2">
        <v>33</v>
      </c>
      <c r="D33" s="3">
        <v>1</v>
      </c>
      <c r="E33" s="3">
        <v>3</v>
      </c>
      <c r="F33" s="3">
        <v>17</v>
      </c>
      <c r="G33" s="3">
        <v>9</v>
      </c>
      <c r="H33" s="3">
        <v>12</v>
      </c>
      <c r="I33" s="3">
        <v>4</v>
      </c>
      <c r="J33" s="4">
        <v>15</v>
      </c>
      <c r="K33" s="5">
        <v>1079</v>
      </c>
      <c r="L33" t="str">
        <f t="shared" si="2"/>
        <v>20140411033</v>
      </c>
      <c r="M33" t="str">
        <f t="shared" si="3"/>
        <v>20140411</v>
      </c>
      <c r="O33" s="4">
        <v>2014</v>
      </c>
      <c r="P33" s="7">
        <v>42105</v>
      </c>
      <c r="Q33" s="2">
        <v>33</v>
      </c>
      <c r="R33" s="3">
        <v>1</v>
      </c>
      <c r="S33" s="3">
        <v>3</v>
      </c>
      <c r="T33" s="3">
        <v>4</v>
      </c>
      <c r="U33" s="3">
        <v>9</v>
      </c>
      <c r="V33" s="3">
        <v>12</v>
      </c>
      <c r="W33" s="3">
        <v>17</v>
      </c>
      <c r="X33" s="4">
        <v>15</v>
      </c>
      <c r="Y33" s="5">
        <v>1079</v>
      </c>
    </row>
    <row r="34" spans="1:25" x14ac:dyDescent="0.25">
      <c r="A34" s="4">
        <v>2014</v>
      </c>
      <c r="B34" s="7">
        <v>41744</v>
      </c>
      <c r="C34" s="2">
        <v>34</v>
      </c>
      <c r="D34" s="3">
        <v>26</v>
      </c>
      <c r="E34" s="3">
        <v>44</v>
      </c>
      <c r="F34" s="3">
        <v>24</v>
      </c>
      <c r="G34" s="3">
        <v>8</v>
      </c>
      <c r="H34" s="3">
        <v>35</v>
      </c>
      <c r="I34" s="3">
        <v>5</v>
      </c>
      <c r="J34" s="4">
        <v>41</v>
      </c>
      <c r="K34" s="5">
        <v>1080</v>
      </c>
      <c r="L34" t="str">
        <f t="shared" si="2"/>
        <v>20140415034</v>
      </c>
      <c r="M34" t="str">
        <f t="shared" si="3"/>
        <v>20140415</v>
      </c>
      <c r="O34" s="4">
        <v>2014</v>
      </c>
      <c r="P34" s="7">
        <v>42109</v>
      </c>
      <c r="Q34" s="2">
        <v>34</v>
      </c>
      <c r="R34" s="3">
        <v>5</v>
      </c>
      <c r="S34" s="3">
        <v>8</v>
      </c>
      <c r="T34" s="3">
        <v>24</v>
      </c>
      <c r="U34" s="3">
        <v>26</v>
      </c>
      <c r="V34" s="3">
        <v>35</v>
      </c>
      <c r="W34" s="3">
        <v>44</v>
      </c>
      <c r="X34" s="4">
        <v>41</v>
      </c>
      <c r="Y34" s="5">
        <v>1080</v>
      </c>
    </row>
    <row r="35" spans="1:25" x14ac:dyDescent="0.25">
      <c r="A35" s="4">
        <v>2014</v>
      </c>
      <c r="B35" s="7">
        <v>41747</v>
      </c>
      <c r="C35" s="2">
        <v>35</v>
      </c>
      <c r="D35" s="3">
        <v>8</v>
      </c>
      <c r="E35" s="3">
        <v>48</v>
      </c>
      <c r="F35" s="3">
        <v>15</v>
      </c>
      <c r="G35" s="3">
        <v>40</v>
      </c>
      <c r="H35" s="3">
        <v>9</v>
      </c>
      <c r="I35" s="3">
        <v>44</v>
      </c>
      <c r="J35" s="4">
        <v>24</v>
      </c>
      <c r="K35" s="5">
        <v>1081</v>
      </c>
      <c r="L35" t="str">
        <f t="shared" si="2"/>
        <v>20140418035</v>
      </c>
      <c r="M35" t="str">
        <f t="shared" si="3"/>
        <v>20140418</v>
      </c>
      <c r="O35" s="4">
        <v>2014</v>
      </c>
      <c r="P35" s="7">
        <v>42112</v>
      </c>
      <c r="Q35" s="2">
        <v>35</v>
      </c>
      <c r="R35" s="3">
        <v>8</v>
      </c>
      <c r="S35" s="3">
        <v>9</v>
      </c>
      <c r="T35" s="3">
        <v>15</v>
      </c>
      <c r="U35" s="3">
        <v>40</v>
      </c>
      <c r="V35" s="3">
        <v>44</v>
      </c>
      <c r="W35" s="3">
        <v>48</v>
      </c>
      <c r="X35" s="4">
        <v>24</v>
      </c>
      <c r="Y35" s="5">
        <v>1081</v>
      </c>
    </row>
    <row r="36" spans="1:25" x14ac:dyDescent="0.25">
      <c r="A36" s="4">
        <v>2014</v>
      </c>
      <c r="B36" s="7">
        <v>41751</v>
      </c>
      <c r="C36" s="2">
        <v>36</v>
      </c>
      <c r="D36" s="3">
        <v>18</v>
      </c>
      <c r="E36" s="3">
        <v>37</v>
      </c>
      <c r="F36" s="3">
        <v>20</v>
      </c>
      <c r="G36" s="3">
        <v>11</v>
      </c>
      <c r="H36" s="3">
        <v>12</v>
      </c>
      <c r="I36" s="3">
        <v>15</v>
      </c>
      <c r="J36" s="4">
        <v>42</v>
      </c>
      <c r="K36" s="5">
        <v>1082</v>
      </c>
      <c r="L36" t="str">
        <f t="shared" ref="L36:L41" si="4">CONCATENATE(TEXT(A36,"0000"),TEXT(B36,"mmdd"),TEXT(C36,"000"))</f>
        <v>20140422036</v>
      </c>
      <c r="M36" t="str">
        <f t="shared" ref="M36:M41" si="5">CONCATENATE(TEXT(A36,"0000"),TEXT(B36,"mmdd"))</f>
        <v>20140422</v>
      </c>
      <c r="O36" s="4">
        <v>2014</v>
      </c>
      <c r="P36" s="7">
        <v>42116</v>
      </c>
      <c r="Q36" s="2">
        <v>36</v>
      </c>
      <c r="R36" s="3">
        <v>11</v>
      </c>
      <c r="S36" s="3">
        <v>12</v>
      </c>
      <c r="T36" s="3">
        <v>15</v>
      </c>
      <c r="U36" s="3">
        <v>18</v>
      </c>
      <c r="V36" s="3">
        <v>20</v>
      </c>
      <c r="W36" s="3">
        <v>37</v>
      </c>
      <c r="X36" s="4">
        <v>42</v>
      </c>
      <c r="Y36" s="5">
        <v>1082</v>
      </c>
    </row>
    <row r="37" spans="1:25" x14ac:dyDescent="0.25">
      <c r="A37" s="4">
        <v>2014</v>
      </c>
      <c r="B37" s="7">
        <v>41754</v>
      </c>
      <c r="C37" s="2">
        <v>37</v>
      </c>
      <c r="D37" s="3">
        <v>46</v>
      </c>
      <c r="E37" s="3">
        <v>24</v>
      </c>
      <c r="F37" s="3">
        <v>34</v>
      </c>
      <c r="G37" s="3">
        <v>4</v>
      </c>
      <c r="H37" s="3">
        <v>38</v>
      </c>
      <c r="I37" s="3">
        <v>35</v>
      </c>
      <c r="J37" s="4">
        <v>30</v>
      </c>
      <c r="K37" s="5">
        <v>1083</v>
      </c>
      <c r="L37" t="str">
        <f t="shared" si="4"/>
        <v>20140425037</v>
      </c>
      <c r="M37" t="str">
        <f t="shared" si="5"/>
        <v>20140425</v>
      </c>
      <c r="O37" s="4">
        <v>2014</v>
      </c>
      <c r="P37" s="7">
        <v>42119</v>
      </c>
      <c r="Q37" s="2">
        <v>37</v>
      </c>
      <c r="R37" s="3">
        <v>4</v>
      </c>
      <c r="S37" s="3">
        <v>24</v>
      </c>
      <c r="T37" s="3">
        <v>34</v>
      </c>
      <c r="U37" s="3">
        <v>35</v>
      </c>
      <c r="V37" s="3">
        <v>38</v>
      </c>
      <c r="W37" s="3">
        <v>46</v>
      </c>
      <c r="X37" s="4">
        <v>30</v>
      </c>
      <c r="Y37" s="5">
        <v>1083</v>
      </c>
    </row>
    <row r="38" spans="1:25" x14ac:dyDescent="0.25">
      <c r="A38" s="4">
        <v>2014</v>
      </c>
      <c r="B38" s="7">
        <v>41758</v>
      </c>
      <c r="C38" s="2">
        <v>38</v>
      </c>
      <c r="D38" s="3">
        <v>2</v>
      </c>
      <c r="E38" s="3">
        <v>46</v>
      </c>
      <c r="F38" s="3">
        <v>9</v>
      </c>
      <c r="G38" s="3">
        <v>44</v>
      </c>
      <c r="H38" s="3">
        <v>30</v>
      </c>
      <c r="I38" s="3">
        <v>27</v>
      </c>
      <c r="J38" s="4">
        <v>22</v>
      </c>
      <c r="K38" s="5">
        <v>1084</v>
      </c>
      <c r="L38" t="str">
        <f t="shared" si="4"/>
        <v>20140429038</v>
      </c>
      <c r="M38" t="str">
        <f t="shared" si="5"/>
        <v>20140429</v>
      </c>
      <c r="O38" s="4">
        <v>2014</v>
      </c>
      <c r="P38" s="7">
        <v>42123</v>
      </c>
      <c r="Q38" s="2">
        <v>38</v>
      </c>
      <c r="R38" s="3">
        <v>2</v>
      </c>
      <c r="S38" s="3">
        <v>9</v>
      </c>
      <c r="T38" s="3">
        <v>27</v>
      </c>
      <c r="U38" s="3">
        <v>30</v>
      </c>
      <c r="V38" s="3">
        <v>44</v>
      </c>
      <c r="W38" s="3">
        <v>46</v>
      </c>
      <c r="X38" s="4">
        <v>22</v>
      </c>
      <c r="Y38" s="5">
        <v>1084</v>
      </c>
    </row>
    <row r="39" spans="1:25" x14ac:dyDescent="0.25">
      <c r="A39" s="4">
        <v>2014</v>
      </c>
      <c r="B39" s="7">
        <v>41761</v>
      </c>
      <c r="C39" s="2">
        <v>39</v>
      </c>
      <c r="D39" s="3">
        <v>1</v>
      </c>
      <c r="E39" s="3">
        <v>25</v>
      </c>
      <c r="F39" s="3">
        <v>37</v>
      </c>
      <c r="G39" s="3">
        <v>23</v>
      </c>
      <c r="H39" s="3">
        <v>7</v>
      </c>
      <c r="I39" s="3">
        <v>40</v>
      </c>
      <c r="J39" s="4">
        <v>12</v>
      </c>
      <c r="K39" s="5">
        <v>1085</v>
      </c>
      <c r="L39" t="str">
        <f t="shared" si="4"/>
        <v>20140502039</v>
      </c>
      <c r="M39" t="str">
        <f t="shared" si="5"/>
        <v>20140502</v>
      </c>
      <c r="O39" s="4">
        <v>2014</v>
      </c>
      <c r="P39" s="7">
        <v>42126</v>
      </c>
      <c r="Q39" s="2">
        <v>39</v>
      </c>
      <c r="R39" s="3">
        <v>1</v>
      </c>
      <c r="S39" s="3">
        <v>7</v>
      </c>
      <c r="T39" s="3">
        <v>23</v>
      </c>
      <c r="U39" s="3">
        <v>25</v>
      </c>
      <c r="V39" s="3">
        <v>37</v>
      </c>
      <c r="W39" s="3">
        <v>40</v>
      </c>
      <c r="X39" s="4">
        <v>12</v>
      </c>
      <c r="Y39" s="5">
        <v>1085</v>
      </c>
    </row>
    <row r="40" spans="1:25" x14ac:dyDescent="0.25">
      <c r="A40" s="4">
        <v>2014</v>
      </c>
      <c r="B40" s="7">
        <v>41765</v>
      </c>
      <c r="C40" s="2">
        <v>40</v>
      </c>
      <c r="D40" s="3">
        <v>10</v>
      </c>
      <c r="E40" s="3">
        <v>46</v>
      </c>
      <c r="F40" s="3">
        <v>39</v>
      </c>
      <c r="G40" s="3">
        <v>35</v>
      </c>
      <c r="H40" s="3">
        <v>40</v>
      </c>
      <c r="I40" s="3">
        <v>25</v>
      </c>
      <c r="J40" s="4">
        <v>31</v>
      </c>
      <c r="K40" s="5">
        <v>1086</v>
      </c>
      <c r="L40" t="str">
        <f t="shared" si="4"/>
        <v>20140506040</v>
      </c>
      <c r="M40" t="str">
        <f t="shared" si="5"/>
        <v>20140506</v>
      </c>
      <c r="O40" s="4">
        <v>2014</v>
      </c>
      <c r="P40" s="7">
        <v>42130</v>
      </c>
      <c r="Q40" s="2">
        <v>40</v>
      </c>
      <c r="R40" s="3">
        <v>10</v>
      </c>
      <c r="S40" s="3">
        <v>25</v>
      </c>
      <c r="T40" s="3">
        <v>35</v>
      </c>
      <c r="U40" s="3">
        <v>39</v>
      </c>
      <c r="V40" s="3">
        <v>40</v>
      </c>
      <c r="W40" s="3">
        <v>46</v>
      </c>
      <c r="X40" s="4">
        <v>31</v>
      </c>
      <c r="Y40" s="5">
        <v>1086</v>
      </c>
    </row>
    <row r="41" spans="1:25" x14ac:dyDescent="0.25">
      <c r="A41" s="4">
        <v>2014</v>
      </c>
      <c r="B41" s="7">
        <v>41768</v>
      </c>
      <c r="C41" s="2">
        <v>41</v>
      </c>
      <c r="D41" s="3">
        <v>13</v>
      </c>
      <c r="E41" s="3">
        <v>1</v>
      </c>
      <c r="F41" s="3">
        <v>27</v>
      </c>
      <c r="G41" s="3">
        <v>21</v>
      </c>
      <c r="H41" s="3">
        <v>37</v>
      </c>
      <c r="I41" s="3">
        <v>11</v>
      </c>
      <c r="J41" s="4">
        <v>3</v>
      </c>
      <c r="K41" s="5">
        <v>1087</v>
      </c>
      <c r="L41" t="str">
        <f t="shared" si="4"/>
        <v>20140509041</v>
      </c>
      <c r="M41" t="str">
        <f t="shared" si="5"/>
        <v>20140509</v>
      </c>
      <c r="O41" s="4">
        <v>2014</v>
      </c>
      <c r="P41" s="7">
        <v>42133</v>
      </c>
      <c r="Q41" s="2">
        <v>41</v>
      </c>
      <c r="R41" s="3">
        <v>1</v>
      </c>
      <c r="S41" s="3">
        <v>11</v>
      </c>
      <c r="T41" s="3">
        <v>13</v>
      </c>
      <c r="U41" s="3">
        <v>21</v>
      </c>
      <c r="V41" s="3">
        <v>27</v>
      </c>
      <c r="W41" s="3">
        <v>37</v>
      </c>
      <c r="X41" s="4">
        <v>3</v>
      </c>
      <c r="Y41" s="5">
        <v>1087</v>
      </c>
    </row>
    <row r="42" spans="1:25" x14ac:dyDescent="0.25">
      <c r="A42" s="4">
        <v>2014</v>
      </c>
      <c r="B42" s="7">
        <v>41772</v>
      </c>
      <c r="C42" s="2">
        <v>42</v>
      </c>
      <c r="D42" s="3">
        <v>32</v>
      </c>
      <c r="E42" s="3">
        <v>20</v>
      </c>
      <c r="F42" s="3">
        <v>31</v>
      </c>
      <c r="G42" s="3">
        <v>44</v>
      </c>
      <c r="H42" s="3">
        <v>29</v>
      </c>
      <c r="I42" s="3">
        <v>15</v>
      </c>
      <c r="J42" s="4">
        <v>23</v>
      </c>
      <c r="K42" s="5">
        <v>1088</v>
      </c>
      <c r="L42" t="str">
        <f t="shared" ref="L42:L69" si="6">CONCATENATE(TEXT(A42,"0000"),TEXT(B42,"mmdd"),TEXT(C42,"000"))</f>
        <v>20140513042</v>
      </c>
      <c r="M42" t="str">
        <f t="shared" ref="M42:M69" si="7">CONCATENATE(TEXT(A42,"0000"),TEXT(B42,"mmdd"))</f>
        <v>20140513</v>
      </c>
      <c r="O42" s="4">
        <v>2014</v>
      </c>
      <c r="P42" s="7">
        <v>42137</v>
      </c>
      <c r="Q42" s="2">
        <v>42</v>
      </c>
      <c r="R42" s="3">
        <v>15</v>
      </c>
      <c r="S42" s="3">
        <v>20</v>
      </c>
      <c r="T42" s="3">
        <v>29</v>
      </c>
      <c r="U42" s="3">
        <v>31</v>
      </c>
      <c r="V42" s="3">
        <v>32</v>
      </c>
      <c r="W42" s="3">
        <v>44</v>
      </c>
      <c r="X42" s="4">
        <v>23</v>
      </c>
      <c r="Y42" s="5">
        <v>1088</v>
      </c>
    </row>
    <row r="43" spans="1:25" x14ac:dyDescent="0.25">
      <c r="A43" s="4">
        <v>2014</v>
      </c>
      <c r="B43" s="7">
        <v>41775</v>
      </c>
      <c r="C43" s="2">
        <v>43</v>
      </c>
      <c r="D43" s="3">
        <v>45</v>
      </c>
      <c r="E43" s="3">
        <v>41</v>
      </c>
      <c r="F43" s="3">
        <v>31</v>
      </c>
      <c r="G43" s="3">
        <v>42</v>
      </c>
      <c r="H43" s="3">
        <v>14</v>
      </c>
      <c r="I43" s="3">
        <v>38</v>
      </c>
      <c r="J43" s="4">
        <v>29</v>
      </c>
      <c r="K43" s="5">
        <v>1089</v>
      </c>
      <c r="L43" t="str">
        <f t="shared" si="6"/>
        <v>20140516043</v>
      </c>
      <c r="M43" t="str">
        <f t="shared" si="7"/>
        <v>20140516</v>
      </c>
      <c r="O43" s="4">
        <v>2014</v>
      </c>
      <c r="P43" s="7">
        <v>42140</v>
      </c>
      <c r="Q43" s="2">
        <v>43</v>
      </c>
      <c r="R43" s="3">
        <v>14</v>
      </c>
      <c r="S43" s="3">
        <v>31</v>
      </c>
      <c r="T43" s="3">
        <v>38</v>
      </c>
      <c r="U43" s="3">
        <v>41</v>
      </c>
      <c r="V43" s="3">
        <v>42</v>
      </c>
      <c r="W43" s="3">
        <v>45</v>
      </c>
      <c r="X43" s="4">
        <v>29</v>
      </c>
      <c r="Y43" s="5">
        <v>1089</v>
      </c>
    </row>
    <row r="44" spans="1:25" x14ac:dyDescent="0.25">
      <c r="A44" s="4">
        <v>2014</v>
      </c>
      <c r="B44" s="7">
        <v>41779</v>
      </c>
      <c r="C44" s="2">
        <v>44</v>
      </c>
      <c r="D44" s="3">
        <v>34</v>
      </c>
      <c r="E44" s="3">
        <v>33</v>
      </c>
      <c r="F44" s="3">
        <v>30</v>
      </c>
      <c r="G44" s="3">
        <v>13</v>
      </c>
      <c r="H44" s="3">
        <v>35</v>
      </c>
      <c r="I44" s="3">
        <v>6</v>
      </c>
      <c r="J44" s="4">
        <v>38</v>
      </c>
      <c r="K44" s="5">
        <v>1090</v>
      </c>
      <c r="L44" t="str">
        <f t="shared" si="6"/>
        <v>20140520044</v>
      </c>
      <c r="M44" t="str">
        <f t="shared" si="7"/>
        <v>20140520</v>
      </c>
      <c r="O44" s="4">
        <v>2014</v>
      </c>
      <c r="P44" s="7">
        <v>42144</v>
      </c>
      <c r="Q44" s="2">
        <v>44</v>
      </c>
      <c r="R44" s="3">
        <v>6</v>
      </c>
      <c r="S44" s="3">
        <v>13</v>
      </c>
      <c r="T44" s="3">
        <v>30</v>
      </c>
      <c r="U44" s="3">
        <v>33</v>
      </c>
      <c r="V44" s="3">
        <v>34</v>
      </c>
      <c r="W44" s="3">
        <v>35</v>
      </c>
      <c r="X44" s="4">
        <v>38</v>
      </c>
      <c r="Y44" s="5">
        <v>1090</v>
      </c>
    </row>
    <row r="45" spans="1:25" x14ac:dyDescent="0.25">
      <c r="A45" s="4">
        <v>2014</v>
      </c>
      <c r="B45" s="7">
        <v>41782</v>
      </c>
      <c r="C45" s="2">
        <v>45</v>
      </c>
      <c r="D45" s="3">
        <v>30</v>
      </c>
      <c r="E45" s="3">
        <v>11</v>
      </c>
      <c r="F45" s="3">
        <v>22</v>
      </c>
      <c r="G45" s="3">
        <v>46</v>
      </c>
      <c r="H45" s="3">
        <v>17</v>
      </c>
      <c r="I45" s="3">
        <v>27</v>
      </c>
      <c r="J45" s="4">
        <v>15</v>
      </c>
      <c r="K45" s="5">
        <v>1091</v>
      </c>
      <c r="L45" t="str">
        <f t="shared" si="6"/>
        <v>20140523045</v>
      </c>
      <c r="M45" t="str">
        <f t="shared" si="7"/>
        <v>20140523</v>
      </c>
      <c r="O45" s="4">
        <v>2014</v>
      </c>
      <c r="P45" s="7">
        <v>42147</v>
      </c>
      <c r="Q45" s="2">
        <v>45</v>
      </c>
      <c r="R45" s="3">
        <v>11</v>
      </c>
      <c r="S45" s="3">
        <v>17</v>
      </c>
      <c r="T45" s="3">
        <v>22</v>
      </c>
      <c r="U45" s="3">
        <v>27</v>
      </c>
      <c r="V45" s="3">
        <v>30</v>
      </c>
      <c r="W45" s="3">
        <v>46</v>
      </c>
      <c r="X45" s="4">
        <v>15</v>
      </c>
      <c r="Y45" s="5">
        <v>1091</v>
      </c>
    </row>
    <row r="46" spans="1:25" x14ac:dyDescent="0.25">
      <c r="A46" s="4">
        <v>2014</v>
      </c>
      <c r="B46" s="7">
        <v>41786</v>
      </c>
      <c r="C46" s="2">
        <v>46</v>
      </c>
      <c r="D46" s="3">
        <v>26</v>
      </c>
      <c r="E46" s="3">
        <v>19</v>
      </c>
      <c r="F46" s="3">
        <v>23</v>
      </c>
      <c r="G46" s="3">
        <v>10</v>
      </c>
      <c r="H46" s="3">
        <v>39</v>
      </c>
      <c r="I46" s="3">
        <v>32</v>
      </c>
      <c r="J46" s="4">
        <v>16</v>
      </c>
      <c r="K46" s="5">
        <v>1092</v>
      </c>
      <c r="L46" t="str">
        <f t="shared" si="6"/>
        <v>20140527046</v>
      </c>
      <c r="M46" t="str">
        <f t="shared" si="7"/>
        <v>20140527</v>
      </c>
      <c r="O46" s="4">
        <v>2014</v>
      </c>
      <c r="P46" s="7">
        <v>42151</v>
      </c>
      <c r="Q46" s="2">
        <v>46</v>
      </c>
      <c r="R46" s="3">
        <v>10</v>
      </c>
      <c r="S46" s="3">
        <v>19</v>
      </c>
      <c r="T46" s="3">
        <v>23</v>
      </c>
      <c r="U46" s="3">
        <v>26</v>
      </c>
      <c r="V46" s="3">
        <v>32</v>
      </c>
      <c r="W46" s="3">
        <v>39</v>
      </c>
      <c r="X46" s="4">
        <v>16</v>
      </c>
      <c r="Y46" s="5">
        <v>1092</v>
      </c>
    </row>
    <row r="47" spans="1:25" x14ac:dyDescent="0.25">
      <c r="A47" s="4">
        <v>2014</v>
      </c>
      <c r="B47" s="7">
        <v>41789</v>
      </c>
      <c r="C47" s="2">
        <v>47</v>
      </c>
      <c r="D47" s="3">
        <v>21</v>
      </c>
      <c r="E47" s="3">
        <v>9</v>
      </c>
      <c r="F47" s="3">
        <v>17</v>
      </c>
      <c r="G47" s="3">
        <v>35</v>
      </c>
      <c r="H47" s="3">
        <v>24</v>
      </c>
      <c r="I47" s="3">
        <v>30</v>
      </c>
      <c r="J47" s="4">
        <v>15</v>
      </c>
      <c r="K47" s="5">
        <v>1093</v>
      </c>
      <c r="L47" t="str">
        <f t="shared" si="6"/>
        <v>20140530047</v>
      </c>
      <c r="M47" t="str">
        <f t="shared" si="7"/>
        <v>20140530</v>
      </c>
      <c r="O47" s="4">
        <v>2014</v>
      </c>
      <c r="P47" s="7">
        <v>42154</v>
      </c>
      <c r="Q47" s="2">
        <v>47</v>
      </c>
      <c r="R47" s="3">
        <v>9</v>
      </c>
      <c r="S47" s="3">
        <v>17</v>
      </c>
      <c r="T47" s="3">
        <v>21</v>
      </c>
      <c r="U47" s="3">
        <v>24</v>
      </c>
      <c r="V47" s="3">
        <v>30</v>
      </c>
      <c r="W47" s="3">
        <v>35</v>
      </c>
      <c r="X47" s="4">
        <v>15</v>
      </c>
      <c r="Y47" s="5">
        <v>1093</v>
      </c>
    </row>
    <row r="48" spans="1:25" x14ac:dyDescent="0.25">
      <c r="A48" s="4">
        <v>2014</v>
      </c>
      <c r="B48" s="7">
        <v>41793</v>
      </c>
      <c r="C48" s="2">
        <v>48</v>
      </c>
      <c r="D48" s="3">
        <v>31</v>
      </c>
      <c r="E48" s="3">
        <v>32</v>
      </c>
      <c r="F48" s="3">
        <v>16</v>
      </c>
      <c r="G48" s="3">
        <v>44</v>
      </c>
      <c r="H48" s="3">
        <v>35</v>
      </c>
      <c r="I48" s="3">
        <v>33</v>
      </c>
      <c r="J48" s="4">
        <v>46</v>
      </c>
      <c r="K48" s="5">
        <v>1094</v>
      </c>
      <c r="L48" t="str">
        <f t="shared" si="6"/>
        <v>20140603048</v>
      </c>
      <c r="M48" t="str">
        <f t="shared" si="7"/>
        <v>20140603</v>
      </c>
      <c r="O48" s="4">
        <v>2014</v>
      </c>
      <c r="P48" s="7">
        <v>42158</v>
      </c>
      <c r="Q48" s="2">
        <v>48</v>
      </c>
      <c r="R48" s="3">
        <v>16</v>
      </c>
      <c r="S48" s="3">
        <v>31</v>
      </c>
      <c r="T48" s="3">
        <v>32</v>
      </c>
      <c r="U48" s="3">
        <v>33</v>
      </c>
      <c r="V48" s="3">
        <v>35</v>
      </c>
      <c r="W48" s="3">
        <v>44</v>
      </c>
      <c r="X48" s="4">
        <v>46</v>
      </c>
      <c r="Y48" s="5">
        <v>1094</v>
      </c>
    </row>
    <row r="49" spans="1:25" x14ac:dyDescent="0.25">
      <c r="A49" s="4">
        <v>2014</v>
      </c>
      <c r="B49" s="7">
        <v>41796</v>
      </c>
      <c r="C49" s="2">
        <v>49</v>
      </c>
      <c r="D49" s="3">
        <v>41</v>
      </c>
      <c r="E49" s="3">
        <v>29</v>
      </c>
      <c r="F49" s="3">
        <v>47</v>
      </c>
      <c r="G49" s="3">
        <v>49</v>
      </c>
      <c r="H49" s="3">
        <v>25</v>
      </c>
      <c r="I49" s="3">
        <v>40</v>
      </c>
      <c r="J49" s="4">
        <v>48</v>
      </c>
      <c r="K49" s="5">
        <v>1095</v>
      </c>
      <c r="L49" t="str">
        <f t="shared" si="6"/>
        <v>20140606049</v>
      </c>
      <c r="M49" t="str">
        <f t="shared" si="7"/>
        <v>20140606</v>
      </c>
      <c r="O49" s="4">
        <v>2014</v>
      </c>
      <c r="P49" s="7">
        <v>42161</v>
      </c>
      <c r="Q49" s="2">
        <v>49</v>
      </c>
      <c r="R49" s="3">
        <v>25</v>
      </c>
      <c r="S49" s="3">
        <v>29</v>
      </c>
      <c r="T49" s="3">
        <v>40</v>
      </c>
      <c r="U49" s="3">
        <v>41</v>
      </c>
      <c r="V49" s="3">
        <v>47</v>
      </c>
      <c r="W49" s="3">
        <v>49</v>
      </c>
      <c r="X49" s="4">
        <v>48</v>
      </c>
      <c r="Y49" s="5">
        <v>1095</v>
      </c>
    </row>
    <row r="50" spans="1:25" x14ac:dyDescent="0.25">
      <c r="A50" s="4">
        <v>2014</v>
      </c>
      <c r="B50" s="7">
        <v>41800</v>
      </c>
      <c r="C50" s="2">
        <v>50</v>
      </c>
      <c r="D50" s="3">
        <v>3</v>
      </c>
      <c r="E50" s="3">
        <v>32</v>
      </c>
      <c r="F50" s="3">
        <v>11</v>
      </c>
      <c r="G50" s="3">
        <v>35</v>
      </c>
      <c r="H50" s="3">
        <v>33</v>
      </c>
      <c r="I50" s="3">
        <v>28</v>
      </c>
      <c r="J50" s="4">
        <v>30</v>
      </c>
      <c r="K50" s="5">
        <v>1096</v>
      </c>
      <c r="L50" t="str">
        <f t="shared" si="6"/>
        <v>20140610050</v>
      </c>
      <c r="M50" t="str">
        <f t="shared" si="7"/>
        <v>20140610</v>
      </c>
      <c r="O50" s="4">
        <v>2014</v>
      </c>
      <c r="P50" s="7">
        <v>42165</v>
      </c>
      <c r="Q50" s="2">
        <v>50</v>
      </c>
      <c r="R50" s="3">
        <v>3</v>
      </c>
      <c r="S50" s="3">
        <v>11</v>
      </c>
      <c r="T50" s="3">
        <v>28</v>
      </c>
      <c r="U50" s="3">
        <v>32</v>
      </c>
      <c r="V50" s="3">
        <v>33</v>
      </c>
      <c r="W50" s="3">
        <v>35</v>
      </c>
      <c r="X50" s="4">
        <v>30</v>
      </c>
      <c r="Y50" s="5">
        <v>1096</v>
      </c>
    </row>
    <row r="51" spans="1:25" x14ac:dyDescent="0.25">
      <c r="A51" s="4">
        <v>2014</v>
      </c>
      <c r="B51" s="7">
        <v>41803</v>
      </c>
      <c r="C51" s="2">
        <v>51</v>
      </c>
      <c r="D51" s="3">
        <v>28</v>
      </c>
      <c r="E51" s="3">
        <v>32</v>
      </c>
      <c r="F51" s="3">
        <v>37</v>
      </c>
      <c r="G51" s="3">
        <v>42</v>
      </c>
      <c r="H51" s="3">
        <v>4</v>
      </c>
      <c r="I51" s="3">
        <v>21</v>
      </c>
      <c r="J51" s="4">
        <v>16</v>
      </c>
      <c r="K51" s="5">
        <v>1097</v>
      </c>
      <c r="L51" t="str">
        <f t="shared" si="6"/>
        <v>20140613051</v>
      </c>
      <c r="M51" t="str">
        <f t="shared" si="7"/>
        <v>20140613</v>
      </c>
      <c r="O51" s="4">
        <v>2014</v>
      </c>
      <c r="P51" s="7">
        <v>42168</v>
      </c>
      <c r="Q51" s="2">
        <v>51</v>
      </c>
      <c r="R51" s="3">
        <v>4</v>
      </c>
      <c r="S51" s="3">
        <v>21</v>
      </c>
      <c r="T51" s="3">
        <v>28</v>
      </c>
      <c r="U51" s="3">
        <v>32</v>
      </c>
      <c r="V51" s="3">
        <v>37</v>
      </c>
      <c r="W51" s="3">
        <v>42</v>
      </c>
      <c r="X51" s="4">
        <v>16</v>
      </c>
      <c r="Y51" s="5">
        <v>1097</v>
      </c>
    </row>
    <row r="52" spans="1:25" x14ac:dyDescent="0.25">
      <c r="A52" s="4">
        <v>2014</v>
      </c>
      <c r="B52" s="7">
        <v>41807</v>
      </c>
      <c r="C52" s="2">
        <v>52</v>
      </c>
      <c r="D52" s="3">
        <v>3</v>
      </c>
      <c r="E52" s="3">
        <v>6</v>
      </c>
      <c r="F52" s="3">
        <v>20</v>
      </c>
      <c r="G52" s="3">
        <v>48</v>
      </c>
      <c r="H52" s="3">
        <v>18</v>
      </c>
      <c r="I52" s="3">
        <v>25</v>
      </c>
      <c r="J52" s="4">
        <v>12</v>
      </c>
      <c r="K52" s="5">
        <v>1098</v>
      </c>
      <c r="L52" t="str">
        <f t="shared" si="6"/>
        <v>20140617052</v>
      </c>
      <c r="M52" t="str">
        <f t="shared" si="7"/>
        <v>20140617</v>
      </c>
      <c r="O52" s="4">
        <v>2014</v>
      </c>
      <c r="P52" s="7">
        <v>42172</v>
      </c>
      <c r="Q52" s="2">
        <v>52</v>
      </c>
      <c r="R52" s="3">
        <v>3</v>
      </c>
      <c r="S52" s="3">
        <v>6</v>
      </c>
      <c r="T52" s="3">
        <v>18</v>
      </c>
      <c r="U52" s="3">
        <v>20</v>
      </c>
      <c r="V52" s="3">
        <v>25</v>
      </c>
      <c r="W52" s="3">
        <v>48</v>
      </c>
      <c r="X52" s="4">
        <v>12</v>
      </c>
      <c r="Y52" s="5">
        <v>1098</v>
      </c>
    </row>
    <row r="53" spans="1:25" x14ac:dyDescent="0.25">
      <c r="A53" s="4">
        <v>2014</v>
      </c>
      <c r="B53" s="7">
        <v>41810</v>
      </c>
      <c r="C53" s="2">
        <v>53</v>
      </c>
      <c r="D53" s="3">
        <v>14</v>
      </c>
      <c r="E53" s="3">
        <v>36</v>
      </c>
      <c r="F53" s="3">
        <v>12</v>
      </c>
      <c r="G53" s="3">
        <v>16</v>
      </c>
      <c r="H53" s="3">
        <v>33</v>
      </c>
      <c r="I53" s="3">
        <v>47</v>
      </c>
      <c r="J53" s="4">
        <v>48</v>
      </c>
      <c r="K53" s="5">
        <v>1099</v>
      </c>
      <c r="L53" t="str">
        <f t="shared" si="6"/>
        <v>20140620053</v>
      </c>
      <c r="M53" t="str">
        <f t="shared" si="7"/>
        <v>20140620</v>
      </c>
      <c r="O53" s="4">
        <v>2014</v>
      </c>
      <c r="P53" s="7">
        <v>42175</v>
      </c>
      <c r="Q53" s="2">
        <v>53</v>
      </c>
      <c r="R53" s="3">
        <v>12</v>
      </c>
      <c r="S53" s="3">
        <v>14</v>
      </c>
      <c r="T53" s="3">
        <v>16</v>
      </c>
      <c r="U53" s="3">
        <v>33</v>
      </c>
      <c r="V53" s="3">
        <v>36</v>
      </c>
      <c r="W53" s="3">
        <v>47</v>
      </c>
      <c r="X53" s="4">
        <v>48</v>
      </c>
      <c r="Y53" s="5">
        <v>1099</v>
      </c>
    </row>
    <row r="54" spans="1:25" x14ac:dyDescent="0.25">
      <c r="A54" s="4">
        <v>2014</v>
      </c>
      <c r="B54" s="7">
        <v>41814</v>
      </c>
      <c r="C54" s="2">
        <v>54</v>
      </c>
      <c r="D54" s="3">
        <v>14</v>
      </c>
      <c r="E54" s="3">
        <v>40</v>
      </c>
      <c r="F54" s="3">
        <v>8</v>
      </c>
      <c r="G54" s="3">
        <v>1</v>
      </c>
      <c r="H54" s="3">
        <v>12</v>
      </c>
      <c r="I54" s="3">
        <v>41</v>
      </c>
      <c r="J54" s="4">
        <v>15</v>
      </c>
      <c r="K54" s="5">
        <v>1100</v>
      </c>
      <c r="L54" t="str">
        <f t="shared" si="6"/>
        <v>20140624054</v>
      </c>
      <c r="M54" t="str">
        <f t="shared" si="7"/>
        <v>20140624</v>
      </c>
      <c r="O54" s="4">
        <v>2014</v>
      </c>
      <c r="P54" s="7">
        <v>42179</v>
      </c>
      <c r="Q54" s="2">
        <v>54</v>
      </c>
      <c r="R54" s="3">
        <v>1</v>
      </c>
      <c r="S54" s="3">
        <v>8</v>
      </c>
      <c r="T54" s="3">
        <v>12</v>
      </c>
      <c r="U54" s="3">
        <v>14</v>
      </c>
      <c r="V54" s="3">
        <v>40</v>
      </c>
      <c r="W54" s="3">
        <v>41</v>
      </c>
      <c r="X54" s="4">
        <v>15</v>
      </c>
      <c r="Y54" s="5">
        <v>1100</v>
      </c>
    </row>
    <row r="55" spans="1:25" x14ac:dyDescent="0.25">
      <c r="A55" s="4">
        <v>2014</v>
      </c>
      <c r="B55" s="7">
        <v>41817</v>
      </c>
      <c r="C55" s="2">
        <v>55</v>
      </c>
      <c r="D55" s="3">
        <v>35</v>
      </c>
      <c r="E55" s="3">
        <v>24</v>
      </c>
      <c r="F55" s="3">
        <v>36</v>
      </c>
      <c r="G55" s="3">
        <v>27</v>
      </c>
      <c r="H55" s="3">
        <v>13</v>
      </c>
      <c r="I55" s="3">
        <v>21</v>
      </c>
      <c r="J55" s="4">
        <v>24</v>
      </c>
      <c r="K55" s="5">
        <v>1101</v>
      </c>
      <c r="L55" t="str">
        <f t="shared" si="6"/>
        <v>20140627055</v>
      </c>
      <c r="M55" t="str">
        <f t="shared" si="7"/>
        <v>20140627</v>
      </c>
      <c r="O55" s="4">
        <v>2014</v>
      </c>
      <c r="P55" s="7">
        <v>42182</v>
      </c>
      <c r="Q55" s="2">
        <v>55</v>
      </c>
      <c r="R55" s="3">
        <v>13</v>
      </c>
      <c r="S55" s="3">
        <v>21</v>
      </c>
      <c r="T55" s="3">
        <v>27</v>
      </c>
      <c r="U55" s="3">
        <v>34</v>
      </c>
      <c r="V55" s="3">
        <v>35</v>
      </c>
      <c r="W55" s="3">
        <v>36</v>
      </c>
      <c r="X55" s="4">
        <v>24</v>
      </c>
      <c r="Y55" s="5">
        <v>1101</v>
      </c>
    </row>
    <row r="56" spans="1:25" x14ac:dyDescent="0.25">
      <c r="A56" s="4">
        <v>2014</v>
      </c>
      <c r="B56" s="7">
        <v>41821</v>
      </c>
      <c r="C56" s="2">
        <v>56</v>
      </c>
      <c r="D56" s="3">
        <v>9</v>
      </c>
      <c r="E56" s="3">
        <v>21</v>
      </c>
      <c r="F56" s="3">
        <v>48</v>
      </c>
      <c r="G56" s="3">
        <v>8</v>
      </c>
      <c r="H56" s="3">
        <v>7</v>
      </c>
      <c r="I56" s="3">
        <v>9</v>
      </c>
      <c r="J56" s="4">
        <v>18</v>
      </c>
      <c r="K56" s="5">
        <v>1102</v>
      </c>
      <c r="L56" t="str">
        <f t="shared" si="6"/>
        <v>20140701056</v>
      </c>
      <c r="M56" t="str">
        <f t="shared" si="7"/>
        <v>20140701</v>
      </c>
      <c r="O56" s="4">
        <v>2014</v>
      </c>
      <c r="P56" s="7">
        <v>42186</v>
      </c>
      <c r="Q56" s="2">
        <v>56</v>
      </c>
      <c r="R56" s="3">
        <v>6</v>
      </c>
      <c r="S56" s="3">
        <v>7</v>
      </c>
      <c r="T56" s="3">
        <v>8</v>
      </c>
      <c r="U56" s="3">
        <v>9</v>
      </c>
      <c r="V56" s="3">
        <v>21</v>
      </c>
      <c r="W56" s="3">
        <v>48</v>
      </c>
      <c r="X56" s="4">
        <v>18</v>
      </c>
      <c r="Y56" s="5">
        <v>1102</v>
      </c>
    </row>
    <row r="57" spans="1:25" x14ac:dyDescent="0.25">
      <c r="A57" s="4">
        <v>2014</v>
      </c>
      <c r="B57" s="7">
        <v>41824</v>
      </c>
      <c r="C57" s="2">
        <v>57</v>
      </c>
      <c r="D57" s="3">
        <v>48</v>
      </c>
      <c r="E57" s="3">
        <v>14</v>
      </c>
      <c r="F57" s="3">
        <v>24</v>
      </c>
      <c r="G57" s="3">
        <v>17</v>
      </c>
      <c r="H57" s="3">
        <v>27</v>
      </c>
      <c r="I57" s="3">
        <v>3</v>
      </c>
      <c r="J57" s="4">
        <v>28</v>
      </c>
      <c r="K57" s="5">
        <v>1103</v>
      </c>
      <c r="L57" t="str">
        <f t="shared" si="6"/>
        <v>20140704057</v>
      </c>
      <c r="M57" t="str">
        <f t="shared" si="7"/>
        <v>20140704</v>
      </c>
      <c r="O57" s="4">
        <v>2014</v>
      </c>
      <c r="P57" s="7">
        <v>42189</v>
      </c>
      <c r="Q57" s="2">
        <v>57</v>
      </c>
      <c r="R57" s="3">
        <v>3</v>
      </c>
      <c r="S57" s="3">
        <v>14</v>
      </c>
      <c r="T57" s="3">
        <v>17</v>
      </c>
      <c r="U57" s="3">
        <v>24</v>
      </c>
      <c r="V57" s="3">
        <v>27</v>
      </c>
      <c r="W57" s="3">
        <v>48</v>
      </c>
      <c r="X57" s="4">
        <v>28</v>
      </c>
      <c r="Y57" s="5">
        <v>1103</v>
      </c>
    </row>
    <row r="58" spans="1:25" x14ac:dyDescent="0.25">
      <c r="A58" s="4">
        <v>2014</v>
      </c>
      <c r="B58" s="7">
        <v>41828</v>
      </c>
      <c r="C58" s="2">
        <v>58</v>
      </c>
      <c r="D58" s="3">
        <v>33</v>
      </c>
      <c r="E58" s="3">
        <v>10</v>
      </c>
      <c r="F58" s="3">
        <v>39</v>
      </c>
      <c r="G58" s="3">
        <v>22</v>
      </c>
      <c r="H58" s="3">
        <v>47</v>
      </c>
      <c r="I58" s="3">
        <v>25</v>
      </c>
      <c r="J58" s="4">
        <v>38</v>
      </c>
      <c r="K58" s="5">
        <v>1104</v>
      </c>
      <c r="L58" t="str">
        <f t="shared" si="6"/>
        <v>20140708058</v>
      </c>
      <c r="M58" t="str">
        <f t="shared" si="7"/>
        <v>20140708</v>
      </c>
      <c r="O58" s="4">
        <v>2014</v>
      </c>
      <c r="P58" s="7">
        <v>42193</v>
      </c>
      <c r="Q58" s="2">
        <v>58</v>
      </c>
      <c r="R58" s="3">
        <v>10</v>
      </c>
      <c r="S58" s="3">
        <v>22</v>
      </c>
      <c r="T58" s="3">
        <v>25</v>
      </c>
      <c r="U58" s="3">
        <v>33</v>
      </c>
      <c r="V58" s="3">
        <v>39</v>
      </c>
      <c r="W58" s="3">
        <v>47</v>
      </c>
      <c r="X58" s="4">
        <v>38</v>
      </c>
      <c r="Y58" s="5">
        <v>1104</v>
      </c>
    </row>
    <row r="59" spans="1:25" x14ac:dyDescent="0.25">
      <c r="A59" s="4">
        <v>2014</v>
      </c>
      <c r="B59" s="7">
        <v>41831</v>
      </c>
      <c r="C59" s="2">
        <v>59</v>
      </c>
      <c r="D59" s="3">
        <v>7</v>
      </c>
      <c r="E59" s="3">
        <v>18</v>
      </c>
      <c r="F59" s="3">
        <v>30</v>
      </c>
      <c r="G59" s="3">
        <v>1</v>
      </c>
      <c r="H59" s="3">
        <v>15</v>
      </c>
      <c r="I59" s="3">
        <v>14</v>
      </c>
      <c r="J59" s="4">
        <v>33</v>
      </c>
      <c r="K59" s="5">
        <v>1105</v>
      </c>
      <c r="L59" t="str">
        <f t="shared" si="6"/>
        <v>20140711059</v>
      </c>
      <c r="M59" t="str">
        <f t="shared" si="7"/>
        <v>20140711</v>
      </c>
      <c r="O59" s="4">
        <v>2014</v>
      </c>
      <c r="P59" s="7">
        <v>42196</v>
      </c>
      <c r="Q59" s="2">
        <v>59</v>
      </c>
      <c r="R59" s="3">
        <v>1</v>
      </c>
      <c r="S59" s="3">
        <v>7</v>
      </c>
      <c r="T59" s="3">
        <v>14</v>
      </c>
      <c r="U59" s="3">
        <v>15</v>
      </c>
      <c r="V59" s="3">
        <v>18</v>
      </c>
      <c r="W59" s="3">
        <v>30</v>
      </c>
      <c r="X59" s="4">
        <v>33</v>
      </c>
      <c r="Y59" s="5">
        <v>1105</v>
      </c>
    </row>
    <row r="60" spans="1:25" x14ac:dyDescent="0.25">
      <c r="A60" s="4">
        <v>2014</v>
      </c>
      <c r="B60" s="7">
        <v>41835</v>
      </c>
      <c r="C60" s="2">
        <v>60</v>
      </c>
      <c r="D60" s="3">
        <v>7</v>
      </c>
      <c r="E60" s="3">
        <v>32</v>
      </c>
      <c r="F60" s="3">
        <v>18</v>
      </c>
      <c r="G60" s="3">
        <v>23</v>
      </c>
      <c r="H60" s="3">
        <v>48</v>
      </c>
      <c r="I60" s="3">
        <v>34</v>
      </c>
      <c r="J60" s="4">
        <v>13</v>
      </c>
      <c r="K60" s="5">
        <v>1106</v>
      </c>
      <c r="L60" t="str">
        <f t="shared" si="6"/>
        <v>20140715060</v>
      </c>
      <c r="M60" t="str">
        <f t="shared" si="7"/>
        <v>20140715</v>
      </c>
      <c r="O60" s="4">
        <v>2014</v>
      </c>
      <c r="P60" s="7">
        <v>42200</v>
      </c>
      <c r="Q60" s="2">
        <v>60</v>
      </c>
      <c r="R60" s="3">
        <v>7</v>
      </c>
      <c r="S60" s="3">
        <v>18</v>
      </c>
      <c r="T60" s="3">
        <v>23</v>
      </c>
      <c r="U60" s="3">
        <v>32</v>
      </c>
      <c r="V60" s="3">
        <v>34</v>
      </c>
      <c r="W60" s="3">
        <v>48</v>
      </c>
      <c r="X60" s="4">
        <v>13</v>
      </c>
      <c r="Y60" s="5">
        <v>1106</v>
      </c>
    </row>
    <row r="61" spans="1:25" x14ac:dyDescent="0.25">
      <c r="A61" s="4">
        <v>2014</v>
      </c>
      <c r="B61" s="7">
        <v>41838</v>
      </c>
      <c r="C61" s="2">
        <v>61</v>
      </c>
      <c r="D61" s="3">
        <v>19</v>
      </c>
      <c r="E61" s="3">
        <v>15</v>
      </c>
      <c r="F61" s="3">
        <v>21</v>
      </c>
      <c r="G61" s="3">
        <v>2</v>
      </c>
      <c r="H61" s="3">
        <v>30</v>
      </c>
      <c r="I61" s="3">
        <v>1</v>
      </c>
      <c r="J61" s="4">
        <v>40</v>
      </c>
      <c r="K61" s="5">
        <v>1107</v>
      </c>
      <c r="L61" t="str">
        <f t="shared" si="6"/>
        <v>20140718061</v>
      </c>
      <c r="M61" t="str">
        <f t="shared" si="7"/>
        <v>20140718</v>
      </c>
      <c r="O61" s="4">
        <v>2014</v>
      </c>
      <c r="P61" s="7">
        <v>42203</v>
      </c>
      <c r="Q61" s="2">
        <v>61</v>
      </c>
      <c r="R61" s="3">
        <v>1</v>
      </c>
      <c r="S61" s="3">
        <v>2</v>
      </c>
      <c r="T61" s="3">
        <v>15</v>
      </c>
      <c r="U61" s="3">
        <v>19</v>
      </c>
      <c r="V61" s="3">
        <v>21</v>
      </c>
      <c r="W61" s="3">
        <v>30</v>
      </c>
      <c r="X61" s="4">
        <v>40</v>
      </c>
      <c r="Y61" s="5">
        <v>1107</v>
      </c>
    </row>
    <row r="62" spans="1:25" x14ac:dyDescent="0.25">
      <c r="A62" s="4">
        <v>2014</v>
      </c>
      <c r="B62" s="7">
        <v>41842</v>
      </c>
      <c r="C62" s="2">
        <v>62</v>
      </c>
      <c r="D62" s="3">
        <v>28</v>
      </c>
      <c r="E62" s="3">
        <v>3</v>
      </c>
      <c r="F62" s="3">
        <v>13</v>
      </c>
      <c r="G62" s="3">
        <v>9</v>
      </c>
      <c r="H62" s="3">
        <v>17</v>
      </c>
      <c r="I62" s="3">
        <v>42</v>
      </c>
      <c r="J62" s="4">
        <v>14</v>
      </c>
      <c r="K62" s="5">
        <v>1108</v>
      </c>
      <c r="L62" t="str">
        <f t="shared" si="6"/>
        <v>20140722062</v>
      </c>
      <c r="M62" t="str">
        <f t="shared" si="7"/>
        <v>20140722</v>
      </c>
      <c r="O62" s="4">
        <v>2014</v>
      </c>
      <c r="P62" s="7">
        <v>42207</v>
      </c>
      <c r="Q62" s="2">
        <v>62</v>
      </c>
      <c r="R62" s="3">
        <v>3</v>
      </c>
      <c r="S62" s="3">
        <v>9</v>
      </c>
      <c r="T62" s="3">
        <v>13</v>
      </c>
      <c r="U62" s="3">
        <v>17</v>
      </c>
      <c r="V62" s="3">
        <v>28</v>
      </c>
      <c r="W62" s="3">
        <v>42</v>
      </c>
      <c r="X62" s="4">
        <v>14</v>
      </c>
      <c r="Y62" s="5">
        <v>1108</v>
      </c>
    </row>
    <row r="63" spans="1:25" x14ac:dyDescent="0.25">
      <c r="A63" s="4">
        <v>2014</v>
      </c>
      <c r="B63" s="7">
        <v>41845</v>
      </c>
      <c r="C63" s="2">
        <v>63</v>
      </c>
      <c r="D63" s="3">
        <v>45</v>
      </c>
      <c r="E63" s="3">
        <v>30</v>
      </c>
      <c r="F63" s="3">
        <v>21</v>
      </c>
      <c r="G63" s="3">
        <v>32</v>
      </c>
      <c r="H63" s="3">
        <v>5</v>
      </c>
      <c r="I63" s="3">
        <v>35</v>
      </c>
      <c r="J63" s="4">
        <v>26</v>
      </c>
      <c r="K63" s="5">
        <v>1109</v>
      </c>
      <c r="L63" t="str">
        <f t="shared" si="6"/>
        <v>20140725063</v>
      </c>
      <c r="M63" t="str">
        <f t="shared" si="7"/>
        <v>20140725</v>
      </c>
      <c r="O63" s="4">
        <v>2014</v>
      </c>
      <c r="P63" s="7">
        <v>42210</v>
      </c>
      <c r="Q63" s="2">
        <v>63</v>
      </c>
      <c r="R63" s="3">
        <v>5</v>
      </c>
      <c r="S63" s="3">
        <v>21</v>
      </c>
      <c r="T63" s="3">
        <v>30</v>
      </c>
      <c r="U63" s="3">
        <v>32</v>
      </c>
      <c r="V63" s="3">
        <v>35</v>
      </c>
      <c r="W63" s="3">
        <v>45</v>
      </c>
      <c r="X63" s="4">
        <v>26</v>
      </c>
      <c r="Y63" s="5">
        <v>1109</v>
      </c>
    </row>
    <row r="64" spans="1:25" x14ac:dyDescent="0.25">
      <c r="A64" s="4">
        <v>2014</v>
      </c>
      <c r="B64" s="7">
        <v>41849</v>
      </c>
      <c r="C64" s="2">
        <v>64</v>
      </c>
      <c r="D64" s="3">
        <v>47</v>
      </c>
      <c r="E64" s="3">
        <v>36</v>
      </c>
      <c r="F64" s="3">
        <v>32</v>
      </c>
      <c r="G64" s="3">
        <v>31</v>
      </c>
      <c r="H64" s="3">
        <v>44</v>
      </c>
      <c r="I64" s="3">
        <v>34</v>
      </c>
      <c r="J64" s="4">
        <v>46</v>
      </c>
      <c r="K64" s="5">
        <v>1110</v>
      </c>
      <c r="L64" t="str">
        <f t="shared" si="6"/>
        <v>20140729064</v>
      </c>
      <c r="M64" t="str">
        <f t="shared" si="7"/>
        <v>20140729</v>
      </c>
      <c r="O64" s="4">
        <v>2014</v>
      </c>
      <c r="P64" s="7">
        <v>42214</v>
      </c>
      <c r="Q64" s="2">
        <v>64</v>
      </c>
      <c r="R64" s="3">
        <v>31</v>
      </c>
      <c r="S64" s="3">
        <v>32</v>
      </c>
      <c r="T64" s="3">
        <v>34</v>
      </c>
      <c r="U64" s="3">
        <v>36</v>
      </c>
      <c r="V64" s="3">
        <v>44</v>
      </c>
      <c r="W64" s="3">
        <v>47</v>
      </c>
      <c r="X64" s="4">
        <v>46</v>
      </c>
      <c r="Y64" s="5">
        <v>1110</v>
      </c>
    </row>
    <row r="65" spans="1:25" x14ac:dyDescent="0.25">
      <c r="A65" s="4">
        <v>2014</v>
      </c>
      <c r="B65" s="7">
        <v>41852</v>
      </c>
      <c r="C65" s="2">
        <v>65</v>
      </c>
      <c r="D65" s="3">
        <v>45</v>
      </c>
      <c r="E65" s="3">
        <v>8</v>
      </c>
      <c r="F65" s="3">
        <v>21</v>
      </c>
      <c r="G65" s="3">
        <v>32</v>
      </c>
      <c r="H65" s="3">
        <v>5</v>
      </c>
      <c r="I65" s="3">
        <v>23</v>
      </c>
      <c r="J65" s="4">
        <v>18</v>
      </c>
      <c r="K65" s="5">
        <v>1111</v>
      </c>
      <c r="L65" t="str">
        <f t="shared" si="6"/>
        <v>20140801065</v>
      </c>
      <c r="M65" t="str">
        <f t="shared" si="7"/>
        <v>20140801</v>
      </c>
      <c r="O65" s="4">
        <v>2014</v>
      </c>
      <c r="P65" s="7">
        <v>42217</v>
      </c>
      <c r="Q65" s="2">
        <v>65</v>
      </c>
      <c r="R65" s="3">
        <v>5</v>
      </c>
      <c r="S65" s="3">
        <v>8</v>
      </c>
      <c r="T65" s="3">
        <v>21</v>
      </c>
      <c r="U65" s="3">
        <v>23</v>
      </c>
      <c r="V65" s="3">
        <v>32</v>
      </c>
      <c r="W65" s="3">
        <v>45</v>
      </c>
      <c r="X65" s="4">
        <v>18</v>
      </c>
      <c r="Y65" s="5">
        <v>1111</v>
      </c>
    </row>
    <row r="66" spans="1:25" x14ac:dyDescent="0.25">
      <c r="A66" s="4">
        <v>2014</v>
      </c>
      <c r="B66" s="7">
        <v>41856</v>
      </c>
      <c r="C66" s="2">
        <v>66</v>
      </c>
      <c r="D66" s="3">
        <v>40</v>
      </c>
      <c r="E66" s="3">
        <v>11</v>
      </c>
      <c r="F66" s="3">
        <v>26</v>
      </c>
      <c r="G66" s="3">
        <v>33</v>
      </c>
      <c r="H66" s="3">
        <v>4</v>
      </c>
      <c r="I66" s="3">
        <v>42</v>
      </c>
      <c r="J66" s="4">
        <v>34</v>
      </c>
      <c r="K66" s="5">
        <v>1112</v>
      </c>
      <c r="L66" t="str">
        <f t="shared" si="6"/>
        <v>20140805066</v>
      </c>
      <c r="M66" t="str">
        <f t="shared" si="7"/>
        <v>20140805</v>
      </c>
      <c r="O66" s="4">
        <v>2014</v>
      </c>
      <c r="P66" s="7">
        <v>42221</v>
      </c>
      <c r="Q66" s="2">
        <v>66</v>
      </c>
      <c r="R66" s="3">
        <v>4</v>
      </c>
      <c r="S66" s="3">
        <v>11</v>
      </c>
      <c r="T66" s="3">
        <v>26</v>
      </c>
      <c r="U66" s="3">
        <v>33</v>
      </c>
      <c r="V66" s="3">
        <v>40</v>
      </c>
      <c r="W66" s="3">
        <v>42</v>
      </c>
      <c r="X66" s="4">
        <v>34</v>
      </c>
      <c r="Y66" s="5">
        <v>1112</v>
      </c>
    </row>
    <row r="67" spans="1:25" x14ac:dyDescent="0.25">
      <c r="A67" s="4">
        <v>2014</v>
      </c>
      <c r="B67" s="7">
        <v>41859</v>
      </c>
      <c r="C67" s="2">
        <v>67</v>
      </c>
      <c r="D67" s="3">
        <v>32</v>
      </c>
      <c r="E67" s="3">
        <v>42</v>
      </c>
      <c r="F67" s="3">
        <v>26</v>
      </c>
      <c r="G67" s="3">
        <v>45</v>
      </c>
      <c r="H67" s="3">
        <v>38</v>
      </c>
      <c r="I67" s="3">
        <v>31</v>
      </c>
      <c r="J67" s="4">
        <v>37</v>
      </c>
      <c r="K67" s="5">
        <v>1113</v>
      </c>
      <c r="L67" t="str">
        <f t="shared" si="6"/>
        <v>20140808067</v>
      </c>
      <c r="M67" t="str">
        <f t="shared" si="7"/>
        <v>20140808</v>
      </c>
      <c r="O67" s="4">
        <v>2014</v>
      </c>
      <c r="P67" s="7">
        <v>42224</v>
      </c>
      <c r="Q67" s="2">
        <v>67</v>
      </c>
      <c r="R67" s="3">
        <v>26</v>
      </c>
      <c r="S67" s="3">
        <v>31</v>
      </c>
      <c r="T67" s="3">
        <v>32</v>
      </c>
      <c r="U67" s="3">
        <v>38</v>
      </c>
      <c r="V67" s="3">
        <v>42</v>
      </c>
      <c r="W67" s="3">
        <v>45</v>
      </c>
      <c r="X67" s="4">
        <v>37</v>
      </c>
      <c r="Y67" s="5">
        <v>1113</v>
      </c>
    </row>
    <row r="68" spans="1:25" x14ac:dyDescent="0.25">
      <c r="A68" s="4">
        <v>2014</v>
      </c>
      <c r="B68" s="7">
        <v>41863</v>
      </c>
      <c r="C68" s="2">
        <v>68</v>
      </c>
      <c r="D68" s="3">
        <v>12</v>
      </c>
      <c r="E68" s="3">
        <v>10</v>
      </c>
      <c r="F68" s="3">
        <v>6</v>
      </c>
      <c r="G68" s="3">
        <v>4</v>
      </c>
      <c r="H68" s="3">
        <v>34</v>
      </c>
      <c r="I68" s="3">
        <v>45</v>
      </c>
      <c r="J68" s="4">
        <v>44</v>
      </c>
      <c r="K68" s="5">
        <v>1114</v>
      </c>
      <c r="L68" t="str">
        <f t="shared" si="6"/>
        <v>20140812068</v>
      </c>
      <c r="M68" t="str">
        <f t="shared" si="7"/>
        <v>20140812</v>
      </c>
      <c r="O68" s="4">
        <v>2014</v>
      </c>
      <c r="P68" s="7">
        <v>42228</v>
      </c>
      <c r="Q68" s="2">
        <v>68</v>
      </c>
      <c r="R68" s="3">
        <v>4</v>
      </c>
      <c r="S68" s="3">
        <v>6</v>
      </c>
      <c r="T68" s="3">
        <v>10</v>
      </c>
      <c r="U68" s="3">
        <v>12</v>
      </c>
      <c r="V68" s="3">
        <v>34</v>
      </c>
      <c r="W68" s="3">
        <v>45</v>
      </c>
      <c r="X68" s="4">
        <v>44</v>
      </c>
      <c r="Y68" s="5">
        <v>1114</v>
      </c>
    </row>
    <row r="69" spans="1:25" x14ac:dyDescent="0.25">
      <c r="A69" s="4">
        <v>2014</v>
      </c>
      <c r="B69" s="7">
        <v>41866</v>
      </c>
      <c r="C69" s="2">
        <v>69</v>
      </c>
      <c r="D69" s="3">
        <v>47</v>
      </c>
      <c r="E69" s="3">
        <v>46</v>
      </c>
      <c r="F69" s="3">
        <v>29</v>
      </c>
      <c r="G69" s="3">
        <v>23</v>
      </c>
      <c r="H69" s="3">
        <v>18</v>
      </c>
      <c r="I69" s="3">
        <v>48</v>
      </c>
      <c r="J69" s="4">
        <v>5</v>
      </c>
      <c r="K69" s="5">
        <v>1115</v>
      </c>
      <c r="L69" t="str">
        <f t="shared" si="6"/>
        <v>20140815069</v>
      </c>
      <c r="M69" t="str">
        <f t="shared" si="7"/>
        <v>20140815</v>
      </c>
      <c r="O69" s="4">
        <v>2014</v>
      </c>
      <c r="P69" s="7">
        <v>42231</v>
      </c>
      <c r="Q69" s="2">
        <v>69</v>
      </c>
      <c r="R69" s="3">
        <v>18</v>
      </c>
      <c r="S69" s="3">
        <v>23</v>
      </c>
      <c r="T69" s="3">
        <v>29</v>
      </c>
      <c r="U69" s="3">
        <v>46</v>
      </c>
      <c r="V69" s="3">
        <v>47</v>
      </c>
      <c r="W69" s="3">
        <v>48</v>
      </c>
      <c r="X69" s="4">
        <v>5</v>
      </c>
      <c r="Y69" s="5">
        <v>1115</v>
      </c>
    </row>
    <row r="70" spans="1:25" x14ac:dyDescent="0.25">
      <c r="A70" s="4">
        <v>2014</v>
      </c>
      <c r="B70" s="7">
        <v>41870</v>
      </c>
      <c r="C70" s="2">
        <v>70</v>
      </c>
      <c r="D70" s="3">
        <v>12</v>
      </c>
      <c r="E70" s="3">
        <v>19</v>
      </c>
      <c r="F70" s="3">
        <v>6</v>
      </c>
      <c r="G70" s="3">
        <v>7</v>
      </c>
      <c r="H70" s="3">
        <v>14</v>
      </c>
      <c r="I70" s="3">
        <v>9</v>
      </c>
      <c r="J70" s="4">
        <v>17</v>
      </c>
      <c r="K70" s="5">
        <v>1116</v>
      </c>
      <c r="L70" t="str">
        <f t="shared" ref="L70:L95" si="8">CONCATENATE(TEXT(A70,"0000"),TEXT(B70,"mmdd"),TEXT(C70,"000"))</f>
        <v>20140819070</v>
      </c>
      <c r="M70" t="str">
        <f t="shared" ref="M70:M95" si="9">CONCATENATE(TEXT(A70,"0000"),TEXT(B70,"mmdd"))</f>
        <v>20140819</v>
      </c>
      <c r="O70" s="4">
        <v>2014</v>
      </c>
      <c r="P70" s="7">
        <v>42235</v>
      </c>
      <c r="Q70" s="2">
        <v>70</v>
      </c>
      <c r="R70" s="3">
        <v>6</v>
      </c>
      <c r="S70" s="3">
        <v>7</v>
      </c>
      <c r="T70" s="3">
        <v>9</v>
      </c>
      <c r="U70" s="3">
        <v>12</v>
      </c>
      <c r="V70" s="3">
        <v>14</v>
      </c>
      <c r="W70" s="3">
        <v>19</v>
      </c>
      <c r="X70" s="4">
        <v>17</v>
      </c>
      <c r="Y70" s="5">
        <v>1116</v>
      </c>
    </row>
    <row r="71" spans="1:25" x14ac:dyDescent="0.25">
      <c r="A71" s="4">
        <v>2014</v>
      </c>
      <c r="B71" s="7">
        <v>41873</v>
      </c>
      <c r="C71" s="2">
        <v>71</v>
      </c>
      <c r="D71" s="3">
        <v>43</v>
      </c>
      <c r="E71" s="3">
        <v>8</v>
      </c>
      <c r="F71" s="3">
        <v>23</v>
      </c>
      <c r="G71" s="3">
        <v>30</v>
      </c>
      <c r="H71" s="3">
        <v>16</v>
      </c>
      <c r="I71" s="3">
        <v>31</v>
      </c>
      <c r="J71" s="4">
        <v>18</v>
      </c>
      <c r="K71" s="5">
        <v>1117</v>
      </c>
      <c r="L71" t="str">
        <f t="shared" si="8"/>
        <v>20140822071</v>
      </c>
      <c r="M71" t="str">
        <f t="shared" si="9"/>
        <v>20140822</v>
      </c>
      <c r="O71" s="4">
        <v>2014</v>
      </c>
      <c r="P71" s="7">
        <v>42238</v>
      </c>
      <c r="Q71" s="2">
        <v>71</v>
      </c>
      <c r="R71" s="3">
        <v>8</v>
      </c>
      <c r="S71" s="3">
        <v>16</v>
      </c>
      <c r="T71" s="3">
        <v>23</v>
      </c>
      <c r="U71" s="3">
        <v>30</v>
      </c>
      <c r="V71" s="3">
        <v>31</v>
      </c>
      <c r="W71" s="3">
        <v>43</v>
      </c>
      <c r="X71" s="4">
        <v>18</v>
      </c>
      <c r="Y71" s="5">
        <v>1117</v>
      </c>
    </row>
    <row r="72" spans="1:25" x14ac:dyDescent="0.25">
      <c r="A72" s="4">
        <v>2014</v>
      </c>
      <c r="B72" s="7">
        <v>41877</v>
      </c>
      <c r="C72" s="2">
        <v>72</v>
      </c>
      <c r="D72" s="3">
        <v>23</v>
      </c>
      <c r="E72" s="3">
        <v>32</v>
      </c>
      <c r="F72" s="3">
        <v>43</v>
      </c>
      <c r="G72" s="3">
        <v>19</v>
      </c>
      <c r="H72" s="3">
        <v>1</v>
      </c>
      <c r="I72" s="3">
        <v>17</v>
      </c>
      <c r="J72" s="4">
        <v>9</v>
      </c>
      <c r="K72" s="5">
        <v>1118</v>
      </c>
      <c r="L72" t="str">
        <f t="shared" si="8"/>
        <v>20140826072</v>
      </c>
      <c r="M72" t="str">
        <f t="shared" si="9"/>
        <v>20140826</v>
      </c>
      <c r="O72" s="4">
        <v>2014</v>
      </c>
      <c r="P72" s="7">
        <v>42242</v>
      </c>
      <c r="Q72" s="2">
        <v>72</v>
      </c>
      <c r="R72" s="3">
        <v>1</v>
      </c>
      <c r="S72" s="3">
        <v>17</v>
      </c>
      <c r="T72" s="3">
        <v>19</v>
      </c>
      <c r="U72" s="3">
        <v>23</v>
      </c>
      <c r="V72" s="3">
        <v>32</v>
      </c>
      <c r="W72" s="3">
        <v>43</v>
      </c>
      <c r="X72" s="4">
        <v>9</v>
      </c>
      <c r="Y72" s="5">
        <v>1118</v>
      </c>
    </row>
    <row r="73" spans="1:25" x14ac:dyDescent="0.25">
      <c r="A73" s="4">
        <v>2014</v>
      </c>
      <c r="B73" s="7">
        <v>41880</v>
      </c>
      <c r="C73" s="2">
        <v>73</v>
      </c>
      <c r="D73" s="3">
        <v>39</v>
      </c>
      <c r="E73" s="3">
        <v>38</v>
      </c>
      <c r="F73" s="3">
        <v>21</v>
      </c>
      <c r="G73" s="3">
        <v>23</v>
      </c>
      <c r="H73" s="3">
        <v>10</v>
      </c>
      <c r="I73" s="3">
        <v>9</v>
      </c>
      <c r="J73" s="4">
        <v>35</v>
      </c>
      <c r="K73" s="5">
        <v>1119</v>
      </c>
      <c r="L73" t="str">
        <f t="shared" si="8"/>
        <v>20140829073</v>
      </c>
      <c r="M73" t="str">
        <f t="shared" si="9"/>
        <v>20140829</v>
      </c>
      <c r="O73" s="4">
        <v>2014</v>
      </c>
      <c r="P73" s="7">
        <v>42245</v>
      </c>
      <c r="Q73" s="2">
        <v>73</v>
      </c>
      <c r="R73" s="3">
        <v>9</v>
      </c>
      <c r="S73" s="3">
        <v>10</v>
      </c>
      <c r="T73" s="3">
        <v>21</v>
      </c>
      <c r="U73" s="3">
        <v>23</v>
      </c>
      <c r="V73" s="3">
        <v>38</v>
      </c>
      <c r="W73" s="3">
        <v>39</v>
      </c>
      <c r="X73" s="4">
        <v>35</v>
      </c>
      <c r="Y73" s="5">
        <v>1119</v>
      </c>
    </row>
    <row r="74" spans="1:25" x14ac:dyDescent="0.25">
      <c r="A74" s="4">
        <v>2014</v>
      </c>
      <c r="B74" s="7">
        <v>41884</v>
      </c>
      <c r="C74" s="2">
        <v>74</v>
      </c>
      <c r="D74" s="3">
        <v>39</v>
      </c>
      <c r="E74" s="3">
        <v>36</v>
      </c>
      <c r="F74" s="3">
        <v>43</v>
      </c>
      <c r="G74" s="3">
        <v>7</v>
      </c>
      <c r="H74" s="3">
        <v>8</v>
      </c>
      <c r="I74" s="3">
        <v>42</v>
      </c>
      <c r="J74" s="4">
        <v>22</v>
      </c>
      <c r="K74" s="5">
        <v>1120</v>
      </c>
      <c r="L74" t="str">
        <f t="shared" si="8"/>
        <v>20140902074</v>
      </c>
      <c r="M74" t="str">
        <f t="shared" si="9"/>
        <v>20140902</v>
      </c>
      <c r="O74" s="4">
        <v>2014</v>
      </c>
      <c r="P74" s="7">
        <v>42249</v>
      </c>
      <c r="Q74" s="2">
        <v>74</v>
      </c>
      <c r="R74" s="3">
        <v>7</v>
      </c>
      <c r="S74" s="3">
        <v>8</v>
      </c>
      <c r="T74" s="3">
        <v>36</v>
      </c>
      <c r="U74" s="3">
        <v>39</v>
      </c>
      <c r="V74" s="3">
        <v>42</v>
      </c>
      <c r="W74" s="3">
        <v>43</v>
      </c>
      <c r="X74" s="4">
        <v>22</v>
      </c>
      <c r="Y74" s="5">
        <v>1120</v>
      </c>
    </row>
    <row r="75" spans="1:25" x14ac:dyDescent="0.25">
      <c r="A75" s="4">
        <v>2014</v>
      </c>
      <c r="B75" s="7">
        <v>41887</v>
      </c>
      <c r="C75" s="2">
        <v>75</v>
      </c>
      <c r="D75" s="3">
        <v>16</v>
      </c>
      <c r="E75" s="3">
        <v>25</v>
      </c>
      <c r="F75" s="3">
        <v>32</v>
      </c>
      <c r="G75" s="3">
        <v>10</v>
      </c>
      <c r="H75" s="3">
        <v>36</v>
      </c>
      <c r="I75" s="3">
        <v>27</v>
      </c>
      <c r="J75" s="4">
        <v>45</v>
      </c>
      <c r="K75" s="5">
        <v>1121</v>
      </c>
      <c r="L75" t="str">
        <f t="shared" si="8"/>
        <v>20140905075</v>
      </c>
      <c r="M75" t="str">
        <f t="shared" si="9"/>
        <v>20140905</v>
      </c>
      <c r="O75" s="4">
        <v>2014</v>
      </c>
      <c r="P75" s="7">
        <v>42252</v>
      </c>
      <c r="Q75" s="2">
        <v>75</v>
      </c>
      <c r="R75" s="3">
        <v>10</v>
      </c>
      <c r="S75" s="3">
        <v>16</v>
      </c>
      <c r="T75" s="3">
        <v>25</v>
      </c>
      <c r="U75" s="3">
        <v>27</v>
      </c>
      <c r="V75" s="3">
        <v>32</v>
      </c>
      <c r="W75" s="3">
        <v>36</v>
      </c>
      <c r="X75" s="4">
        <v>45</v>
      </c>
      <c r="Y75" s="5">
        <v>1121</v>
      </c>
    </row>
    <row r="76" spans="1:25" x14ac:dyDescent="0.25">
      <c r="A76" s="4">
        <v>2014</v>
      </c>
      <c r="B76" s="7">
        <v>41891</v>
      </c>
      <c r="C76" s="2">
        <v>76</v>
      </c>
      <c r="D76" s="3">
        <v>42</v>
      </c>
      <c r="E76" s="3">
        <v>49</v>
      </c>
      <c r="F76" s="3">
        <v>21</v>
      </c>
      <c r="G76" s="3">
        <v>41</v>
      </c>
      <c r="H76" s="3">
        <v>29</v>
      </c>
      <c r="I76" s="3">
        <v>23</v>
      </c>
      <c r="J76" s="4">
        <v>14</v>
      </c>
      <c r="K76" s="5">
        <v>1122</v>
      </c>
      <c r="L76" t="str">
        <f t="shared" si="8"/>
        <v>20140909076</v>
      </c>
      <c r="M76" t="str">
        <f t="shared" si="9"/>
        <v>20140909</v>
      </c>
      <c r="O76" s="4">
        <v>2014</v>
      </c>
      <c r="P76" s="7">
        <v>42256</v>
      </c>
      <c r="Q76" s="2">
        <v>76</v>
      </c>
      <c r="R76" s="3">
        <v>21</v>
      </c>
      <c r="S76" s="3">
        <v>23</v>
      </c>
      <c r="T76" s="3">
        <v>29</v>
      </c>
      <c r="U76" s="3">
        <v>41</v>
      </c>
      <c r="V76" s="3">
        <v>42</v>
      </c>
      <c r="W76" s="3">
        <v>49</v>
      </c>
      <c r="X76" s="4">
        <v>14</v>
      </c>
      <c r="Y76" s="5">
        <v>1122</v>
      </c>
    </row>
    <row r="77" spans="1:25" x14ac:dyDescent="0.25">
      <c r="A77" s="4">
        <v>2014</v>
      </c>
      <c r="B77" s="7">
        <v>41894</v>
      </c>
      <c r="C77" s="2">
        <v>77</v>
      </c>
      <c r="D77" s="3">
        <v>27</v>
      </c>
      <c r="E77" s="3">
        <v>49</v>
      </c>
      <c r="F77" s="3">
        <v>2</v>
      </c>
      <c r="G77" s="3">
        <v>36</v>
      </c>
      <c r="H77" s="3">
        <v>31</v>
      </c>
      <c r="I77" s="3">
        <v>23</v>
      </c>
      <c r="J77" s="4">
        <v>15</v>
      </c>
      <c r="K77" s="5">
        <v>1123</v>
      </c>
      <c r="L77" t="str">
        <f t="shared" si="8"/>
        <v>20140912077</v>
      </c>
      <c r="M77" t="str">
        <f t="shared" si="9"/>
        <v>20140912</v>
      </c>
      <c r="O77" s="4">
        <v>2014</v>
      </c>
      <c r="P77" s="7">
        <v>42259</v>
      </c>
      <c r="Q77" s="2">
        <v>77</v>
      </c>
      <c r="R77" s="3">
        <v>2</v>
      </c>
      <c r="S77" s="3">
        <v>23</v>
      </c>
      <c r="T77" s="3">
        <v>27</v>
      </c>
      <c r="U77" s="3">
        <v>31</v>
      </c>
      <c r="V77" s="3">
        <v>46</v>
      </c>
      <c r="W77" s="3">
        <v>49</v>
      </c>
      <c r="X77" s="4">
        <v>15</v>
      </c>
      <c r="Y77" s="5">
        <v>1123</v>
      </c>
    </row>
    <row r="78" spans="1:25" x14ac:dyDescent="0.25">
      <c r="A78" s="4">
        <v>2014</v>
      </c>
      <c r="B78" s="7">
        <v>41898</v>
      </c>
      <c r="C78" s="2">
        <v>78</v>
      </c>
      <c r="D78" s="3">
        <v>41</v>
      </c>
      <c r="E78" s="3">
        <v>19</v>
      </c>
      <c r="F78" s="3">
        <v>7</v>
      </c>
      <c r="G78" s="3">
        <v>18</v>
      </c>
      <c r="H78" s="3">
        <v>16</v>
      </c>
      <c r="I78" s="3">
        <v>12</v>
      </c>
      <c r="J78" s="4">
        <v>45</v>
      </c>
      <c r="K78" s="5">
        <v>1124</v>
      </c>
      <c r="L78" t="str">
        <f t="shared" si="8"/>
        <v>20140916078</v>
      </c>
      <c r="M78" t="str">
        <f t="shared" si="9"/>
        <v>20140916</v>
      </c>
      <c r="O78" s="4">
        <v>2014</v>
      </c>
      <c r="P78" s="7">
        <v>42263</v>
      </c>
      <c r="Q78" s="2">
        <v>78</v>
      </c>
      <c r="R78" s="3">
        <v>7</v>
      </c>
      <c r="S78" s="3">
        <v>12</v>
      </c>
      <c r="T78" s="3">
        <v>16</v>
      </c>
      <c r="U78" s="3">
        <v>18</v>
      </c>
      <c r="V78" s="3">
        <v>19</v>
      </c>
      <c r="W78" s="3">
        <v>41</v>
      </c>
      <c r="X78" s="4">
        <v>45</v>
      </c>
      <c r="Y78" s="5">
        <v>1124</v>
      </c>
    </row>
    <row r="79" spans="1:25" x14ac:dyDescent="0.25">
      <c r="A79" s="4">
        <v>2014</v>
      </c>
      <c r="B79" s="7">
        <v>41901</v>
      </c>
      <c r="C79" s="2">
        <v>79</v>
      </c>
      <c r="D79" s="3">
        <v>6</v>
      </c>
      <c r="E79" s="3">
        <v>17</v>
      </c>
      <c r="F79" s="3">
        <v>29</v>
      </c>
      <c r="G79" s="3">
        <v>2</v>
      </c>
      <c r="H79" s="3">
        <v>32</v>
      </c>
      <c r="I79" s="3">
        <v>39</v>
      </c>
      <c r="J79" s="4">
        <v>4</v>
      </c>
      <c r="K79" s="5">
        <v>1125</v>
      </c>
      <c r="L79" t="str">
        <f t="shared" si="8"/>
        <v>20140919079</v>
      </c>
      <c r="M79" t="str">
        <f t="shared" si="9"/>
        <v>20140919</v>
      </c>
      <c r="O79" s="4">
        <v>2014</v>
      </c>
      <c r="P79" s="7">
        <v>42266</v>
      </c>
      <c r="Q79" s="2">
        <v>79</v>
      </c>
      <c r="R79" s="3">
        <v>2</v>
      </c>
      <c r="S79" s="3">
        <v>6</v>
      </c>
      <c r="T79" s="3">
        <v>17</v>
      </c>
      <c r="U79" s="3">
        <v>29</v>
      </c>
      <c r="V79" s="3">
        <v>32</v>
      </c>
      <c r="W79" s="3">
        <v>39</v>
      </c>
      <c r="X79" s="4">
        <v>4</v>
      </c>
      <c r="Y79" s="5">
        <v>1125</v>
      </c>
    </row>
    <row r="80" spans="1:25" x14ac:dyDescent="0.25">
      <c r="A80" s="4">
        <v>2014</v>
      </c>
      <c r="B80" s="7">
        <v>41905</v>
      </c>
      <c r="C80" s="2">
        <v>80</v>
      </c>
      <c r="D80" s="3">
        <v>38</v>
      </c>
      <c r="E80" s="3">
        <v>28</v>
      </c>
      <c r="F80" s="3">
        <v>20</v>
      </c>
      <c r="G80" s="3">
        <v>32</v>
      </c>
      <c r="H80" s="3">
        <v>2</v>
      </c>
      <c r="I80" s="3">
        <v>11</v>
      </c>
      <c r="J80" s="4">
        <v>16</v>
      </c>
      <c r="K80" s="5">
        <v>1126</v>
      </c>
      <c r="L80" t="str">
        <f t="shared" si="8"/>
        <v>20140923080</v>
      </c>
      <c r="M80" t="str">
        <f t="shared" si="9"/>
        <v>20140923</v>
      </c>
      <c r="O80" s="4">
        <v>2014</v>
      </c>
      <c r="P80" s="7">
        <v>42270</v>
      </c>
      <c r="Q80" s="2">
        <v>80</v>
      </c>
      <c r="R80" s="3">
        <v>2</v>
      </c>
      <c r="S80" s="3">
        <v>11</v>
      </c>
      <c r="T80" s="3">
        <v>20</v>
      </c>
      <c r="U80" s="3">
        <v>28</v>
      </c>
      <c r="V80" s="3">
        <v>32</v>
      </c>
      <c r="W80" s="3">
        <v>38</v>
      </c>
      <c r="X80" s="4">
        <v>16</v>
      </c>
      <c r="Y80" s="5">
        <v>1126</v>
      </c>
    </row>
    <row r="81" spans="1:25" x14ac:dyDescent="0.25">
      <c r="A81" s="4">
        <v>2014</v>
      </c>
      <c r="B81" s="7">
        <v>41908</v>
      </c>
      <c r="C81" s="2">
        <v>81</v>
      </c>
      <c r="D81" s="3">
        <v>15</v>
      </c>
      <c r="E81" s="3">
        <v>19</v>
      </c>
      <c r="F81" s="3">
        <v>29</v>
      </c>
      <c r="G81" s="3">
        <v>22</v>
      </c>
      <c r="H81" s="3">
        <v>37</v>
      </c>
      <c r="I81" s="3">
        <v>8</v>
      </c>
      <c r="J81" s="4">
        <v>39</v>
      </c>
      <c r="K81" s="5">
        <v>1127</v>
      </c>
      <c r="L81" t="str">
        <f t="shared" si="8"/>
        <v>20140926081</v>
      </c>
      <c r="M81" t="str">
        <f t="shared" si="9"/>
        <v>20140926</v>
      </c>
      <c r="O81" s="4">
        <v>2014</v>
      </c>
      <c r="P81" s="7">
        <v>42273</v>
      </c>
      <c r="Q81" s="2">
        <v>81</v>
      </c>
      <c r="R81" s="3">
        <v>8</v>
      </c>
      <c r="S81" s="3">
        <v>15</v>
      </c>
      <c r="T81" s="3">
        <v>19</v>
      </c>
      <c r="U81" s="3">
        <v>22</v>
      </c>
      <c r="V81" s="3">
        <v>29</v>
      </c>
      <c r="W81" s="3">
        <v>37</v>
      </c>
      <c r="X81" s="4">
        <v>39</v>
      </c>
      <c r="Y81" s="5">
        <v>1127</v>
      </c>
    </row>
    <row r="82" spans="1:25" x14ac:dyDescent="0.25">
      <c r="A82" s="4">
        <v>2014</v>
      </c>
      <c r="B82" s="7">
        <v>41912</v>
      </c>
      <c r="C82" s="2">
        <v>82</v>
      </c>
      <c r="D82" s="3">
        <v>49</v>
      </c>
      <c r="E82" s="3">
        <v>41</v>
      </c>
      <c r="F82" s="3">
        <v>18</v>
      </c>
      <c r="G82" s="3">
        <v>47</v>
      </c>
      <c r="H82" s="3">
        <v>36</v>
      </c>
      <c r="I82" s="3">
        <v>35</v>
      </c>
      <c r="J82" s="4">
        <v>15</v>
      </c>
      <c r="K82" s="5">
        <v>1128</v>
      </c>
      <c r="L82" t="str">
        <f t="shared" si="8"/>
        <v>20140930082</v>
      </c>
      <c r="M82" t="str">
        <f t="shared" si="9"/>
        <v>20140930</v>
      </c>
      <c r="O82" s="4">
        <v>2014</v>
      </c>
      <c r="P82" s="7">
        <v>42277</v>
      </c>
      <c r="Q82" s="2">
        <v>82</v>
      </c>
      <c r="R82" s="3">
        <v>18</v>
      </c>
      <c r="S82" s="3">
        <v>35</v>
      </c>
      <c r="T82" s="3">
        <v>36</v>
      </c>
      <c r="U82" s="3">
        <v>41</v>
      </c>
      <c r="V82" s="3">
        <v>47</v>
      </c>
      <c r="W82" s="3">
        <v>49</v>
      </c>
      <c r="X82" s="4">
        <v>15</v>
      </c>
      <c r="Y82" s="5">
        <v>1128</v>
      </c>
    </row>
    <row r="83" spans="1:25" x14ac:dyDescent="0.25">
      <c r="A83" s="4">
        <v>2014</v>
      </c>
      <c r="B83" s="7">
        <v>41915</v>
      </c>
      <c r="C83" s="2">
        <v>83</v>
      </c>
      <c r="D83" s="3">
        <v>10</v>
      </c>
      <c r="E83" s="3">
        <v>14</v>
      </c>
      <c r="F83" s="3">
        <v>19</v>
      </c>
      <c r="G83" s="3">
        <v>37</v>
      </c>
      <c r="H83" s="3">
        <v>24</v>
      </c>
      <c r="I83" s="3">
        <v>35</v>
      </c>
      <c r="J83" s="4">
        <v>39</v>
      </c>
      <c r="K83" s="5">
        <v>1129</v>
      </c>
      <c r="L83" t="str">
        <f t="shared" si="8"/>
        <v>20141003083</v>
      </c>
      <c r="M83" t="str">
        <f t="shared" si="9"/>
        <v>20141003</v>
      </c>
      <c r="O83" s="4">
        <v>2014</v>
      </c>
      <c r="P83" s="7">
        <v>42280</v>
      </c>
      <c r="Q83" s="2">
        <v>83</v>
      </c>
      <c r="R83" s="3">
        <v>10</v>
      </c>
      <c r="S83" s="3">
        <v>14</v>
      </c>
      <c r="T83" s="3">
        <v>19</v>
      </c>
      <c r="U83" s="3">
        <v>24</v>
      </c>
      <c r="V83" s="3">
        <v>35</v>
      </c>
      <c r="W83" s="3">
        <v>37</v>
      </c>
      <c r="X83" s="4">
        <v>39</v>
      </c>
      <c r="Y83" s="5">
        <v>1129</v>
      </c>
    </row>
    <row r="84" spans="1:25" x14ac:dyDescent="0.25">
      <c r="A84" s="4">
        <v>2014</v>
      </c>
      <c r="B84" s="7">
        <v>41919</v>
      </c>
      <c r="C84" s="2">
        <v>84</v>
      </c>
      <c r="D84" s="3">
        <v>45</v>
      </c>
      <c r="E84" s="3">
        <v>40</v>
      </c>
      <c r="F84" s="3">
        <v>17</v>
      </c>
      <c r="G84" s="3">
        <v>47</v>
      </c>
      <c r="H84" s="3">
        <v>18</v>
      </c>
      <c r="I84" s="3">
        <v>41</v>
      </c>
      <c r="J84" s="4">
        <v>29</v>
      </c>
      <c r="K84" s="5">
        <v>1130</v>
      </c>
      <c r="L84" t="str">
        <f t="shared" si="8"/>
        <v>20141007084</v>
      </c>
      <c r="M84" t="str">
        <f t="shared" si="9"/>
        <v>20141007</v>
      </c>
      <c r="O84" s="4">
        <v>2014</v>
      </c>
      <c r="P84" s="7">
        <v>42284</v>
      </c>
      <c r="Q84" s="2">
        <v>84</v>
      </c>
      <c r="R84" s="3">
        <v>17</v>
      </c>
      <c r="S84" s="3">
        <v>18</v>
      </c>
      <c r="T84" s="3">
        <v>40</v>
      </c>
      <c r="U84" s="3">
        <v>41</v>
      </c>
      <c r="V84" s="3">
        <v>45</v>
      </c>
      <c r="W84" s="3">
        <v>47</v>
      </c>
      <c r="X84" s="4">
        <v>29</v>
      </c>
      <c r="Y84" s="5">
        <v>1130</v>
      </c>
    </row>
    <row r="85" spans="1:25" x14ac:dyDescent="0.25">
      <c r="A85" s="4">
        <v>2014</v>
      </c>
      <c r="B85" s="7">
        <v>41922</v>
      </c>
      <c r="C85" s="2">
        <v>85</v>
      </c>
      <c r="D85" s="3">
        <v>11</v>
      </c>
      <c r="E85" s="3">
        <v>26</v>
      </c>
      <c r="F85" s="3">
        <v>1</v>
      </c>
      <c r="G85" s="3">
        <v>24</v>
      </c>
      <c r="H85" s="3">
        <v>28</v>
      </c>
      <c r="I85" s="3">
        <v>19</v>
      </c>
      <c r="J85" s="4">
        <v>33</v>
      </c>
      <c r="K85" s="5">
        <v>1131</v>
      </c>
      <c r="L85" t="str">
        <f t="shared" si="8"/>
        <v>20141010085</v>
      </c>
      <c r="M85" t="str">
        <f t="shared" si="9"/>
        <v>20141010</v>
      </c>
      <c r="O85" s="4">
        <v>2014</v>
      </c>
      <c r="P85" s="7">
        <v>42287</v>
      </c>
      <c r="Q85" s="2">
        <v>85</v>
      </c>
      <c r="R85" s="3">
        <v>1</v>
      </c>
      <c r="S85" s="3">
        <v>11</v>
      </c>
      <c r="T85" s="3">
        <v>19</v>
      </c>
      <c r="U85" s="3">
        <v>24</v>
      </c>
      <c r="V85" s="3">
        <v>26</v>
      </c>
      <c r="W85" s="3">
        <v>28</v>
      </c>
      <c r="X85" s="4">
        <v>33</v>
      </c>
      <c r="Y85" s="5">
        <v>1131</v>
      </c>
    </row>
    <row r="86" spans="1:25" x14ac:dyDescent="0.25">
      <c r="A86" s="4">
        <v>2014</v>
      </c>
      <c r="B86" s="7">
        <v>41926</v>
      </c>
      <c r="C86" s="2">
        <v>86</v>
      </c>
      <c r="D86" s="3">
        <v>47</v>
      </c>
      <c r="E86" s="3">
        <v>36</v>
      </c>
      <c r="F86" s="3">
        <v>20</v>
      </c>
      <c r="G86" s="3">
        <v>9</v>
      </c>
      <c r="H86" s="3">
        <v>14</v>
      </c>
      <c r="I86" s="3">
        <v>10</v>
      </c>
      <c r="J86" s="4">
        <v>8</v>
      </c>
      <c r="K86" s="5">
        <v>1132</v>
      </c>
      <c r="L86" t="str">
        <f t="shared" si="8"/>
        <v>20141014086</v>
      </c>
      <c r="M86" t="str">
        <f t="shared" si="9"/>
        <v>20141014</v>
      </c>
      <c r="O86" s="4">
        <v>2014</v>
      </c>
      <c r="P86" s="7">
        <v>42291</v>
      </c>
      <c r="Q86" s="2">
        <v>86</v>
      </c>
      <c r="R86" s="3">
        <v>9</v>
      </c>
      <c r="S86" s="3">
        <v>10</v>
      </c>
      <c r="T86" s="3">
        <v>14</v>
      </c>
      <c r="U86" s="3">
        <v>20</v>
      </c>
      <c r="V86" s="3">
        <v>36</v>
      </c>
      <c r="W86" s="3">
        <v>47</v>
      </c>
      <c r="X86" s="4">
        <v>8</v>
      </c>
      <c r="Y86" s="5">
        <v>1132</v>
      </c>
    </row>
    <row r="87" spans="1:25" x14ac:dyDescent="0.25">
      <c r="A87" s="4">
        <v>2014</v>
      </c>
      <c r="B87" s="7">
        <v>41929</v>
      </c>
      <c r="C87" s="2">
        <v>87</v>
      </c>
      <c r="D87" s="3">
        <v>32</v>
      </c>
      <c r="E87" s="3">
        <v>36</v>
      </c>
      <c r="F87" s="3">
        <v>33</v>
      </c>
      <c r="G87" s="3">
        <v>2</v>
      </c>
      <c r="H87" s="3">
        <v>20</v>
      </c>
      <c r="I87" s="3">
        <v>11</v>
      </c>
      <c r="J87" s="4">
        <v>39</v>
      </c>
      <c r="K87" s="5">
        <v>1133</v>
      </c>
      <c r="L87" t="str">
        <f t="shared" si="8"/>
        <v>20141017087</v>
      </c>
      <c r="M87" t="str">
        <f t="shared" si="9"/>
        <v>20141017</v>
      </c>
      <c r="O87" s="4">
        <v>2014</v>
      </c>
      <c r="P87" s="7">
        <v>42294</v>
      </c>
      <c r="Q87" s="2">
        <v>87</v>
      </c>
      <c r="R87" s="3">
        <v>2</v>
      </c>
      <c r="S87" s="3">
        <v>11</v>
      </c>
      <c r="T87" s="3">
        <v>20</v>
      </c>
      <c r="U87" s="3">
        <v>32</v>
      </c>
      <c r="V87" s="3">
        <v>33</v>
      </c>
      <c r="W87" s="3">
        <v>36</v>
      </c>
      <c r="X87" s="4">
        <v>39</v>
      </c>
      <c r="Y87" s="5">
        <v>1133</v>
      </c>
    </row>
    <row r="88" spans="1:25" x14ac:dyDescent="0.25">
      <c r="A88" s="4">
        <v>2014</v>
      </c>
      <c r="B88" s="7">
        <v>41933</v>
      </c>
      <c r="C88" s="2">
        <v>88</v>
      </c>
      <c r="D88" s="3">
        <v>31</v>
      </c>
      <c r="E88" s="3">
        <v>44</v>
      </c>
      <c r="F88" s="3">
        <v>42</v>
      </c>
      <c r="G88" s="3">
        <v>28</v>
      </c>
      <c r="H88" s="3">
        <v>14</v>
      </c>
      <c r="I88" s="3">
        <v>38</v>
      </c>
      <c r="J88" s="4">
        <v>45</v>
      </c>
      <c r="K88" s="5">
        <v>1134</v>
      </c>
      <c r="L88" t="str">
        <f t="shared" si="8"/>
        <v>20141021088</v>
      </c>
      <c r="M88" t="str">
        <f t="shared" si="9"/>
        <v>20141021</v>
      </c>
      <c r="O88" s="4">
        <v>2014</v>
      </c>
      <c r="P88" s="7">
        <v>42298</v>
      </c>
      <c r="Q88" s="2">
        <v>88</v>
      </c>
      <c r="R88" s="3">
        <v>14</v>
      </c>
      <c r="S88" s="3">
        <v>28</v>
      </c>
      <c r="T88" s="3">
        <v>31</v>
      </c>
      <c r="U88" s="3">
        <v>38</v>
      </c>
      <c r="V88" s="3">
        <v>42</v>
      </c>
      <c r="W88" s="3">
        <v>44</v>
      </c>
      <c r="X88" s="4">
        <v>45</v>
      </c>
      <c r="Y88" s="5">
        <v>1134</v>
      </c>
    </row>
    <row r="89" spans="1:25" x14ac:dyDescent="0.25">
      <c r="A89" s="4">
        <v>2014</v>
      </c>
      <c r="B89" s="7">
        <v>41936</v>
      </c>
      <c r="C89" s="2">
        <v>89</v>
      </c>
      <c r="D89" s="3">
        <v>36</v>
      </c>
      <c r="E89" s="3">
        <v>1</v>
      </c>
      <c r="F89" s="3">
        <v>20</v>
      </c>
      <c r="G89" s="3">
        <v>45</v>
      </c>
      <c r="H89" s="3">
        <v>17</v>
      </c>
      <c r="I89" s="3">
        <v>37</v>
      </c>
      <c r="J89" s="4">
        <v>15</v>
      </c>
      <c r="K89" s="5">
        <v>1135</v>
      </c>
      <c r="L89" t="str">
        <f t="shared" si="8"/>
        <v>20141024089</v>
      </c>
      <c r="M89" t="str">
        <f t="shared" si="9"/>
        <v>20141024</v>
      </c>
      <c r="O89" s="4">
        <v>2014</v>
      </c>
      <c r="P89" s="7">
        <v>42301</v>
      </c>
      <c r="Q89" s="2">
        <v>89</v>
      </c>
      <c r="R89" s="3">
        <v>1</v>
      </c>
      <c r="S89" s="3">
        <v>17</v>
      </c>
      <c r="T89" s="3">
        <v>20</v>
      </c>
      <c r="U89" s="3">
        <v>36</v>
      </c>
      <c r="V89" s="3">
        <v>37</v>
      </c>
      <c r="W89" s="3">
        <v>45</v>
      </c>
      <c r="X89" s="4">
        <v>15</v>
      </c>
      <c r="Y89" s="5">
        <v>1135</v>
      </c>
    </row>
    <row r="90" spans="1:25" x14ac:dyDescent="0.25">
      <c r="A90" s="4">
        <v>2014</v>
      </c>
      <c r="B90" s="7">
        <v>41940</v>
      </c>
      <c r="C90" s="2">
        <v>90</v>
      </c>
      <c r="D90" s="3">
        <v>16</v>
      </c>
      <c r="E90" s="3">
        <v>32</v>
      </c>
      <c r="F90" s="3">
        <v>25</v>
      </c>
      <c r="G90" s="3">
        <v>5</v>
      </c>
      <c r="H90" s="3">
        <v>37</v>
      </c>
      <c r="I90" s="3">
        <v>44</v>
      </c>
      <c r="J90" s="4">
        <v>21</v>
      </c>
      <c r="K90" s="5">
        <v>1136</v>
      </c>
      <c r="L90" t="str">
        <f t="shared" si="8"/>
        <v>20141028090</v>
      </c>
      <c r="M90" t="str">
        <f t="shared" si="9"/>
        <v>20141028</v>
      </c>
      <c r="O90" s="4">
        <v>2014</v>
      </c>
      <c r="P90" s="7">
        <v>42305</v>
      </c>
      <c r="Q90" s="2">
        <v>90</v>
      </c>
      <c r="R90" s="3">
        <v>5</v>
      </c>
      <c r="S90" s="3">
        <v>16</v>
      </c>
      <c r="T90" s="3">
        <v>25</v>
      </c>
      <c r="U90" s="3">
        <v>32</v>
      </c>
      <c r="V90" s="3">
        <v>37</v>
      </c>
      <c r="W90" s="3">
        <v>44</v>
      </c>
      <c r="X90" s="4">
        <v>21</v>
      </c>
      <c r="Y90" s="5">
        <v>1136</v>
      </c>
    </row>
    <row r="91" spans="1:25" x14ac:dyDescent="0.25">
      <c r="A91" s="4">
        <v>2014</v>
      </c>
      <c r="B91" s="7">
        <v>41943</v>
      </c>
      <c r="C91" s="2">
        <v>91</v>
      </c>
      <c r="D91" s="3">
        <v>14</v>
      </c>
      <c r="E91" s="3">
        <v>8</v>
      </c>
      <c r="F91" s="3">
        <v>27</v>
      </c>
      <c r="G91" s="3">
        <v>49</v>
      </c>
      <c r="H91" s="3">
        <v>10</v>
      </c>
      <c r="I91" s="3">
        <v>2</v>
      </c>
      <c r="J91" s="4">
        <v>20</v>
      </c>
      <c r="K91" s="5">
        <v>1137</v>
      </c>
      <c r="L91" t="str">
        <f t="shared" si="8"/>
        <v>20141031091</v>
      </c>
      <c r="M91" t="str">
        <f t="shared" si="9"/>
        <v>20141031</v>
      </c>
      <c r="O91" s="4">
        <v>2014</v>
      </c>
      <c r="P91" s="7">
        <v>42308</v>
      </c>
      <c r="Q91" s="2">
        <v>91</v>
      </c>
      <c r="R91" s="3">
        <v>2</v>
      </c>
      <c r="S91" s="3">
        <v>8</v>
      </c>
      <c r="T91" s="3">
        <v>10</v>
      </c>
      <c r="U91" s="3">
        <v>14</v>
      </c>
      <c r="V91" s="3">
        <v>27</v>
      </c>
      <c r="W91" s="3">
        <v>49</v>
      </c>
      <c r="X91" s="4">
        <v>20</v>
      </c>
      <c r="Y91" s="5">
        <v>1137</v>
      </c>
    </row>
    <row r="92" spans="1:25" x14ac:dyDescent="0.25">
      <c r="A92" s="4">
        <v>2014</v>
      </c>
      <c r="B92" s="7">
        <v>41947</v>
      </c>
      <c r="C92" s="2">
        <v>92</v>
      </c>
      <c r="D92" s="3">
        <v>20</v>
      </c>
      <c r="E92" s="3">
        <v>38</v>
      </c>
      <c r="F92" s="3">
        <v>3</v>
      </c>
      <c r="G92" s="3">
        <v>35</v>
      </c>
      <c r="H92" s="3">
        <v>30</v>
      </c>
      <c r="I92" s="3">
        <v>41</v>
      </c>
      <c r="J92" s="4">
        <v>47</v>
      </c>
      <c r="K92" s="5">
        <v>1138</v>
      </c>
      <c r="L92" t="str">
        <f t="shared" si="8"/>
        <v>20141104092</v>
      </c>
      <c r="M92" t="str">
        <f t="shared" si="9"/>
        <v>20141104</v>
      </c>
      <c r="O92" s="4">
        <v>2014</v>
      </c>
      <c r="P92" s="7">
        <v>42312</v>
      </c>
      <c r="Q92" s="2">
        <v>92</v>
      </c>
      <c r="R92" s="3">
        <v>3</v>
      </c>
      <c r="S92" s="3">
        <v>20</v>
      </c>
      <c r="T92" s="3">
        <v>30</v>
      </c>
      <c r="U92" s="3">
        <v>35</v>
      </c>
      <c r="V92" s="3">
        <v>38</v>
      </c>
      <c r="W92" s="3">
        <v>41</v>
      </c>
      <c r="X92" s="4">
        <v>47</v>
      </c>
      <c r="Y92" s="5">
        <v>1138</v>
      </c>
    </row>
    <row r="93" spans="1:25" x14ac:dyDescent="0.25">
      <c r="A93" s="4">
        <v>2014</v>
      </c>
      <c r="B93" s="7">
        <v>41950</v>
      </c>
      <c r="C93" s="2">
        <v>93</v>
      </c>
      <c r="D93" s="3">
        <v>49</v>
      </c>
      <c r="E93" s="3">
        <v>25</v>
      </c>
      <c r="F93" s="3">
        <v>40</v>
      </c>
      <c r="G93" s="3">
        <v>27</v>
      </c>
      <c r="H93" s="3">
        <v>19</v>
      </c>
      <c r="I93" s="3">
        <v>11</v>
      </c>
      <c r="J93" s="4">
        <v>33</v>
      </c>
      <c r="K93" s="5">
        <v>1139</v>
      </c>
      <c r="L93" t="str">
        <f t="shared" si="8"/>
        <v>20141107093</v>
      </c>
      <c r="M93" t="str">
        <f t="shared" si="9"/>
        <v>20141107</v>
      </c>
      <c r="O93" s="4">
        <v>2014</v>
      </c>
      <c r="P93" s="7">
        <v>42315</v>
      </c>
      <c r="Q93" s="2">
        <v>93</v>
      </c>
      <c r="R93" s="3">
        <v>11</v>
      </c>
      <c r="S93" s="3">
        <v>19</v>
      </c>
      <c r="T93" s="3">
        <v>25</v>
      </c>
      <c r="U93" s="3">
        <v>27</v>
      </c>
      <c r="V93" s="3">
        <v>40</v>
      </c>
      <c r="W93" s="3">
        <v>49</v>
      </c>
      <c r="X93" s="4">
        <v>33</v>
      </c>
      <c r="Y93" s="5">
        <v>1139</v>
      </c>
    </row>
    <row r="94" spans="1:25" x14ac:dyDescent="0.25">
      <c r="A94" s="4">
        <v>2014</v>
      </c>
      <c r="B94" s="7">
        <v>41954</v>
      </c>
      <c r="C94" s="2">
        <v>94</v>
      </c>
      <c r="D94" s="3">
        <v>18</v>
      </c>
      <c r="E94" s="3">
        <v>23</v>
      </c>
      <c r="F94" s="3">
        <v>11</v>
      </c>
      <c r="G94" s="3">
        <v>36</v>
      </c>
      <c r="H94" s="3">
        <v>5</v>
      </c>
      <c r="I94" s="3">
        <v>43</v>
      </c>
      <c r="J94" s="4">
        <v>14</v>
      </c>
      <c r="K94" s="5">
        <v>1140</v>
      </c>
      <c r="L94" t="str">
        <f t="shared" si="8"/>
        <v>20141111094</v>
      </c>
      <c r="M94" t="str">
        <f t="shared" si="9"/>
        <v>20141111</v>
      </c>
      <c r="O94" s="4">
        <v>2014</v>
      </c>
      <c r="P94" s="7">
        <v>42319</v>
      </c>
      <c r="Q94" s="2">
        <v>94</v>
      </c>
      <c r="R94" s="3">
        <v>5</v>
      </c>
      <c r="S94" s="3">
        <v>11</v>
      </c>
      <c r="T94" s="3">
        <v>18</v>
      </c>
      <c r="U94" s="3">
        <v>23</v>
      </c>
      <c r="V94" s="3">
        <v>36</v>
      </c>
      <c r="W94" s="3">
        <v>43</v>
      </c>
      <c r="X94" s="4">
        <v>14</v>
      </c>
      <c r="Y94" s="5">
        <v>1140</v>
      </c>
    </row>
    <row r="95" spans="1:25" x14ac:dyDescent="0.25">
      <c r="A95" s="4">
        <v>2014</v>
      </c>
      <c r="B95" s="7">
        <v>41957</v>
      </c>
      <c r="C95" s="2">
        <v>95</v>
      </c>
      <c r="D95" s="3">
        <v>44</v>
      </c>
      <c r="E95" s="3">
        <v>15</v>
      </c>
      <c r="F95" s="3">
        <v>41</v>
      </c>
      <c r="G95" s="3">
        <v>29</v>
      </c>
      <c r="H95" s="3">
        <v>16</v>
      </c>
      <c r="I95" s="3">
        <v>34</v>
      </c>
      <c r="J95" s="4">
        <v>49</v>
      </c>
      <c r="K95" s="5">
        <v>1141</v>
      </c>
      <c r="L95" t="str">
        <f t="shared" si="8"/>
        <v>20141114095</v>
      </c>
      <c r="M95" t="str">
        <f t="shared" si="9"/>
        <v>20141114</v>
      </c>
      <c r="O95" s="4">
        <v>2014</v>
      </c>
      <c r="P95" s="7">
        <v>42322</v>
      </c>
      <c r="Q95" s="2">
        <v>95</v>
      </c>
      <c r="R95" s="3">
        <v>15</v>
      </c>
      <c r="S95" s="3">
        <v>16</v>
      </c>
      <c r="T95" s="3">
        <v>29</v>
      </c>
      <c r="U95" s="3">
        <v>34</v>
      </c>
      <c r="V95" s="3">
        <v>41</v>
      </c>
      <c r="W95" s="3">
        <v>44</v>
      </c>
      <c r="X95" s="4">
        <v>49</v>
      </c>
      <c r="Y95" s="5">
        <v>1141</v>
      </c>
    </row>
    <row r="96" spans="1:25" x14ac:dyDescent="0.25">
      <c r="A96" s="4">
        <v>2014</v>
      </c>
      <c r="B96" s="7">
        <v>41961</v>
      </c>
      <c r="C96" s="2">
        <v>96</v>
      </c>
      <c r="D96" s="3">
        <v>12</v>
      </c>
      <c r="E96" s="3">
        <v>20</v>
      </c>
      <c r="F96" s="3">
        <v>43</v>
      </c>
      <c r="G96" s="3">
        <v>11</v>
      </c>
      <c r="H96" s="3">
        <v>28</v>
      </c>
      <c r="I96" s="3">
        <v>26</v>
      </c>
      <c r="J96" s="4">
        <v>6</v>
      </c>
      <c r="K96" s="5">
        <v>1142</v>
      </c>
      <c r="L96" t="str">
        <f t="shared" ref="L96" si="10">CONCATENATE(TEXT(A96,"0000"),TEXT(B96,"mmdd"),TEXT(C96,"000"))</f>
        <v>20141118096</v>
      </c>
      <c r="M96" t="str">
        <f t="shared" ref="M96" si="11">CONCATENATE(TEXT(A96,"0000"),TEXT(B96,"mmdd"))</f>
        <v>20141118</v>
      </c>
      <c r="O96" s="4">
        <v>2014</v>
      </c>
      <c r="P96" s="7">
        <v>42326</v>
      </c>
      <c r="Q96" s="2">
        <v>96</v>
      </c>
      <c r="R96" s="3">
        <v>11</v>
      </c>
      <c r="S96" s="3">
        <v>12</v>
      </c>
      <c r="T96" s="3">
        <v>20</v>
      </c>
      <c r="U96" s="3">
        <v>26</v>
      </c>
      <c r="V96" s="3">
        <v>28</v>
      </c>
      <c r="W96" s="3">
        <v>43</v>
      </c>
      <c r="X96" s="4">
        <v>6</v>
      </c>
      <c r="Y96" s="5">
        <v>1142</v>
      </c>
    </row>
    <row r="97" spans="1:25" x14ac:dyDescent="0.25">
      <c r="A97" s="4">
        <v>2014</v>
      </c>
      <c r="B97" s="7">
        <v>41964</v>
      </c>
      <c r="C97" s="2">
        <v>97</v>
      </c>
      <c r="D97" s="3">
        <v>3</v>
      </c>
      <c r="E97" s="3">
        <v>32</v>
      </c>
      <c r="F97" s="3">
        <v>2</v>
      </c>
      <c r="G97" s="3">
        <v>34</v>
      </c>
      <c r="H97" s="3">
        <v>26</v>
      </c>
      <c r="I97" s="3">
        <v>22</v>
      </c>
      <c r="J97" s="4">
        <v>40</v>
      </c>
      <c r="K97" s="5">
        <v>1143</v>
      </c>
      <c r="L97" t="str">
        <f t="shared" ref="L97:L108" si="12">CONCATENATE(TEXT(A97,"0000"),TEXT(B97,"mmdd"),TEXT(C97,"000"))</f>
        <v>20141121097</v>
      </c>
      <c r="M97" t="str">
        <f t="shared" ref="M97:M108" si="13">CONCATENATE(TEXT(A97,"0000"),TEXT(B97,"mmdd"))</f>
        <v>20141121</v>
      </c>
      <c r="O97" s="4">
        <v>2014</v>
      </c>
      <c r="P97" s="7">
        <v>42329</v>
      </c>
      <c r="Q97" s="2">
        <v>97</v>
      </c>
      <c r="R97" s="3">
        <v>2</v>
      </c>
      <c r="S97" s="3">
        <v>3</v>
      </c>
      <c r="T97" s="3">
        <v>22</v>
      </c>
      <c r="U97" s="3">
        <v>26</v>
      </c>
      <c r="V97" s="3">
        <v>32</v>
      </c>
      <c r="W97" s="3">
        <v>34</v>
      </c>
      <c r="X97" s="4">
        <v>40</v>
      </c>
      <c r="Y97" s="5">
        <v>1143</v>
      </c>
    </row>
    <row r="98" spans="1:25" x14ac:dyDescent="0.25">
      <c r="A98" s="4">
        <v>2014</v>
      </c>
      <c r="B98" s="7">
        <v>41968</v>
      </c>
      <c r="C98" s="2">
        <v>98</v>
      </c>
      <c r="D98" s="3">
        <v>15</v>
      </c>
      <c r="E98" s="3">
        <v>32</v>
      </c>
      <c r="F98" s="3">
        <v>16</v>
      </c>
      <c r="G98" s="3">
        <v>1</v>
      </c>
      <c r="H98" s="3">
        <v>44</v>
      </c>
      <c r="I98" s="3">
        <v>48</v>
      </c>
      <c r="J98" s="4">
        <v>40</v>
      </c>
      <c r="K98" s="5">
        <v>1144</v>
      </c>
      <c r="L98" t="str">
        <f t="shared" si="12"/>
        <v>20141125098</v>
      </c>
      <c r="M98" t="str">
        <f t="shared" si="13"/>
        <v>20141125</v>
      </c>
      <c r="O98" s="4">
        <v>2014</v>
      </c>
      <c r="P98" s="7">
        <v>42333</v>
      </c>
      <c r="Q98" s="2">
        <v>98</v>
      </c>
      <c r="R98" s="3">
        <v>1</v>
      </c>
      <c r="S98" s="3">
        <v>15</v>
      </c>
      <c r="T98" s="3">
        <v>16</v>
      </c>
      <c r="U98" s="3">
        <v>32</v>
      </c>
      <c r="V98" s="3">
        <v>44</v>
      </c>
      <c r="W98" s="3">
        <v>48</v>
      </c>
      <c r="X98" s="4">
        <v>40</v>
      </c>
      <c r="Y98" s="5">
        <v>1144</v>
      </c>
    </row>
    <row r="99" spans="1:25" x14ac:dyDescent="0.25">
      <c r="A99" s="4">
        <v>2014</v>
      </c>
      <c r="B99" s="7">
        <v>41971</v>
      </c>
      <c r="C99" s="2">
        <v>99</v>
      </c>
      <c r="D99" s="3">
        <v>35</v>
      </c>
      <c r="E99" s="3">
        <v>44</v>
      </c>
      <c r="F99" s="3">
        <v>1</v>
      </c>
      <c r="G99" s="3">
        <v>40</v>
      </c>
      <c r="H99" s="3">
        <v>10</v>
      </c>
      <c r="I99" s="3">
        <v>21</v>
      </c>
      <c r="J99" s="4">
        <v>36</v>
      </c>
      <c r="K99" s="5">
        <v>1145</v>
      </c>
      <c r="L99" t="str">
        <f t="shared" si="12"/>
        <v>20141128099</v>
      </c>
      <c r="M99" t="str">
        <f t="shared" si="13"/>
        <v>20141128</v>
      </c>
      <c r="O99" s="4">
        <v>2014</v>
      </c>
      <c r="P99" s="7">
        <v>42336</v>
      </c>
      <c r="Q99" s="2">
        <v>99</v>
      </c>
      <c r="R99" s="3">
        <v>1</v>
      </c>
      <c r="S99" s="3">
        <v>10</v>
      </c>
      <c r="T99" s="3">
        <v>21</v>
      </c>
      <c r="U99" s="3">
        <v>35</v>
      </c>
      <c r="V99" s="3">
        <v>40</v>
      </c>
      <c r="W99" s="3">
        <v>44</v>
      </c>
      <c r="X99" s="4">
        <v>36</v>
      </c>
      <c r="Y99" s="5">
        <v>1145</v>
      </c>
    </row>
    <row r="100" spans="1:25" x14ac:dyDescent="0.25">
      <c r="A100" s="4">
        <v>2014</v>
      </c>
      <c r="B100" s="7">
        <v>41975</v>
      </c>
      <c r="C100" s="2">
        <v>100</v>
      </c>
      <c r="D100" s="3">
        <v>11</v>
      </c>
      <c r="E100" s="3">
        <v>26</v>
      </c>
      <c r="F100" s="3">
        <v>42</v>
      </c>
      <c r="G100" s="3">
        <v>13</v>
      </c>
      <c r="H100" s="3">
        <v>9</v>
      </c>
      <c r="I100" s="3">
        <v>23</v>
      </c>
      <c r="J100" s="4">
        <v>47</v>
      </c>
      <c r="K100" s="5">
        <v>1146</v>
      </c>
      <c r="L100" t="str">
        <f t="shared" si="12"/>
        <v>20141202100</v>
      </c>
      <c r="M100" t="str">
        <f t="shared" si="13"/>
        <v>20141202</v>
      </c>
      <c r="O100" s="4">
        <v>2014</v>
      </c>
      <c r="P100" s="7">
        <v>42340</v>
      </c>
      <c r="Q100" s="2">
        <v>100</v>
      </c>
      <c r="R100" s="3">
        <v>9</v>
      </c>
      <c r="S100" s="3">
        <v>11</v>
      </c>
      <c r="T100" s="3">
        <v>13</v>
      </c>
      <c r="U100" s="3">
        <v>23</v>
      </c>
      <c r="V100" s="3">
        <v>26</v>
      </c>
      <c r="W100" s="3">
        <v>42</v>
      </c>
      <c r="X100" s="4">
        <v>47</v>
      </c>
      <c r="Y100" s="5">
        <v>1146</v>
      </c>
    </row>
    <row r="101" spans="1:25" x14ac:dyDescent="0.25">
      <c r="A101" s="4">
        <v>2014</v>
      </c>
      <c r="B101" s="7">
        <v>41978</v>
      </c>
      <c r="C101" s="2">
        <v>101</v>
      </c>
      <c r="D101" s="3">
        <v>47</v>
      </c>
      <c r="E101" s="3">
        <v>30</v>
      </c>
      <c r="F101" s="3">
        <v>11</v>
      </c>
      <c r="G101" s="3">
        <v>34</v>
      </c>
      <c r="H101" s="3">
        <v>37</v>
      </c>
      <c r="I101" s="3">
        <v>18</v>
      </c>
      <c r="J101" s="4">
        <v>17</v>
      </c>
      <c r="K101" s="5">
        <v>1147</v>
      </c>
      <c r="L101" t="str">
        <f t="shared" si="12"/>
        <v>20141205101</v>
      </c>
      <c r="M101" t="str">
        <f t="shared" si="13"/>
        <v>20141205</v>
      </c>
      <c r="O101" s="4">
        <v>2014</v>
      </c>
      <c r="P101" s="7">
        <v>42343</v>
      </c>
      <c r="Q101" s="2">
        <v>101</v>
      </c>
      <c r="R101" s="3">
        <v>11</v>
      </c>
      <c r="S101" s="3">
        <v>18</v>
      </c>
      <c r="T101" s="3">
        <v>30</v>
      </c>
      <c r="U101" s="3">
        <v>34</v>
      </c>
      <c r="V101" s="3">
        <v>37</v>
      </c>
      <c r="W101" s="3">
        <v>47</v>
      </c>
      <c r="X101" s="4">
        <v>17</v>
      </c>
      <c r="Y101" s="5">
        <v>1147</v>
      </c>
    </row>
    <row r="102" spans="1:25" x14ac:dyDescent="0.25">
      <c r="A102" s="4">
        <v>2014</v>
      </c>
      <c r="B102" s="7">
        <v>41982</v>
      </c>
      <c r="C102" s="2">
        <v>102</v>
      </c>
      <c r="D102" s="3">
        <v>41</v>
      </c>
      <c r="E102" s="3">
        <v>23</v>
      </c>
      <c r="F102" s="3">
        <v>9</v>
      </c>
      <c r="G102" s="3">
        <v>7</v>
      </c>
      <c r="H102" s="3">
        <v>43</v>
      </c>
      <c r="I102" s="3">
        <v>33</v>
      </c>
      <c r="J102" s="4">
        <v>24</v>
      </c>
      <c r="K102" s="5">
        <v>1148</v>
      </c>
      <c r="L102" t="str">
        <f t="shared" si="12"/>
        <v>20141209102</v>
      </c>
      <c r="M102" t="str">
        <f t="shared" si="13"/>
        <v>20141209</v>
      </c>
      <c r="O102" s="4">
        <v>2014</v>
      </c>
      <c r="P102" s="7">
        <v>42347</v>
      </c>
      <c r="Q102" s="2">
        <v>102</v>
      </c>
      <c r="R102" s="3">
        <v>7</v>
      </c>
      <c r="S102" s="3">
        <v>9</v>
      </c>
      <c r="T102" s="3">
        <v>23</v>
      </c>
      <c r="U102" s="3">
        <v>33</v>
      </c>
      <c r="V102" s="3">
        <v>41</v>
      </c>
      <c r="W102" s="3">
        <v>43</v>
      </c>
      <c r="X102" s="4">
        <v>24</v>
      </c>
      <c r="Y102" s="5">
        <v>1148</v>
      </c>
    </row>
    <row r="103" spans="1:25" x14ac:dyDescent="0.25">
      <c r="A103" s="4">
        <v>2014</v>
      </c>
      <c r="B103" s="7">
        <v>41985</v>
      </c>
      <c r="C103" s="2">
        <v>103</v>
      </c>
      <c r="D103" s="3">
        <v>24</v>
      </c>
      <c r="E103" s="3">
        <v>8</v>
      </c>
      <c r="F103" s="3">
        <v>29</v>
      </c>
      <c r="G103" s="3">
        <v>32</v>
      </c>
      <c r="H103" s="3">
        <v>7</v>
      </c>
      <c r="I103" s="3">
        <v>48</v>
      </c>
      <c r="J103" s="4">
        <v>37</v>
      </c>
      <c r="K103" s="5">
        <v>1149</v>
      </c>
      <c r="L103" t="str">
        <f t="shared" si="12"/>
        <v>20141212103</v>
      </c>
      <c r="M103" t="str">
        <f t="shared" si="13"/>
        <v>20141212</v>
      </c>
      <c r="O103" s="4">
        <v>2014</v>
      </c>
      <c r="P103" s="7">
        <v>42350</v>
      </c>
      <c r="Q103" s="2">
        <v>103</v>
      </c>
      <c r="R103" s="3">
        <v>7</v>
      </c>
      <c r="S103" s="3">
        <v>8</v>
      </c>
      <c r="T103" s="3">
        <v>24</v>
      </c>
      <c r="U103" s="3">
        <v>29</v>
      </c>
      <c r="V103" s="3">
        <v>32</v>
      </c>
      <c r="W103" s="3">
        <v>48</v>
      </c>
      <c r="X103" s="4">
        <v>37</v>
      </c>
      <c r="Y103" s="5">
        <v>1149</v>
      </c>
    </row>
    <row r="104" spans="1:25" x14ac:dyDescent="0.25">
      <c r="A104" s="4">
        <v>2014</v>
      </c>
      <c r="B104" s="7">
        <v>41989</v>
      </c>
      <c r="C104" s="2">
        <v>104</v>
      </c>
      <c r="D104" s="3">
        <v>35</v>
      </c>
      <c r="E104" s="3">
        <v>45</v>
      </c>
      <c r="F104" s="3">
        <v>34</v>
      </c>
      <c r="G104" s="3">
        <v>32</v>
      </c>
      <c r="H104" s="3">
        <v>17</v>
      </c>
      <c r="I104" s="3">
        <v>28</v>
      </c>
      <c r="J104" s="4">
        <v>8</v>
      </c>
      <c r="K104" s="5">
        <v>1150</v>
      </c>
      <c r="L104" t="str">
        <f t="shared" si="12"/>
        <v>20141216104</v>
      </c>
      <c r="M104" t="str">
        <f t="shared" si="13"/>
        <v>20141216</v>
      </c>
      <c r="O104" s="4">
        <v>2014</v>
      </c>
      <c r="P104" s="7">
        <v>42354</v>
      </c>
      <c r="Q104" s="2">
        <v>104</v>
      </c>
      <c r="R104" s="3">
        <v>17</v>
      </c>
      <c r="S104" s="3">
        <v>28</v>
      </c>
      <c r="T104" s="3">
        <v>32</v>
      </c>
      <c r="U104" s="3">
        <v>34</v>
      </c>
      <c r="V104" s="3">
        <v>35</v>
      </c>
      <c r="W104" s="3">
        <v>45</v>
      </c>
      <c r="X104" s="4">
        <v>8</v>
      </c>
      <c r="Y104" s="5">
        <v>1150</v>
      </c>
    </row>
    <row r="105" spans="1:25" x14ac:dyDescent="0.25">
      <c r="A105" s="4">
        <v>2014</v>
      </c>
      <c r="B105" s="7">
        <v>41992</v>
      </c>
      <c r="C105" s="2">
        <v>105</v>
      </c>
      <c r="D105" s="3">
        <v>9</v>
      </c>
      <c r="E105" s="3">
        <v>1</v>
      </c>
      <c r="F105" s="3">
        <v>24</v>
      </c>
      <c r="G105" s="3">
        <v>41</v>
      </c>
      <c r="H105" s="3">
        <v>32</v>
      </c>
      <c r="I105" s="3">
        <v>49</v>
      </c>
      <c r="J105" s="4">
        <v>40</v>
      </c>
      <c r="K105" s="5">
        <v>1151</v>
      </c>
      <c r="L105" t="str">
        <f t="shared" si="12"/>
        <v>20141219105</v>
      </c>
      <c r="M105" t="str">
        <f t="shared" si="13"/>
        <v>20141219</v>
      </c>
      <c r="O105" s="4">
        <v>2014</v>
      </c>
      <c r="P105" s="7">
        <v>42357</v>
      </c>
      <c r="Q105" s="2">
        <v>105</v>
      </c>
      <c r="R105" s="3">
        <v>1</v>
      </c>
      <c r="S105" s="3">
        <v>9</v>
      </c>
      <c r="T105" s="3">
        <v>24</v>
      </c>
      <c r="U105" s="3">
        <v>32</v>
      </c>
      <c r="V105" s="3">
        <v>41</v>
      </c>
      <c r="W105" s="3">
        <v>49</v>
      </c>
      <c r="X105" s="4">
        <v>40</v>
      </c>
      <c r="Y105" s="5">
        <v>1151</v>
      </c>
    </row>
    <row r="106" spans="1:25" x14ac:dyDescent="0.25">
      <c r="A106" s="4">
        <v>2014</v>
      </c>
      <c r="B106" s="7">
        <v>41996</v>
      </c>
      <c r="C106" s="2">
        <v>106</v>
      </c>
      <c r="D106" s="3">
        <v>32</v>
      </c>
      <c r="E106" s="3">
        <v>39</v>
      </c>
      <c r="F106" s="3">
        <v>3</v>
      </c>
      <c r="G106" s="3">
        <v>31</v>
      </c>
      <c r="H106" s="3">
        <v>30</v>
      </c>
      <c r="I106" s="3">
        <v>27</v>
      </c>
      <c r="J106" s="4">
        <v>35</v>
      </c>
      <c r="K106" s="5">
        <v>1152</v>
      </c>
      <c r="L106" t="str">
        <f t="shared" si="12"/>
        <v>20141223106</v>
      </c>
      <c r="M106" t="str">
        <f t="shared" si="13"/>
        <v>20141223</v>
      </c>
      <c r="O106" s="4">
        <v>2014</v>
      </c>
      <c r="P106" s="7">
        <v>42361</v>
      </c>
      <c r="Q106" s="2">
        <v>106</v>
      </c>
      <c r="R106" s="3">
        <v>3</v>
      </c>
      <c r="S106" s="3">
        <v>27</v>
      </c>
      <c r="T106" s="3">
        <v>30</v>
      </c>
      <c r="U106" s="3">
        <v>31</v>
      </c>
      <c r="V106" s="3">
        <v>32</v>
      </c>
      <c r="W106" s="3">
        <v>39</v>
      </c>
      <c r="X106" s="4">
        <v>35</v>
      </c>
      <c r="Y106" s="5">
        <v>1152</v>
      </c>
    </row>
    <row r="107" spans="1:25" x14ac:dyDescent="0.25">
      <c r="A107" s="4">
        <v>2014</v>
      </c>
      <c r="B107" s="7">
        <v>42364</v>
      </c>
      <c r="C107" s="2">
        <v>107</v>
      </c>
      <c r="D107" s="3">
        <v>49</v>
      </c>
      <c r="E107" s="3">
        <v>32</v>
      </c>
      <c r="F107" s="3">
        <v>42</v>
      </c>
      <c r="G107" s="3">
        <v>45</v>
      </c>
      <c r="H107" s="3">
        <v>9</v>
      </c>
      <c r="I107" s="3">
        <v>27</v>
      </c>
      <c r="J107" s="4">
        <v>30</v>
      </c>
      <c r="K107" s="5">
        <v>1153</v>
      </c>
      <c r="L107" t="str">
        <f t="shared" si="12"/>
        <v>20141226107</v>
      </c>
      <c r="M107" t="str">
        <f t="shared" si="13"/>
        <v>20141226</v>
      </c>
      <c r="O107" s="4">
        <v>2014</v>
      </c>
      <c r="P107" s="7">
        <v>42364</v>
      </c>
      <c r="Q107" s="2">
        <v>107</v>
      </c>
      <c r="R107" s="3">
        <v>9</v>
      </c>
      <c r="S107" s="3">
        <v>27</v>
      </c>
      <c r="T107" s="3">
        <v>32</v>
      </c>
      <c r="U107" s="3">
        <v>42</v>
      </c>
      <c r="V107" s="3">
        <v>45</v>
      </c>
      <c r="W107" s="3">
        <v>49</v>
      </c>
      <c r="X107" s="4">
        <v>30</v>
      </c>
      <c r="Y107" s="5">
        <v>1153</v>
      </c>
    </row>
    <row r="108" spans="1:25" x14ac:dyDescent="0.25">
      <c r="A108" s="4">
        <v>2014</v>
      </c>
      <c r="B108" s="7">
        <v>42368</v>
      </c>
      <c r="C108" s="2">
        <v>108</v>
      </c>
      <c r="D108" s="3">
        <v>48</v>
      </c>
      <c r="E108" s="3">
        <v>49</v>
      </c>
      <c r="F108" s="3">
        <v>7</v>
      </c>
      <c r="G108" s="3">
        <v>44</v>
      </c>
      <c r="H108" s="3">
        <v>32</v>
      </c>
      <c r="I108" s="3">
        <v>30</v>
      </c>
      <c r="J108" s="4">
        <v>45</v>
      </c>
      <c r="K108" s="5">
        <v>1154</v>
      </c>
      <c r="L108" t="str">
        <f t="shared" si="12"/>
        <v>20141230108</v>
      </c>
      <c r="M108" t="str">
        <f t="shared" si="13"/>
        <v>20141230</v>
      </c>
      <c r="O108" s="4">
        <v>2014</v>
      </c>
      <c r="P108" s="7">
        <v>42368</v>
      </c>
      <c r="Q108" s="2">
        <v>108</v>
      </c>
      <c r="R108" s="3">
        <v>7</v>
      </c>
      <c r="S108" s="3">
        <v>30</v>
      </c>
      <c r="T108" s="3">
        <v>32</v>
      </c>
      <c r="U108" s="3">
        <v>44</v>
      </c>
      <c r="V108" s="3">
        <v>48</v>
      </c>
      <c r="W108" s="3">
        <v>49</v>
      </c>
      <c r="X108" s="4">
        <v>45</v>
      </c>
      <c r="Y108" s="5">
        <v>1154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04"/>
  <sheetViews>
    <sheetView topLeftCell="A85" workbookViewId="0">
      <selection activeCell="D21" sqref="D21"/>
    </sheetView>
  </sheetViews>
  <sheetFormatPr defaultRowHeight="16.5" x14ac:dyDescent="0.25"/>
  <cols>
    <col min="1" max="1" width="9.5" bestFit="1" customWidth="1"/>
    <col min="2" max="2" width="11.625" style="12" bestFit="1" customWidth="1"/>
  </cols>
  <sheetData>
    <row r="1" spans="1:3" x14ac:dyDescent="0.25">
      <c r="A1" t="s">
        <v>0</v>
      </c>
      <c r="B1" s="11">
        <v>37991</v>
      </c>
      <c r="C1">
        <v>1</v>
      </c>
    </row>
    <row r="2" spans="1:3" x14ac:dyDescent="0.25">
      <c r="A2" t="s">
        <v>1</v>
      </c>
      <c r="B2" s="11">
        <v>37994</v>
      </c>
      <c r="C2">
        <f>C1+1</f>
        <v>2</v>
      </c>
    </row>
    <row r="3" spans="1:3" x14ac:dyDescent="0.25">
      <c r="A3" t="s">
        <v>2</v>
      </c>
      <c r="B3" s="11">
        <v>37998</v>
      </c>
      <c r="C3">
        <f t="shared" ref="C3:C66" si="0">C2+1</f>
        <v>3</v>
      </c>
    </row>
    <row r="4" spans="1:3" x14ac:dyDescent="0.25">
      <c r="A4" t="s">
        <v>3</v>
      </c>
      <c r="B4" s="11">
        <v>38001</v>
      </c>
      <c r="C4">
        <f t="shared" si="0"/>
        <v>4</v>
      </c>
    </row>
    <row r="5" spans="1:3" x14ac:dyDescent="0.25">
      <c r="A5" t="s">
        <v>4</v>
      </c>
      <c r="B5" s="11">
        <v>38005</v>
      </c>
      <c r="C5">
        <f t="shared" si="0"/>
        <v>5</v>
      </c>
    </row>
    <row r="6" spans="1:3" x14ac:dyDescent="0.25">
      <c r="A6" t="s">
        <v>5</v>
      </c>
      <c r="B6" s="11">
        <v>38008</v>
      </c>
      <c r="C6">
        <f t="shared" si="0"/>
        <v>6</v>
      </c>
    </row>
    <row r="7" spans="1:3" x14ac:dyDescent="0.25">
      <c r="A7" t="s">
        <v>6</v>
      </c>
      <c r="B7" s="11">
        <v>38012</v>
      </c>
      <c r="C7">
        <f t="shared" si="0"/>
        <v>7</v>
      </c>
    </row>
    <row r="8" spans="1:3" x14ac:dyDescent="0.25">
      <c r="A8" t="s">
        <v>7</v>
      </c>
      <c r="B8" s="11">
        <v>38015</v>
      </c>
      <c r="C8">
        <f t="shared" si="0"/>
        <v>8</v>
      </c>
    </row>
    <row r="9" spans="1:3" x14ac:dyDescent="0.25">
      <c r="A9" t="s">
        <v>8</v>
      </c>
      <c r="B9" s="11">
        <v>38019</v>
      </c>
      <c r="C9">
        <f t="shared" si="0"/>
        <v>9</v>
      </c>
    </row>
    <row r="10" spans="1:3" x14ac:dyDescent="0.25">
      <c r="A10" t="s">
        <v>9</v>
      </c>
      <c r="B10" s="11">
        <v>38022</v>
      </c>
      <c r="C10">
        <f t="shared" si="0"/>
        <v>10</v>
      </c>
    </row>
    <row r="11" spans="1:3" x14ac:dyDescent="0.25">
      <c r="A11" t="s">
        <v>10</v>
      </c>
      <c r="B11" s="11">
        <v>38026</v>
      </c>
      <c r="C11">
        <f t="shared" si="0"/>
        <v>11</v>
      </c>
    </row>
    <row r="12" spans="1:3" x14ac:dyDescent="0.25">
      <c r="A12" t="s">
        <v>11</v>
      </c>
      <c r="B12" s="11">
        <v>38029</v>
      </c>
      <c r="C12">
        <f t="shared" si="0"/>
        <v>12</v>
      </c>
    </row>
    <row r="13" spans="1:3" x14ac:dyDescent="0.25">
      <c r="A13" t="s">
        <v>12</v>
      </c>
      <c r="B13" s="11">
        <v>38033</v>
      </c>
      <c r="C13">
        <f t="shared" si="0"/>
        <v>13</v>
      </c>
    </row>
    <row r="14" spans="1:3" x14ac:dyDescent="0.25">
      <c r="A14" t="s">
        <v>13</v>
      </c>
      <c r="B14" s="11">
        <v>38036</v>
      </c>
      <c r="C14">
        <f t="shared" si="0"/>
        <v>14</v>
      </c>
    </row>
    <row r="15" spans="1:3" x14ac:dyDescent="0.25">
      <c r="A15" t="s">
        <v>14</v>
      </c>
      <c r="B15" s="11">
        <v>38040</v>
      </c>
      <c r="C15">
        <f t="shared" si="0"/>
        <v>15</v>
      </c>
    </row>
    <row r="16" spans="1:3" x14ac:dyDescent="0.25">
      <c r="A16" t="s">
        <v>15</v>
      </c>
      <c r="B16" s="11">
        <v>38043</v>
      </c>
      <c r="C16">
        <f t="shared" si="0"/>
        <v>16</v>
      </c>
    </row>
    <row r="17" spans="1:3" x14ac:dyDescent="0.25">
      <c r="A17" t="s">
        <v>16</v>
      </c>
      <c r="B17" s="11">
        <v>38047</v>
      </c>
      <c r="C17">
        <f t="shared" si="0"/>
        <v>17</v>
      </c>
    </row>
    <row r="18" spans="1:3" x14ac:dyDescent="0.25">
      <c r="A18" t="s">
        <v>17</v>
      </c>
      <c r="B18" s="11">
        <v>38050</v>
      </c>
      <c r="C18">
        <f t="shared" si="0"/>
        <v>18</v>
      </c>
    </row>
    <row r="19" spans="1:3" x14ac:dyDescent="0.25">
      <c r="A19" t="s">
        <v>18</v>
      </c>
      <c r="B19" s="11">
        <v>38054</v>
      </c>
      <c r="C19">
        <f t="shared" si="0"/>
        <v>19</v>
      </c>
    </row>
    <row r="20" spans="1:3" x14ac:dyDescent="0.25">
      <c r="A20" t="s">
        <v>19</v>
      </c>
      <c r="B20" s="11">
        <v>38057</v>
      </c>
      <c r="C20">
        <f t="shared" si="0"/>
        <v>20</v>
      </c>
    </row>
    <row r="21" spans="1:3" x14ac:dyDescent="0.25">
      <c r="A21" t="s">
        <v>20</v>
      </c>
      <c r="B21" s="11">
        <v>38061</v>
      </c>
      <c r="C21">
        <f t="shared" si="0"/>
        <v>21</v>
      </c>
    </row>
    <row r="22" spans="1:3" x14ac:dyDescent="0.25">
      <c r="A22" t="s">
        <v>21</v>
      </c>
      <c r="B22" s="11">
        <v>38064</v>
      </c>
      <c r="C22">
        <f t="shared" si="0"/>
        <v>22</v>
      </c>
    </row>
    <row r="23" spans="1:3" x14ac:dyDescent="0.25">
      <c r="A23" t="s">
        <v>22</v>
      </c>
      <c r="B23" s="11">
        <v>38068</v>
      </c>
      <c r="C23">
        <f t="shared" si="0"/>
        <v>23</v>
      </c>
    </row>
    <row r="24" spans="1:3" x14ac:dyDescent="0.25">
      <c r="A24" t="s">
        <v>23</v>
      </c>
      <c r="B24" s="11">
        <v>38071</v>
      </c>
      <c r="C24">
        <f t="shared" si="0"/>
        <v>24</v>
      </c>
    </row>
    <row r="25" spans="1:3" x14ac:dyDescent="0.25">
      <c r="A25" t="s">
        <v>24</v>
      </c>
      <c r="B25" s="11">
        <v>38075</v>
      </c>
      <c r="C25">
        <f t="shared" si="0"/>
        <v>25</v>
      </c>
    </row>
    <row r="26" spans="1:3" x14ac:dyDescent="0.25">
      <c r="A26" t="s">
        <v>25</v>
      </c>
      <c r="B26" s="11">
        <v>38078</v>
      </c>
      <c r="C26">
        <f t="shared" si="0"/>
        <v>26</v>
      </c>
    </row>
    <row r="27" spans="1:3" x14ac:dyDescent="0.25">
      <c r="A27" t="s">
        <v>26</v>
      </c>
      <c r="B27" s="11">
        <v>38082</v>
      </c>
      <c r="C27">
        <f t="shared" si="0"/>
        <v>27</v>
      </c>
    </row>
    <row r="28" spans="1:3" x14ac:dyDescent="0.25">
      <c r="A28" t="s">
        <v>27</v>
      </c>
      <c r="B28" s="11">
        <v>38085</v>
      </c>
      <c r="C28">
        <f t="shared" si="0"/>
        <v>28</v>
      </c>
    </row>
    <row r="29" spans="1:3" x14ac:dyDescent="0.25">
      <c r="A29" t="s">
        <v>28</v>
      </c>
      <c r="B29" s="11">
        <v>38089</v>
      </c>
      <c r="C29">
        <f t="shared" si="0"/>
        <v>29</v>
      </c>
    </row>
    <row r="30" spans="1:3" x14ac:dyDescent="0.25">
      <c r="A30" t="s">
        <v>29</v>
      </c>
      <c r="B30" s="11">
        <v>38092</v>
      </c>
      <c r="C30">
        <f t="shared" si="0"/>
        <v>30</v>
      </c>
    </row>
    <row r="31" spans="1:3" x14ac:dyDescent="0.25">
      <c r="A31" t="s">
        <v>30</v>
      </c>
      <c r="B31" s="11">
        <v>38096</v>
      </c>
      <c r="C31">
        <f t="shared" si="0"/>
        <v>31</v>
      </c>
    </row>
    <row r="32" spans="1:3" x14ac:dyDescent="0.25">
      <c r="A32" t="s">
        <v>31</v>
      </c>
      <c r="B32" s="11">
        <v>38099</v>
      </c>
      <c r="C32">
        <f t="shared" si="0"/>
        <v>32</v>
      </c>
    </row>
    <row r="33" spans="1:3" x14ac:dyDescent="0.25">
      <c r="A33" t="s">
        <v>32</v>
      </c>
      <c r="B33" s="11">
        <v>38103</v>
      </c>
      <c r="C33">
        <f t="shared" si="0"/>
        <v>33</v>
      </c>
    </row>
    <row r="34" spans="1:3" x14ac:dyDescent="0.25">
      <c r="A34" t="s">
        <v>33</v>
      </c>
      <c r="B34" s="11">
        <v>38106</v>
      </c>
      <c r="C34">
        <f t="shared" si="0"/>
        <v>34</v>
      </c>
    </row>
    <row r="35" spans="1:3" x14ac:dyDescent="0.25">
      <c r="A35" t="s">
        <v>34</v>
      </c>
      <c r="B35" s="11">
        <v>38110</v>
      </c>
      <c r="C35">
        <f t="shared" si="0"/>
        <v>35</v>
      </c>
    </row>
    <row r="36" spans="1:3" x14ac:dyDescent="0.25">
      <c r="A36" t="s">
        <v>35</v>
      </c>
      <c r="B36" s="11">
        <v>38113</v>
      </c>
      <c r="C36">
        <f t="shared" si="0"/>
        <v>36</v>
      </c>
    </row>
    <row r="37" spans="1:3" x14ac:dyDescent="0.25">
      <c r="A37" t="s">
        <v>36</v>
      </c>
      <c r="B37" s="11">
        <v>38117</v>
      </c>
      <c r="C37">
        <f t="shared" si="0"/>
        <v>37</v>
      </c>
    </row>
    <row r="38" spans="1:3" x14ac:dyDescent="0.25">
      <c r="A38" t="s">
        <v>37</v>
      </c>
      <c r="B38" s="11">
        <v>38120</v>
      </c>
      <c r="C38">
        <f t="shared" si="0"/>
        <v>38</v>
      </c>
    </row>
    <row r="39" spans="1:3" x14ac:dyDescent="0.25">
      <c r="A39" t="s">
        <v>38</v>
      </c>
      <c r="B39" s="11">
        <v>38124</v>
      </c>
      <c r="C39">
        <f t="shared" si="0"/>
        <v>39</v>
      </c>
    </row>
    <row r="40" spans="1:3" x14ac:dyDescent="0.25">
      <c r="A40" t="s">
        <v>39</v>
      </c>
      <c r="B40" s="11">
        <v>38127</v>
      </c>
      <c r="C40">
        <f t="shared" si="0"/>
        <v>40</v>
      </c>
    </row>
    <row r="41" spans="1:3" x14ac:dyDescent="0.25">
      <c r="A41" t="s">
        <v>40</v>
      </c>
      <c r="B41" s="11">
        <v>38131</v>
      </c>
      <c r="C41">
        <f t="shared" si="0"/>
        <v>41</v>
      </c>
    </row>
    <row r="42" spans="1:3" x14ac:dyDescent="0.25">
      <c r="A42" t="s">
        <v>41</v>
      </c>
      <c r="B42" s="11">
        <v>38134</v>
      </c>
      <c r="C42">
        <f t="shared" si="0"/>
        <v>42</v>
      </c>
    </row>
    <row r="43" spans="1:3" x14ac:dyDescent="0.25">
      <c r="A43" t="s">
        <v>42</v>
      </c>
      <c r="B43" s="11">
        <v>38138</v>
      </c>
      <c r="C43">
        <f t="shared" si="0"/>
        <v>43</v>
      </c>
    </row>
    <row r="44" spans="1:3" x14ac:dyDescent="0.25">
      <c r="A44" t="s">
        <v>43</v>
      </c>
      <c r="B44" s="11">
        <v>38141</v>
      </c>
      <c r="C44">
        <f t="shared" si="0"/>
        <v>44</v>
      </c>
    </row>
    <row r="45" spans="1:3" x14ac:dyDescent="0.25">
      <c r="A45" t="s">
        <v>44</v>
      </c>
      <c r="B45" s="11">
        <v>38145</v>
      </c>
      <c r="C45">
        <f t="shared" si="0"/>
        <v>45</v>
      </c>
    </row>
    <row r="46" spans="1:3" x14ac:dyDescent="0.25">
      <c r="A46" t="s">
        <v>45</v>
      </c>
      <c r="B46" s="11">
        <v>38148</v>
      </c>
      <c r="C46">
        <f t="shared" si="0"/>
        <v>46</v>
      </c>
    </row>
    <row r="47" spans="1:3" x14ac:dyDescent="0.25">
      <c r="A47" t="s">
        <v>46</v>
      </c>
      <c r="B47" s="11">
        <v>38152</v>
      </c>
      <c r="C47">
        <f t="shared" si="0"/>
        <v>47</v>
      </c>
    </row>
    <row r="48" spans="1:3" x14ac:dyDescent="0.25">
      <c r="A48" t="s">
        <v>47</v>
      </c>
      <c r="B48" s="11">
        <v>38155</v>
      </c>
      <c r="C48">
        <f t="shared" si="0"/>
        <v>48</v>
      </c>
    </row>
    <row r="49" spans="1:3" x14ac:dyDescent="0.25">
      <c r="A49" t="s">
        <v>48</v>
      </c>
      <c r="B49" s="11">
        <v>38159</v>
      </c>
      <c r="C49">
        <f t="shared" si="0"/>
        <v>49</v>
      </c>
    </row>
    <row r="50" spans="1:3" x14ac:dyDescent="0.25">
      <c r="A50" t="s">
        <v>49</v>
      </c>
      <c r="B50" s="11">
        <v>38162</v>
      </c>
      <c r="C50">
        <f t="shared" si="0"/>
        <v>50</v>
      </c>
    </row>
    <row r="51" spans="1:3" x14ac:dyDescent="0.25">
      <c r="A51" t="s">
        <v>50</v>
      </c>
      <c r="B51" s="11">
        <v>38166</v>
      </c>
      <c r="C51">
        <f t="shared" si="0"/>
        <v>51</v>
      </c>
    </row>
    <row r="52" spans="1:3" x14ac:dyDescent="0.25">
      <c r="A52" t="s">
        <v>51</v>
      </c>
      <c r="B52" s="11">
        <v>38169</v>
      </c>
      <c r="C52">
        <f t="shared" si="0"/>
        <v>52</v>
      </c>
    </row>
    <row r="53" spans="1:3" x14ac:dyDescent="0.25">
      <c r="A53" t="s">
        <v>52</v>
      </c>
      <c r="B53" s="11">
        <v>38173</v>
      </c>
      <c r="C53">
        <f t="shared" si="0"/>
        <v>53</v>
      </c>
    </row>
    <row r="54" spans="1:3" x14ac:dyDescent="0.25">
      <c r="A54" t="s">
        <v>53</v>
      </c>
      <c r="B54" s="11">
        <v>38176</v>
      </c>
      <c r="C54">
        <f t="shared" si="0"/>
        <v>54</v>
      </c>
    </row>
    <row r="55" spans="1:3" x14ac:dyDescent="0.25">
      <c r="A55" t="s">
        <v>54</v>
      </c>
      <c r="B55" s="11">
        <v>38180</v>
      </c>
      <c r="C55">
        <f t="shared" si="0"/>
        <v>55</v>
      </c>
    </row>
    <row r="56" spans="1:3" x14ac:dyDescent="0.25">
      <c r="A56" t="s">
        <v>55</v>
      </c>
      <c r="B56" s="11">
        <v>38183</v>
      </c>
      <c r="C56">
        <f t="shared" si="0"/>
        <v>56</v>
      </c>
    </row>
    <row r="57" spans="1:3" x14ac:dyDescent="0.25">
      <c r="A57" t="s">
        <v>56</v>
      </c>
      <c r="B57" s="11">
        <v>38187</v>
      </c>
      <c r="C57">
        <f t="shared" si="0"/>
        <v>57</v>
      </c>
    </row>
    <row r="58" spans="1:3" x14ac:dyDescent="0.25">
      <c r="A58" t="s">
        <v>57</v>
      </c>
      <c r="B58" s="11">
        <v>38190</v>
      </c>
      <c r="C58">
        <f t="shared" si="0"/>
        <v>58</v>
      </c>
    </row>
    <row r="59" spans="1:3" x14ac:dyDescent="0.25">
      <c r="A59" t="s">
        <v>58</v>
      </c>
      <c r="B59" s="11">
        <v>38194</v>
      </c>
      <c r="C59">
        <f t="shared" si="0"/>
        <v>59</v>
      </c>
    </row>
    <row r="60" spans="1:3" x14ac:dyDescent="0.25">
      <c r="A60" t="s">
        <v>59</v>
      </c>
      <c r="B60" s="11">
        <v>38197</v>
      </c>
      <c r="C60">
        <f t="shared" si="0"/>
        <v>60</v>
      </c>
    </row>
    <row r="61" spans="1:3" x14ac:dyDescent="0.25">
      <c r="A61" t="s">
        <v>60</v>
      </c>
      <c r="B61" s="11">
        <v>38201</v>
      </c>
      <c r="C61">
        <f t="shared" si="0"/>
        <v>61</v>
      </c>
    </row>
    <row r="62" spans="1:3" x14ac:dyDescent="0.25">
      <c r="A62" t="s">
        <v>61</v>
      </c>
      <c r="B62" s="11">
        <v>38204</v>
      </c>
      <c r="C62">
        <f t="shared" si="0"/>
        <v>62</v>
      </c>
    </row>
    <row r="63" spans="1:3" x14ac:dyDescent="0.25">
      <c r="A63" t="s">
        <v>62</v>
      </c>
      <c r="B63" s="11">
        <v>38208</v>
      </c>
      <c r="C63">
        <f t="shared" si="0"/>
        <v>63</v>
      </c>
    </row>
    <row r="64" spans="1:3" x14ac:dyDescent="0.25">
      <c r="A64" t="s">
        <v>63</v>
      </c>
      <c r="B64" s="11">
        <v>38211</v>
      </c>
      <c r="C64">
        <f t="shared" si="0"/>
        <v>64</v>
      </c>
    </row>
    <row r="65" spans="1:3" x14ac:dyDescent="0.25">
      <c r="A65" t="s">
        <v>64</v>
      </c>
      <c r="B65" s="11">
        <v>38215</v>
      </c>
      <c r="C65">
        <f t="shared" si="0"/>
        <v>65</v>
      </c>
    </row>
    <row r="66" spans="1:3" x14ac:dyDescent="0.25">
      <c r="A66" t="s">
        <v>65</v>
      </c>
      <c r="B66" s="11">
        <v>38218</v>
      </c>
      <c r="C66">
        <f t="shared" si="0"/>
        <v>66</v>
      </c>
    </row>
    <row r="67" spans="1:3" x14ac:dyDescent="0.25">
      <c r="A67" t="s">
        <v>66</v>
      </c>
      <c r="B67" s="11">
        <v>38222</v>
      </c>
      <c r="C67">
        <f t="shared" ref="C67:C104" si="1">C66+1</f>
        <v>67</v>
      </c>
    </row>
    <row r="68" spans="1:3" x14ac:dyDescent="0.25">
      <c r="A68" t="s">
        <v>67</v>
      </c>
      <c r="B68" s="11">
        <v>38225</v>
      </c>
      <c r="C68">
        <f t="shared" si="1"/>
        <v>68</v>
      </c>
    </row>
    <row r="69" spans="1:3" x14ac:dyDescent="0.25">
      <c r="A69" t="s">
        <v>68</v>
      </c>
      <c r="B69" s="11">
        <v>38229</v>
      </c>
      <c r="C69">
        <f t="shared" si="1"/>
        <v>69</v>
      </c>
    </row>
    <row r="70" spans="1:3" x14ac:dyDescent="0.25">
      <c r="A70" t="s">
        <v>69</v>
      </c>
      <c r="B70" s="11">
        <v>38232</v>
      </c>
      <c r="C70">
        <f t="shared" si="1"/>
        <v>70</v>
      </c>
    </row>
    <row r="71" spans="1:3" x14ac:dyDescent="0.25">
      <c r="A71" t="s">
        <v>70</v>
      </c>
      <c r="B71" s="11">
        <v>38236</v>
      </c>
      <c r="C71">
        <f t="shared" si="1"/>
        <v>71</v>
      </c>
    </row>
    <row r="72" spans="1:3" x14ac:dyDescent="0.25">
      <c r="A72" t="s">
        <v>71</v>
      </c>
      <c r="B72" s="11">
        <v>38239</v>
      </c>
      <c r="C72">
        <f t="shared" si="1"/>
        <v>72</v>
      </c>
    </row>
    <row r="73" spans="1:3" x14ac:dyDescent="0.25">
      <c r="A73" t="s">
        <v>72</v>
      </c>
      <c r="B73" s="11">
        <v>38243</v>
      </c>
      <c r="C73">
        <f t="shared" si="1"/>
        <v>73</v>
      </c>
    </row>
    <row r="74" spans="1:3" x14ac:dyDescent="0.25">
      <c r="A74" t="s">
        <v>73</v>
      </c>
      <c r="B74" s="11">
        <v>38246</v>
      </c>
      <c r="C74">
        <f t="shared" si="1"/>
        <v>74</v>
      </c>
    </row>
    <row r="75" spans="1:3" x14ac:dyDescent="0.25">
      <c r="A75" t="s">
        <v>74</v>
      </c>
      <c r="B75" s="11">
        <v>38250</v>
      </c>
      <c r="C75">
        <f t="shared" si="1"/>
        <v>75</v>
      </c>
    </row>
    <row r="76" spans="1:3" x14ac:dyDescent="0.25">
      <c r="A76" t="s">
        <v>75</v>
      </c>
      <c r="B76" s="11">
        <v>38253</v>
      </c>
      <c r="C76">
        <f t="shared" si="1"/>
        <v>76</v>
      </c>
    </row>
    <row r="77" spans="1:3" x14ac:dyDescent="0.25">
      <c r="A77" t="s">
        <v>76</v>
      </c>
      <c r="B77" s="11">
        <v>38257</v>
      </c>
      <c r="C77">
        <f t="shared" si="1"/>
        <v>77</v>
      </c>
    </row>
    <row r="78" spans="1:3" x14ac:dyDescent="0.25">
      <c r="A78" t="s">
        <v>77</v>
      </c>
      <c r="B78" s="11">
        <v>38260</v>
      </c>
      <c r="C78">
        <f t="shared" si="1"/>
        <v>78</v>
      </c>
    </row>
    <row r="79" spans="1:3" x14ac:dyDescent="0.25">
      <c r="A79" t="s">
        <v>78</v>
      </c>
      <c r="B79" s="11">
        <v>38264</v>
      </c>
      <c r="C79">
        <f t="shared" si="1"/>
        <v>79</v>
      </c>
    </row>
    <row r="80" spans="1:3" x14ac:dyDescent="0.25">
      <c r="A80" t="s">
        <v>79</v>
      </c>
      <c r="B80" s="11">
        <v>38267</v>
      </c>
      <c r="C80">
        <f t="shared" si="1"/>
        <v>80</v>
      </c>
    </row>
    <row r="81" spans="1:3" x14ac:dyDescent="0.25">
      <c r="A81" t="s">
        <v>80</v>
      </c>
      <c r="B81" s="11">
        <v>38271</v>
      </c>
      <c r="C81">
        <f t="shared" si="1"/>
        <v>81</v>
      </c>
    </row>
    <row r="82" spans="1:3" x14ac:dyDescent="0.25">
      <c r="A82" t="s">
        <v>81</v>
      </c>
      <c r="B82" s="11">
        <v>38274</v>
      </c>
      <c r="C82">
        <f t="shared" si="1"/>
        <v>82</v>
      </c>
    </row>
    <row r="83" spans="1:3" x14ac:dyDescent="0.25">
      <c r="A83" t="s">
        <v>82</v>
      </c>
      <c r="B83" s="11">
        <v>38278</v>
      </c>
      <c r="C83">
        <f t="shared" si="1"/>
        <v>83</v>
      </c>
    </row>
    <row r="84" spans="1:3" x14ac:dyDescent="0.25">
      <c r="A84" t="s">
        <v>83</v>
      </c>
      <c r="B84" s="11">
        <v>38281</v>
      </c>
      <c r="C84">
        <f t="shared" si="1"/>
        <v>84</v>
      </c>
    </row>
    <row r="85" spans="1:3" x14ac:dyDescent="0.25">
      <c r="A85" t="s">
        <v>84</v>
      </c>
      <c r="B85" s="11">
        <v>38285</v>
      </c>
      <c r="C85">
        <f t="shared" si="1"/>
        <v>85</v>
      </c>
    </row>
    <row r="86" spans="1:3" x14ac:dyDescent="0.25">
      <c r="A86" t="s">
        <v>85</v>
      </c>
      <c r="B86" s="11">
        <v>38288</v>
      </c>
      <c r="C86">
        <f t="shared" si="1"/>
        <v>86</v>
      </c>
    </row>
    <row r="87" spans="1:3" x14ac:dyDescent="0.25">
      <c r="A87" t="s">
        <v>86</v>
      </c>
      <c r="B87" s="11">
        <v>38292</v>
      </c>
      <c r="C87">
        <f t="shared" si="1"/>
        <v>87</v>
      </c>
    </row>
    <row r="88" spans="1:3" x14ac:dyDescent="0.25">
      <c r="A88" t="s">
        <v>87</v>
      </c>
      <c r="B88" s="11">
        <v>38295</v>
      </c>
      <c r="C88">
        <f t="shared" si="1"/>
        <v>88</v>
      </c>
    </row>
    <row r="89" spans="1:3" x14ac:dyDescent="0.25">
      <c r="A89" t="s">
        <v>88</v>
      </c>
      <c r="B89" s="11">
        <v>38299</v>
      </c>
      <c r="C89">
        <f t="shared" si="1"/>
        <v>89</v>
      </c>
    </row>
    <row r="90" spans="1:3" x14ac:dyDescent="0.25">
      <c r="A90" t="s">
        <v>89</v>
      </c>
      <c r="B90" s="11">
        <v>38302</v>
      </c>
      <c r="C90">
        <f t="shared" si="1"/>
        <v>90</v>
      </c>
    </row>
    <row r="91" spans="1:3" x14ac:dyDescent="0.25">
      <c r="A91" t="s">
        <v>90</v>
      </c>
      <c r="B91" s="11">
        <v>38306</v>
      </c>
      <c r="C91">
        <f t="shared" si="1"/>
        <v>91</v>
      </c>
    </row>
    <row r="92" spans="1:3" x14ac:dyDescent="0.25">
      <c r="A92" t="s">
        <v>91</v>
      </c>
      <c r="B92" s="11">
        <v>38309</v>
      </c>
      <c r="C92">
        <f t="shared" si="1"/>
        <v>92</v>
      </c>
    </row>
    <row r="93" spans="1:3" x14ac:dyDescent="0.25">
      <c r="A93" t="s">
        <v>92</v>
      </c>
      <c r="B93" s="11">
        <v>38313</v>
      </c>
      <c r="C93">
        <f t="shared" si="1"/>
        <v>93</v>
      </c>
    </row>
    <row r="94" spans="1:3" x14ac:dyDescent="0.25">
      <c r="A94" t="s">
        <v>93</v>
      </c>
      <c r="B94" s="11">
        <v>38316</v>
      </c>
      <c r="C94">
        <f t="shared" si="1"/>
        <v>94</v>
      </c>
    </row>
    <row r="95" spans="1:3" x14ac:dyDescent="0.25">
      <c r="A95" t="s">
        <v>94</v>
      </c>
      <c r="B95" s="11">
        <v>38320</v>
      </c>
      <c r="C95">
        <f t="shared" si="1"/>
        <v>95</v>
      </c>
    </row>
    <row r="96" spans="1:3" x14ac:dyDescent="0.25">
      <c r="A96" t="s">
        <v>95</v>
      </c>
      <c r="B96" s="11">
        <v>38323</v>
      </c>
      <c r="C96">
        <f t="shared" si="1"/>
        <v>96</v>
      </c>
    </row>
    <row r="97" spans="1:3" x14ac:dyDescent="0.25">
      <c r="A97" t="s">
        <v>96</v>
      </c>
      <c r="B97" s="11">
        <v>38327</v>
      </c>
      <c r="C97">
        <f t="shared" si="1"/>
        <v>97</v>
      </c>
    </row>
    <row r="98" spans="1:3" x14ac:dyDescent="0.25">
      <c r="A98" t="s">
        <v>97</v>
      </c>
      <c r="B98" s="11">
        <v>38330</v>
      </c>
      <c r="C98">
        <f t="shared" si="1"/>
        <v>98</v>
      </c>
    </row>
    <row r="99" spans="1:3" x14ac:dyDescent="0.25">
      <c r="A99" t="s">
        <v>98</v>
      </c>
      <c r="B99" s="11">
        <v>38334</v>
      </c>
      <c r="C99">
        <f t="shared" si="1"/>
        <v>99</v>
      </c>
    </row>
    <row r="100" spans="1:3" x14ac:dyDescent="0.25">
      <c r="A100" t="s">
        <v>99</v>
      </c>
      <c r="B100" s="11">
        <v>38337</v>
      </c>
      <c r="C100">
        <f t="shared" si="1"/>
        <v>100</v>
      </c>
    </row>
    <row r="101" spans="1:3" x14ac:dyDescent="0.25">
      <c r="A101" t="s">
        <v>100</v>
      </c>
      <c r="B101" s="11">
        <v>38341</v>
      </c>
      <c r="C101">
        <f t="shared" si="1"/>
        <v>101</v>
      </c>
    </row>
    <row r="102" spans="1:3" x14ac:dyDescent="0.25">
      <c r="A102" t="s">
        <v>101</v>
      </c>
      <c r="B102" s="11">
        <v>38344</v>
      </c>
      <c r="C102">
        <f t="shared" si="1"/>
        <v>102</v>
      </c>
    </row>
    <row r="103" spans="1:3" x14ac:dyDescent="0.25">
      <c r="A103" t="s">
        <v>102</v>
      </c>
      <c r="B103" s="11">
        <v>38348</v>
      </c>
      <c r="C103">
        <f t="shared" si="1"/>
        <v>103</v>
      </c>
    </row>
    <row r="104" spans="1:3" x14ac:dyDescent="0.25">
      <c r="A104" t="s">
        <v>103</v>
      </c>
      <c r="B104" s="11">
        <v>38351</v>
      </c>
      <c r="C104">
        <f t="shared" si="1"/>
        <v>104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OUTPUT</vt:lpstr>
      <vt:lpstr>all</vt:lpstr>
      <vt:lpstr>2017</vt:lpstr>
      <vt:lpstr>2016</vt:lpstr>
      <vt:lpstr>2015</vt:lpstr>
      <vt:lpstr>2014</vt:lpstr>
      <vt:lpstr>工作表1</vt:lpstr>
    </vt:vector>
  </TitlesOfParts>
  <Company>888TIGER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TIGER-XP</dc:creator>
  <cp:lastModifiedBy>ellischu</cp:lastModifiedBy>
  <cp:lastPrinted>2013-05-02T02:07:05Z</cp:lastPrinted>
  <dcterms:created xsi:type="dcterms:W3CDTF">2008-12-22T04:02:49Z</dcterms:created>
  <dcterms:modified xsi:type="dcterms:W3CDTF">2017-09-12T11:22:37Z</dcterms:modified>
</cp:coreProperties>
</file>